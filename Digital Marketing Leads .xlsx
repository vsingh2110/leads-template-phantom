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 state="visible" name="International Leads" sheetId="2" r:id="rId6"/>
    <sheet state="visible" name="2025" sheetId="3" r:id="rId7"/>
    <sheet state="visible" name="Leads 2024" sheetId="4" r:id="rId8"/>
    <sheet state="visible" name="after 25 july 2023" sheetId="5" r:id="rId9"/>
    <sheet state="visible" name="after march 2023" sheetId="6" r:id="rId10"/>
    <sheet state="visible" name="new lead" sheetId="7" r:id="rId11"/>
    <sheet state="visible" name="old lead sheet" sheetId="8" r:id="rId12"/>
    <sheet state="visible" name="calls to do" sheetId="9" r:id="rId13"/>
    <sheet state="visible" name="Followups " sheetId="10" r:id="rId14"/>
  </sheets>
  <definedNames>
    <definedName hidden="1" localSheetId="8" name="Z_AC9328EE_EC72_43E1_A3CF_E3DE63E2A988_.wvu.FilterData">'calls to do'!$I$1:$I$974</definedName>
    <definedName hidden="1" localSheetId="8" name="Z_A36D6B91_9CD2_4416_9120_0E8EF67AB986_.wvu.FilterData">'calls to do'!$A$1:$AI$974</definedName>
  </definedNames>
  <calcPr/>
  <customWorkbookViews>
    <customWorkbookView activeSheetId="0" maximized="1" windowHeight="0" windowWidth="0" guid="{A36D6B91-9CD2-4416-9120-0E8EF67AB986}" name="Filter 2"/>
    <customWorkbookView activeSheetId="0" maximized="1" windowHeight="0" windowWidth="0" guid="{AC9328EE-EC72-43E1-A3CF-E3DE63E2A98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tc={1110e1e0-b975-49f3-879a-3c2c2eed367c}</author>
  </authors>
  <commentList>
    <comment authorId="0" xr:uid="{1110e1e0-b975-49f3-879a-3c2c2eed367c}" ref="N20">
      <text>
        <t xml:space="preserve">[Threaded comment]
 Your version of Excel allows you to read this threaded comment; however, any edits to it will get removed if the file is opened in a newer version of Excel. Learn more: https://go.microsoft.com/fwlink/?linkid=870924
Comment:
	forwarded to shivani mam
</t>
      </text>
    </comment>
  </commentList>
</comments>
</file>

<file path=xl/sharedStrings.xml><?xml version="1.0" encoding="utf-8"?>
<sst xmlns="http://schemas.openxmlformats.org/spreadsheetml/2006/main" count="6208" uniqueCount="3427">
  <si>
    <t xml:space="preserve">date </t>
  </si>
  <si>
    <t>details</t>
  </si>
  <si>
    <t>remarks</t>
  </si>
  <si>
    <t>Query Status</t>
  </si>
  <si>
    <t>Name: Amitava Mukherjee
Phone: 8944966300
Email: mukherjeeamitava5@gmail.com
Country: India
City: Sonamukhi, Bankura district, West Bengal
Hospital/Clinic: Sahara hospital
Enquiry: I need a refurbished ct scan</t>
  </si>
  <si>
    <t>DONE</t>
  </si>
  <si>
    <t xml:space="preserve">Mehul
9023315200        
MRI </t>
  </si>
  <si>
    <t>9973656973
Shyamesh Kumar
Patna, Bihar
Dealer</t>
  </si>
  <si>
    <t>Kapil Yadav
98713 13052
C-arm -(cath lab part)
dealer</t>
  </si>
  <si>
    <t>Debdulal Nayak
+91 98308 37298
Need CT scan</t>
  </si>
  <si>
    <t>abhijeet pandey
SAI Medicare
+91 97957 63787
Required ct scan</t>
  </si>
  <si>
    <t>Dr himmat yadav
+91 99103 39898</t>
  </si>
  <si>
    <t>Shyam Sudar Seth
+91 94314 64005
Bhabhua, Bihar</t>
  </si>
  <si>
    <t xml:space="preserve">Dr Junaid Ahmed, 
Urooj hospital
8142730161
CT Injector Pump </t>
  </si>
  <si>
    <t>~Abdullah Ahmed
+91 88129 36215
Kinggate Supperspeaciality Hospital .
Goalpara town, Dist. Goalpara,Assam</t>
  </si>
  <si>
    <t>Name: Rambabu
Phone: 09347995052
Email: rambabu.sita@gmail.com
Country: India
City: VIJAYAWADA
Hospital/Clinic:
Enquiry: Please quote for WHOLE BODY MULTI SLICE C.T. SCANNER Activion (16 Slice) (One Re-furbished Complete System)</t>
  </si>
  <si>
    <t>Dr Movil Gupta
+91 816 833 3592</t>
  </si>
  <si>
    <t>Name: Rambabu
Phone: 09347995052
Email: rambabu.sita@gmail.com
City: VIJAYAWADA
Andhra Pradesh
Enquiry: Please quote for WHOLE BODY MULTI SLICE C.T. SCANNER Activion (16 Slice) (One Re-furbished Complete System)</t>
  </si>
  <si>
    <t>dr vivek chandra
+91 93340 27859
CT and Cath Lab</t>
  </si>
  <si>
    <t>Reseller from Nagpur
Needs PET-CT
+91 93715 56365</t>
  </si>
  <si>
    <t>RAMNGAIHZUALA CHHANGTE (Angaiha Mizo)
+91 93715 56365
CT and MRI
Aizwal, Miroram</t>
  </si>
  <si>
    <t>Dr Alok Singh
+91 95650 86232
Ayodhya, Uttar Pradesh</t>
  </si>
  <si>
    <t>Full name: Veralyn wilson
Phone number: +18042010537
Email: Vc1nicethings@gmail.com
City: Richmond, Virginia, USA</t>
  </si>
  <si>
    <t>will be handled by sir or ma'am/ Sachin Sir</t>
  </si>
  <si>
    <t>Dr Salman Nomani
095704 45777
MAX IMAGING CENTER
Darbhanga District, Bihar</t>
  </si>
  <si>
    <t>Chhaya Mahabare
9665015959
Atharava Health Surgical
Mumbai, Maharashtra</t>
  </si>
  <si>
    <t>Sarbesh Kumar
+91 866 034 3945
price of a 16 slice ct scan</t>
  </si>
  <si>
    <t>~Dr.Rupak Singh
+91 84347 59381
MRI and CT price</t>
  </si>
  <si>
    <t>~Ashish chandrakar
+91 883 928 8854</t>
  </si>
  <si>
    <t>Shubham
+91 70817 14915
32 slice ct price</t>
  </si>
  <si>
    <t>Umesh Soni
8905757885</t>
  </si>
  <si>
    <t>~Riyaz Ahmed
+91 98131 15987
Nuh, Mewat
Haryana
Cath Lab</t>
  </si>
  <si>
    <t>Name: A Dr Prem
Phone: 9418473338
Email: bhardwajhosp22@gmail.com
Country: India
City: Kangra
Hospital/Clinic: BMH Arla
Enquiry:</t>
  </si>
  <si>
    <t>Ashwani Kumar
+91 94182 00980</t>
  </si>
  <si>
    <t>Md. juyel Sk
+91 78109 63411
MRI</t>
  </si>
  <si>
    <r>
      <rPr>
        <rFont val="Arial"/>
        <color theme="1"/>
      </rPr>
      <t xml:space="preserve">Name: Vijayakanth Thamodaran
Phone: 9943592502
Email: MAIL2VIJI.SAM@GMAIL.COM
Country: India
City: Chennai
Hospital/Clinic:
Enquiry: We have below mentioned part all new 1) 16ch Medium flex coil GE 1.5T ( only coil) 2) 4Ch large flex coil GE 1.5T 3) MC3 tool 4) pressure sensor 5) 0.5psi value 6) 0.75 psi value 7) V2 value If is there any requirement please let me know...
</t>
    </r>
    <r>
      <rPr>
        <rFont val="Arial"/>
        <b/>
        <color theme="1"/>
      </rPr>
      <t>Want to sell his machine parts</t>
    </r>
  </si>
  <si>
    <t>vishal
patna
7256932607
ct and mri</t>
  </si>
  <si>
    <t>Dr ~farooq alam
+91 884 032 2563</t>
  </si>
  <si>
    <t>Vijay Kulkarni
vbk1964@gmail.com
9822021745
Gradient Coil of Siemens Magtom Skyra MRI Year of Purchase 2026        
India</t>
  </si>
  <si>
    <t xml:space="preserve">Dr Veerendra.t
drveerendra23@gmail.com
Vcare scan         
9900031869        
MRI 1.5 hdxt        </t>
  </si>
  <si>
    <t>Mohan
chodharymgurjar019@gmail.com
09084400050</t>
  </si>
  <si>
    <t xml:space="preserve">Bhaskar Kumar
+91 91423 27348
Diagnostic name:- maya diagnostic centre
Prayagraj, U.P </t>
  </si>
  <si>
    <t>~Ravinder Ved
+91 95993 76529
Dealer from Delhi</t>
  </si>
  <si>
    <t>Sameer Bhat
+91 88034 90946
CT Scan
Srinagar, jammu &amp; kashmir</t>
  </si>
  <si>
    <t>Dr Sai Rohith
+91 97423 60896
Wants to sell --
I have a C arm ( Allengers, HF 49 SR PLUS, IMAGE PLUS LDHD
2024 June manufacturing
Kurmannapalem, Visakhapatnam
Andhra Pradesh</t>
  </si>
  <si>
    <t xml:space="preserve">Rambabu - messaged again --  click - </t>
  </si>
  <si>
    <t>Name: MuthuKumar
Phone: 9080018373
City: Chennai, Tamil Nadu
Enquiry: MRI</t>
  </si>
  <si>
    <t>~Subash Suba
+91 73580 69814
I had some refurbished deal in Chennai 
Dealer from Chennai, Tamil Nadu</t>
  </si>
  <si>
    <t>~Dr Sonu Kumar BAMS
+91 99554 31160
Green Life Multi hospital</t>
  </si>
  <si>
    <t>Amit Kumar Sharma
+91 63750 60802
District Hospital, Ambala</t>
  </si>
  <si>
    <t>Name: Ashwani Chander
Phone: 9876408086
Email: ashwani.723@gmail.com
City: Ludhiana, Punjab
Hospital/Clinic: Under Construction
Enquiry: Need refurbished ct 64 slice for new centre</t>
  </si>
  <si>
    <t>Khalid Siddiqui
+91 98089 56523
SDC Diagnostic Centre
pilibhit, U.P
CT Scan buy enquiry</t>
  </si>
  <si>
    <t>~Dr. Abhimanu Kumar
+91 94706 35762</t>
  </si>
  <si>
    <t>~Pranab Banerjee
Sandhya Pathology Center
+91 94343 62456</t>
  </si>
  <si>
    <t>Dr. DEBASISH HOTA
+91 98613 74904
Bhubaneswar
Planning for New hospital</t>
  </si>
  <si>
    <t>Imtiaz Ahmed kamgar
+91 96979 09429
cath lab
Jammu &amp; Kashmir</t>
  </si>
  <si>
    <t>Dr J.P Verma
Radhika Hospital
Buxar bihar
+91 94712 71993
CT scan</t>
  </si>
  <si>
    <t>Name: RAHUL GARG
Phone: 9412742828
Email: rg3633@gmail.com
Country: India
City: Dehradun
Hospital/Clinic: Mamta diagnostic centre
Enquiry: Want to buy</t>
  </si>
  <si>
    <t>Name: Ashwani Chander
Phone: 9876408086
Email: ashwani.723@gmail.com
Country: India
City: Ludhiana
Enquiry: Need refurbished ct 64 slice for new centre</t>
  </si>
  <si>
    <t>Dr Srigayathri Hospital
thumalla nagesh gayathri
9642211796</t>
  </si>
  <si>
    <t>Bhagwati Lal Prajapati
+91 81070 14838</t>
  </si>
  <si>
    <t>Nrusingha Khuntia
Shree Hospital
9438354705</t>
  </si>
  <si>
    <t>chandan
chandan_gulati@yahoo.com        
+16473900452        
Canada</t>
  </si>
  <si>
    <t>will be handled by sir or ma'am</t>
  </si>
  <si>
    <t>Pradum Pal
~Geeta Pathology Center
+91 63929 66561
Hardoi Uttar Pradesh</t>
  </si>
  <si>
    <t>Washim Khan/ Habiba Khan
+91 70008 29563
MRI Machine Required</t>
  </si>
  <si>
    <t>~saurabh kanaujiya
+91 91985 26112
Shahjahanpur Uttar Pradesh
CT scan machine</t>
  </si>
  <si>
    <t>~venkatesh goshke
+91 99489 00844
Teshela, Balaji hospital shadnagar</t>
  </si>
  <si>
    <t>laxminarayan choudhary
+91 85598 16701</t>
  </si>
  <si>
    <t>Karan Barnawal
bsurgical43@gmail.com        
Care Taker Hospital Pvt. ltd.        
9848428143        
CT scan 128 slice refurbished         
Nepal</t>
  </si>
  <si>
    <t>Name: Aditya Shriya
Phone: 8428041581
Email: adityashriya0308@gmail.com
Country: India
City: Saharanpur</t>
  </si>
  <si>
    <t>Name: Shahzad Gul &amp; Felix Ripholz
Phone: 004917655552779
Email: info@german-rays.com
Country: Germany
City: Stuttgart
we have a Siemens MRI for sale (still cold) and wanted to know if this is interesting for you.
Siemens PrismaFit 2014
Mit freundlichen Grüßen / Best Regards 
Shahzad Gul
CEO -German Rays Medical Solutions                   
Hertichstraße 37, 71229 Leonberg, Deutschland
Mob: +49 162 6787 944
E-Mail: info@german-rays.com
(to sell)</t>
  </si>
  <si>
    <t>~Wani Sheeraz
+91 99069 39421
CT and MRI</t>
  </si>
  <si>
    <t>~Syed Mohammad shafi
+91 97170 72887
Dealer</t>
  </si>
  <si>
    <t>Dr Satyam Patel
+91 99180 91907</t>
  </si>
  <si>
    <t>Deepak Tyagi
+91 92202 61787
Dehradun</t>
  </si>
  <si>
    <t>Name: Dr Sameer Rane
Phone: 9821311183
Email: sameerdrane@gmail.com
Country: India
City: Mumbai
Hospital/Clinic:
Enquiry: I am looking for a refurbished cardiac EP system / Cath Lab</t>
  </si>
  <si>
    <t>Name: Dr Prashant Sharma
Phone: 7011166032
Email: prashant03kgmu@gmail.com
Country: India
City: Meerut
Hospital/Clinic: Keshav super speciality hospital
Enquiry:</t>
  </si>
  <si>
    <t>Name: Dr Tapan Solanki
Phone: 9904575676
Email: tapansolanki77@gmail.com
Country: India
City: Nadoad</t>
  </si>
  <si>
    <t>Kartik Pandey
Elite Surgents,
7068840635</t>
  </si>
  <si>
    <t>~Dr. Niraj Singh
+91 98006 91244</t>
  </si>
  <si>
    <t>Vishal Punekar
9822228998
Nagpur
MRI Machine</t>
  </si>
  <si>
    <t>Rupesh
+91 78735 65664
Sambalpur odisha</t>
  </si>
  <si>
    <t>Venkata Prasad Naguru
Lifeline Hospital 
+91 91216 72929</t>
  </si>
  <si>
    <t xml:space="preserve">~Anshuman Singh
+91 78303 50867
Mri machine </t>
  </si>
  <si>
    <t>Chintan
chintan.5128@gmail.com                
9099343676                
India</t>
  </si>
  <si>
    <t>Name: Adnan
Phone: +967777107170
Email: adnan.awadi@yahoo.com
Country: Yemen
City: Sana'a
Hospital/Clinic: Rowad alyemen
Enquiry: Refurbished cath lab with neuro and peripheral vascular applications .</t>
  </si>
  <si>
    <t>Name: Spandan Nursing Home HARIPAL
Number: 8637525614
Location: West Bengal
Need: imaging equipment (asking price)</t>
  </si>
  <si>
    <t xml:space="preserve">Dr Inderjeet Tanwar
+91 90681 47047
CT 16 slice </t>
  </si>
  <si>
    <t>K.Ganesh Babu
ganeshbabu.imaging@gmail.com                
9490806660        
Enquiry about prices</t>
  </si>
  <si>
    <t>~Dr Pradeep Rao
+91 98851 98491
Warangal, Telangana
What is the cost of cathlab</t>
  </si>
  <si>
    <t>Name: dr rohit ukey
Phone: 9752971203
Email: drrohitukey@gmail.com
Country: India
City: Bhopal, M.P</t>
  </si>
  <si>
    <t>Praveen Kumar
Pranav Hospital
+91 98807 22819
Bramavara, Ududpi, Karnataka</t>
  </si>
  <si>
    <t>Zaytoun Clinics
Dr. Rajpal Singh 
+91 90557 76690
Srinagar, J&amp;K</t>
  </si>
  <si>
    <t>Dr.Chetan Mahure
Maruti Multi Speciaility
7744096418
Kamptee, Nagpur, Maharashtra</t>
  </si>
  <si>
    <t>Luis Perrs
+12248009580
gabrielcasarez00000@gmail.com
Celaya, Maxico</t>
  </si>
  <si>
    <t>Name: Moos van den Hoek
Phone: +31640767792
Email: moosvandenhoek@icloud.com
Country: Netherlands
City: Volendam
Hospital/Clinic: Neo Clinincs
Enquiry: Hello, I hope this message finds you well. We would like to express our interest in a standalone SPECT (Single Photon Emission Computed Tomography) imaging system. At this stage, we are specifically looking for a SPECT-only solution, without an integrated CT component. We are currently in an exploratory phase and would appreciate receiving more information regarding: Available SPECT-only models System specifications and configurations Current availability (new or refurbished) Indicative pricing and lead times Service and support options This inquiry is non-binding and intended to help us evaluate the available options before proceeding further. If possible, we would be happy to receive brochures, technical documentation, or an initial proposal. Thank you in advance for your time and support. I look forward to your response. Kind regards, Moos van den Hoek Phone: +31 6 40767792</t>
  </si>
  <si>
    <t>~Abhinash Yadav
+91 95691 62122
Deoria Uttar Pradesh
CT Scanner</t>
  </si>
  <si>
    <t>Name: muthu
Phone: 94877 94075
Email: arasuscanreports@gmail.com
Country: India
City: Aranthangi, Pudukkottai district, Tamil Nadu
Enquiry: kindly mail me or whatsapp the quoting price for Siemes Essenza MRI (8 Channel)</t>
  </si>
  <si>
    <t>Dr. Karuppiah Balakishnan Ananth
9894148481
Tamil Nadu
interested in ct scan machine</t>
  </si>
  <si>
    <t xml:space="preserve">Ravi Katariya
Magnet healthcare 
+91 97233 72415
Surat, Gujarat
Dealer in South Gujarat </t>
  </si>
  <si>
    <r>
      <rPr>
        <color rgb="FF000000"/>
      </rPr>
      <t xml:space="preserve">Click --  </t>
    </r>
    <r>
      <rPr>
        <color rgb="FF1155CC"/>
        <u/>
      </rPr>
      <t>Follow up message - from Dr. JP Verma</t>
    </r>
    <r>
      <rPr>
        <color rgb="FF000000"/>
      </rPr>
      <t xml:space="preserve"> </t>
    </r>
  </si>
  <si>
    <t>Rajah Vikramaditya Koppala
9908677715
rajradio@gmail.com
Avis Hospitals
Catlog &amp; price of machine</t>
  </si>
  <si>
    <t>junaid Sheikh
+91 84919 45742
Srinagar, J &amp; K
PET-CT</t>
  </si>
  <si>
    <t>Dr. Radhesh R Menon
9986168862 ( call Between 2-3pm) 
Orthopaedic Hand &amp; Upperlimb Surgeon Bengaluru</t>
  </si>
  <si>
    <t>Name: Mehmet Tufan
Needs Evo performix 40 lb ,Act lb andball bearing Simens as+ Philips 880 
+905333427988 (whatsapp )
Turkey</t>
  </si>
  <si>
    <t>~Dr Mahalingam
+91 96296 91413
SANKARANKOVIL, Tirunelveli, Tamil Nadu
CT Scanner</t>
  </si>
  <si>
    <t>~Aravindh
+91 94437 86789
Future Planning</t>
  </si>
  <si>
    <t>Santosh murade
Sai Enterprises
Ahamednagar, Maharashtra
+91 88051 93915
Needs Cathlab
He is a dealer</t>
  </si>
  <si>
    <t>Please call Dr J.P Verma(Buxar, Bihar) again on his other number -  +919102660276</t>
  </si>
  <si>
    <r>
      <rPr>
        <color rgb="FF000000"/>
      </rPr>
      <t xml:space="preserve">Dr Neeraj Messaged again and requested a callback -    </t>
    </r>
    <r>
      <rPr>
        <color rgb="FF1155CC"/>
        <u/>
      </rPr>
      <t>click here</t>
    </r>
  </si>
  <si>
    <t>Name: Somesh
Phone: 9442501101
Email: drsomesh@hotmail.com
Country: India
City: chennai
Hospital/Clinic: Dr Vanchilingam hospital
Enquiry: I have a Philips bi plane FD20/20 , Philips Achieva 1.5 T . both refurbished . for sale .
(wants to sell his cathlab)</t>
  </si>
  <si>
    <t>Name: Abhijeet Pandey
Phone: 09795763787
Email: ctabhijeetpandey@gmail.com
Country: India
City: Kanpur
Hospital/Clinic: S R diagnostic centre
Enquiry: I am a ct/mri technician from last 15 yrs and want to start my own setup in kanpur so can you help
(wants to open new centre)</t>
  </si>
  <si>
    <t xml:space="preserve">Kasi Rajan
+91 99405 55557
Chennai, Tamil Nadu
Ct and PET CT </t>
  </si>
  <si>
    <t>Name: phalguni padhan
Phone: 7873041839
Email: phalgunipadhan280@gmail.com
City: odisha</t>
  </si>
  <si>
    <t>~Sanjay Kumar Mehta
+91 99775 50550
Mandsaur, M.P 
Need CT scan for new hospital (under construction)</t>
  </si>
  <si>
    <t>~Nitin Mahajan
+91 94191 07255
Jammu City
CT scan for hospital</t>
  </si>
  <si>
    <t>~Rajesh Mishra
+91 89230 96514
Nepal
PET-CT</t>
  </si>
  <si>
    <t>Name: Samarth Rathi
Phone: +91 8869856195
Country: India
City: delhi
Enquiry: Price for 1.5 T mri machine</t>
  </si>
  <si>
    <t>salunke shitakumar
ceo@greensave.in
+91-7769915150
_brochure download from website</t>
  </si>
  <si>
    <t>Name: Dr Araby Mohammed
Number: +201229294949
Need: Imaging equipment
Country : Egypt</t>
  </si>
  <si>
    <t>Dr Jeetendra Foujdar
+91 96949 84093</t>
  </si>
  <si>
    <t>Name: Abu Bakr M. Saeed
Number: +9647710902500
Need: Siemens MRI Machine
Country : Baghdad Iraq</t>
  </si>
  <si>
    <t>Name: Zabin Ullah Zaland
Number: 93 0775965917
Need: MRI Machine
Country : Afganistan</t>
  </si>
  <si>
    <t>ARSHAD PATHAN
+91 97672 02815
Hingoli, Maharashtra 
Open new centre soon
MRI and CT required</t>
  </si>
  <si>
    <t>Abidullah Bhat
+91 70061 16152
Anantnag J &amp; K
MRI 3 tesla</t>
  </si>
  <si>
    <t>Name: Nguyễn Văn Bé Bảy
Number: +84949005186 (whatsapp number)
Need: Siemens Go Now CT Machine
Country : Vietnam</t>
  </si>
  <si>
    <t>Dr. Ravi Nakum (Managing Director)
Satyam Hospital
Rajkot, Gujarat
+91 81407 53782</t>
  </si>
  <si>
    <t>~MUDASIR AHMAD MALLA
+965 558 41643
Kuwait
CT scanner</t>
  </si>
  <si>
    <t>Nilay Navadiya
+919033330963
Ahmedabad
Maybe dealer</t>
  </si>
  <si>
    <t>Dr dinesh
+91 94481 57055
Kadur (chickmagalore district)
Karnataka
We are opening new one</t>
  </si>
  <si>
    <t xml:space="preserve">~Tsabeeh Abd Alwhab (Managaing Director of a company in Sudan)
+249912683165 (available on whatsapp)
Sudan (north africa)
wants the catalogue of our products and discuss </t>
  </si>
  <si>
    <t>Dr. Sanjay Agrawal
+91 79 7849 0955
Ramawtar Hospital 
Saraipali, Chhattisgarh</t>
  </si>
  <si>
    <t>Happiness Yankho Mainala (stainly)
+91 90418 85329
dealer may be -</t>
  </si>
  <si>
    <r>
      <rPr/>
      <t xml:space="preserve">Reconnect to Dr Jain (District kulgham, Kashmir) - - </t>
    </r>
    <r>
      <rPr>
        <color rgb="FF1155CC"/>
        <u/>
      </rPr>
      <t xml:space="preserve">click here --  </t>
    </r>
  </si>
  <si>
    <t>Name: Mandeep
Phone: 07773045677
Email: diagnosticstulsi@gmail.com
Country: India
City: SINGRAULI
Hospital/Clinic: TULSI DIAGNOSTICS &amp; PATHLABS</t>
  </si>
  <si>
    <t>Vivek
+91 81389 55147
ernakulam, kerala 
CT 128 slice -- Siemens somatom go up / ge revolution</t>
  </si>
  <si>
    <t xml:space="preserve">nayan mohanty
+91 832 904 5299
Maa medicare
Baliapal - balasore, Odhisha
MRI machine price </t>
  </si>
  <si>
    <t>Dr. S.K Singh
8108011649
Lucknow
dealer may be because he runs two company also</t>
  </si>
  <si>
    <t>Ravindra Singh
Swastick Biomedical
Number: 9807656377
MRI Machine
 (dealer)</t>
  </si>
  <si>
    <t>OP Goswami
KR Traders
+91 92153 31025
16 32 slice CT scan machine and MRI
Dealer</t>
  </si>
  <si>
    <t>Avinash Tyagi
Tyagi Medicaid System
+91 96250 25771
Kurukshetra
Dealer</t>
  </si>
  <si>
    <t>Bikash Kumar
Om Sai Diagnostic 
Anvit medical Hzb
Hazaribagh, Jharkhand
+91 70703 31138
CT and MRI</t>
  </si>
  <si>
    <t>~Venugoopalreddy K
Sunray Hospital
+91 98661 23132</t>
  </si>
  <si>
    <t>~Dr Shashi Gupta
+91 92300 04261
Malda, West Bengal
somatom model CT - Siemens</t>
  </si>
  <si>
    <t>Name: Pugazh Sam
Phone: 9629382399
Email: pugazhendhi1994@gmail.com
City: Salem, Tamil Nadu
Hospital/Clinic: ATHILA SCANS
Enquiry: PLANNING TO EXPAND MY SCANS TO CT AND MRI. CAN YOU QUOTE ME THE PRICES OF CT AND MRI MACHINES</t>
  </si>
  <si>
    <t>Dr Vikram Gautam
+918445430839
CT Scan</t>
  </si>
  <si>
    <t>Dr. Manish Kaushik
+91 83840 24091
Jaipur, Rajasthan</t>
  </si>
  <si>
    <t>N K PATEL
+917643023361
Ct 32 slice and MRI 3T</t>
  </si>
  <si>
    <t>Devyasi
West Bengal
+91 96799 43999
Dealer</t>
  </si>
  <si>
    <t>Bablu Singh
+977 9814268309
Nepal
Need CT/MRI, in NEPAL
Dealer from nepal</t>
  </si>
  <si>
    <t>~SAGAR ENTERPRISES
+91 95321 72757
Varanasi, U.P
Dealer</t>
  </si>
  <si>
    <t>Dr. Tajamul Sherazi
+91 9797010519
J &amp; K</t>
  </si>
  <si>
    <t>Niyas Nasar
+91 98959 18011
New Care Scans and Diagnostic
Kollam, Kerela</t>
  </si>
  <si>
    <t>Akhilesh Prakash Shrivastva</t>
  </si>
  <si>
    <t>Pradip Tiwari
7002605234
Guwahati, Asssam
CT scanner</t>
  </si>
  <si>
    <t>Name: Anil Sonawane
Phone: 9689770111
Email: anilsonawane@fidelitydaignostics.com
Country: India
City: PUNE
Hospital/Clinic: Fidelity Diagnostics Pvt Ltd</t>
  </si>
  <si>
    <t>Name: george warui
Phone: +254721541387
Email: georgewarui08@gmail.com
Country: Kenya
City: Mombasa
Enquiry: What is the best price for your machines, catalogue please</t>
  </si>
  <si>
    <t>Akhilesh Prakash Shrivastava
+91 72090 04029
CENTRAL X-RAY KENDRA, 
Rajendra Road, Barauni, Begusarai, Bihar, 851112
CT SCAN Needed</t>
  </si>
  <si>
    <t>Name: Ramakrishna
Phone: 9003811707
Country: India
City: Coimbatore
Hospital/Clinic: Ellen Hospital</t>
  </si>
  <si>
    <t xml:space="preserve">Name: Krishna
Phone: 9949325392
Email: chowdarybannu9@gmail.com
Country: India
City: Vijayawada
Hospital/Clinic:
Enquiry: We need Refurbished gamma camera, </t>
  </si>
  <si>
    <t>Name: Shobhit Mishra
Phone: 9654956414
Email: shobhit.m.x@gmail.com
Country: India
City: Deoria
Enquiry: I am looking for CT scan machine</t>
  </si>
  <si>
    <r>
      <rPr>
        <rFont val="Arial"/>
        <color theme="1"/>
      </rPr>
      <t xml:space="preserve">Name: M.ZUNED Memon
Phone: +971585248185
Email: zuned@fettleintegrated.com
Country: United Arab Emirates
City: Dubai
Enquiry: If u are interstednin buying Siemens Spectra 3T MRI 2017 please contact me.
</t>
    </r>
    <r>
      <rPr>
        <rFont val="Arial"/>
        <b/>
        <color theme="1"/>
      </rPr>
      <t>Wants to Sell</t>
    </r>
  </si>
  <si>
    <t>Name: SYED MOSHARAF HOSSAIN
Phone: 9732615531
Email: deep@smcbangla.com
Country: india
City: kolkata
Hospital/Clinic: SMCH
Enquiry: NEED CT &amp; MRI</t>
  </si>
  <si>
    <t>Dr. Osman Zaman
+971527992131
Chief Operating Officer | Hospital &amp; Healthcare Executive 
Country: UAE 
CT Machine
City- Al Ain, Abu Dhabi</t>
  </si>
  <si>
    <t>Name: Avinash Rudraprakash
Phone: 9810533228
Email: avinashkr2@gmail.com
City: Delhi
Hospital/Clinic: City Hospital
Enquiry: Looking for CT machine</t>
  </si>
  <si>
    <t>Name: SARAVANAN ARUNACHALAM
Phone: 9842966662
Email: saran_rkp@yahoo.com
City: CHENNAI
Hospital/Clinic: Hospital
Enquiry: NEED CT SCAN 128 SLICE AND 16 SLICE</t>
  </si>
  <si>
    <t>Wafik Jbeily
+ 9611612014
City- Beirut
Country- Lebanon (Middle East)
Hello, we need MRI spare parts (GE signa prime 1.5T) and we need refurbished siemens mammography must be manufactured 2019</t>
  </si>
  <si>
    <t>Dr Sahdev Chaudhary
7419181876
Palwal, Haryana
CT Scanner</t>
  </si>
  <si>
    <t>Name: Yunush Khan
8010686617
gradient coils requirement</t>
  </si>
  <si>
    <t>Sai Kumar Keshava Das
+91 95427 29613
Hyderabad 
Dealer</t>
  </si>
  <si>
    <t>Dr . Bhargav Mulchandani
+91 97274 68930
Gujarat</t>
  </si>
  <si>
    <t>Fakaruddin Khan
+91 751 855 9667
dealer may be</t>
  </si>
  <si>
    <t>Dr Haris K P
Radiologist
+91 99959 52520
Kerela</t>
  </si>
  <si>
    <t xml:space="preserve">SHAHZAN KHAN
+91 98689 61431
9340906727
Farukhabad, U.P
New Hospital - </t>
  </si>
  <si>
    <t>Vc1nicethings@gmail.com</t>
  </si>
  <si>
    <t>chandan_gulati@yahoo.com</t>
  </si>
  <si>
    <t xml:space="preserve">info@german-rays.com , </t>
  </si>
  <si>
    <t>adnan.awadi@yahoo.com</t>
  </si>
  <si>
    <t>Name: Moon Chaewon
Phone: +17176866400
Email: moon.chaewon@accsgbl.com
Country: Canada
City: Toronto
Hospital/Clinic: Access Global Group
Enquiry: We are interested in your products, Kindly send us product prices and catalogue for immediate purchase. Best Regards.</t>
  </si>
  <si>
    <t>moon.chaewon@accsgbl.com</t>
  </si>
  <si>
    <t>Name: D A TIFO
Phone: +447903212347
Email: daahir1@live.com
Country: United Kingdom
City: Nairobi
Hospital/Clinic: Diagnostic Centre
Enquiry: Hello,</t>
  </si>
  <si>
    <t>daahir1@live.com</t>
  </si>
  <si>
    <t>Tony Yiğit
+12017371257
City:- Cliffside Park -  borough
Bergen County,- New Jersey, U.S.A
erdoganceran9@gmail.com
(service request)
Source- Facebook Ads</t>
  </si>
  <si>
    <t>erdoganceran9@gmail.com</t>
  </si>
  <si>
    <t>Ibrahim Sadek
+17137137137
ibrahimsadek@gmail.com
City- Houston, State - Texas
USA
Source- Facebook ads</t>
  </si>
  <si>
    <t>ibrahimsadek@gmail.com</t>
  </si>
  <si>
    <t>Name: Mohan Patra 
Number: +8801723690188
Need: MRI or CT Machine
Location: Bangladesh
(dealer)</t>
  </si>
  <si>
    <t>Name: Abd El Rahman
Number: +966598846397 (whats up number)
Location: Saudi Arabia
Selling GE 1.5T MRI Machine 2009 Model</t>
  </si>
  <si>
    <t>Name: HaMza 
Number: ‪+212722035394‬
Country: Casablanca, Morocco
wants to sell philips cath machine
Source: FB</t>
  </si>
  <si>
    <t>Name: Juan nunez
Phone: +18097070789
Email: juanlly1990@gmail.com , juanfcolly@hotmail.com
City: San Francisco de Macoris
Country: Dominican Republic
Continent: North America, Carrebian Islands
Hospital/Clinic: Centro de salud integral y díabetes
(website leads)</t>
  </si>
  <si>
    <t>DONE - will be handled by sir or ma'am/ Sachin Sir</t>
  </si>
  <si>
    <t xml:space="preserve"> juanlly1990@gmail.com , juanfcolly@hotmail.com</t>
  </si>
  <si>
    <t>~Dr Irfan M Kasmani
+265 999 45 57 86
Malawi, East Africa
Cath Lab</t>
  </si>
  <si>
    <t>Name: Eng-ALaa Althobhany 
Number: ‪+967779779280‬
Need: Siemens Gradient coil (Verio MRI)
Location: Yemen But : coil need in Malaysia
Source: FB</t>
  </si>
  <si>
    <t>Full name- Jay Jenkins
Phone number +17026014747
Email - jaiiii2@hotmail.com
City- Las Vegas, Nevada, USA</t>
  </si>
  <si>
    <t xml:space="preserve"> jaiiii2@hotmail.com</t>
  </si>
  <si>
    <t>Name: Aaron Kuehl
Phone: 4027874144
Email: akuehl@phasemedical.com
Country: United States
City: Omaha
Enquiry: Price request for delivery to client in US</t>
  </si>
  <si>
    <t>akuehl@phasemedical.com</t>
  </si>
  <si>
    <t>Name: Tauseef Khan
Phone: +243993122307
Email: khan@nvceyanogoma.com
Country:Congo,  Demcratic Republic of Congo, Central Africa
City: Kinshasa
Hospital/Clinic:-Goma Tosif Khan Hospital Eyano
Enquiry: Want to know about refurbished MRI and CT scan if you are willing to install in Africa
(website form leads)</t>
  </si>
  <si>
    <t>khan@nvceyanogoma.com</t>
  </si>
  <si>
    <t>Name: Ed Petrovskis
Phone: +18479121644
Email: Edpetrovskis7@gmail.com
Country: United States
City: Itasca
Hospital/Clinic:
Enquiry: I came across your website and see that you have many CT Systems available.</t>
  </si>
  <si>
    <t>Edpetrovskis7@gmail.com</t>
  </si>
  <si>
    <t>Gaurav Aggarwala
Phone number +17138061487
Email- Tpatel@pulsephysicians.com
City - The Woodlands, Texas</t>
  </si>
  <si>
    <t>Tpatel@pulsephysicians.com</t>
  </si>
  <si>
    <t>Charlie Piccinnini
Phone number +17327406413
Email cp4951@gmail.com
City - Manhattan, New York</t>
  </si>
  <si>
    <t>cp4951@gmail.com</t>
  </si>
  <si>
    <t>neil singh / satish
Phone number +17143363588
Email - cbimaging007@gmail.com
City - Anaheim, California</t>
  </si>
  <si>
    <t>cbimaging007@gmail.com</t>
  </si>
  <si>
    <t>Name: les bridges
Number: +447808587137 (whats up number)
Country: United Kingdom
Dealer of imaging equipment</t>
  </si>
  <si>
    <t>Dominic langat
‪+254759165484‬
Kenya,</t>
  </si>
  <si>
    <t>Gebret sadik 
+251918794733
Ethopia, East Africa
MRI CT installation</t>
  </si>
  <si>
    <t>will be handled by sir or ma'am/ Sachin Sir-------- was asking for layout site planning</t>
  </si>
  <si>
    <t xml:space="preserve">~Chris Piccinnini
+17327406413
US
(looking for spare parts)
X-ray tubes for CT
Akron Dura 532Q
It’s for a Siemens Biograph 16 </t>
  </si>
  <si>
    <t>Name: Kiko Ramos
Phone: +34625313975
Email: 4dmedica@4dmedica.com
Country: España
City: Picassent
Hospital/Clinic: 4d medica
Enquiry: Hello. May I know the price ? Do you have brivo 385 or Revolution EVO 16 slices?</t>
  </si>
  <si>
    <t xml:space="preserve"> 4dmedica@4dmedica.com</t>
  </si>
  <si>
    <t>Name: rabea
Phone: +963992292474
Email: rabemnasfe@gmail.com
Country: syria
City: damascus
Hospital/Clinic: philips
Enquiry: hello price plwase</t>
  </si>
  <si>
    <t xml:space="preserve"> rabemnasfe@gmail.com</t>
  </si>
  <si>
    <t>Otávio Pagnoncelli
+5541992223607
Curitiba PR, Brazil (South America)
looking for Siemens Essenza Dot warm system</t>
  </si>
  <si>
    <t>Betim Sadriu
+37744517811
Illinios--- (he has offices in Manaco(French region), Kosovo, Turkey and Bulgaria)
Want to buy and sell multiple machines</t>
  </si>
  <si>
    <t>Ahmed Tharwat
+201113797283
Cairo, Egypt (Africa)
I need closed MRI 1.5 T
Preferably Siemens avanto</t>
  </si>
  <si>
    <t>Tony
+84938512355
Ho Chi Minh City, Vietnam (Southeast Asia)
CT 16/32/128 Slices</t>
  </si>
  <si>
    <t>~Gianfranco Duro
+393512424179
 Global biomedical Servie 
Italy, (Europe)
Want to discuss about possibilities of business partnership</t>
  </si>
  <si>
    <t>Qazi Mansoor Ahmed
+17347273539
qazilotus@hotmail.com
detroit,Michigan, USA</t>
  </si>
  <si>
    <t>qazilotus@hotmail.com</t>
  </si>
  <si>
    <t>Rafael Matiyas 
+14695038340
Matiyas50@gmail.com
Garland, Dallas, Texas, USA</t>
  </si>
  <si>
    <t>Matiyas50@gmail.com</t>
  </si>
  <si>
    <t>speedyROB
+18885551212
rcpnow@gmail.com
San diego, South California, USA</t>
  </si>
  <si>
    <t>rcpnow@gmail.com</t>
  </si>
  <si>
    <t>Dayan Hernández Castro
+12398348584
dayanhdezcastro@gmail.com
naples, Florida, USA</t>
  </si>
  <si>
    <t>dayanhdezcastro@gmail.com</t>
  </si>
  <si>
    <t>Name: Patrick sil
Phone: 254742690544
Email: patricksila@radiologist.net
Country: Kenya
City: Nairobi
Hospital/Clinic:
Enquiry: Hello i would like to get a quotation for your machines. I would like a quotation for ceiling mounted xray machine, 64 and 32 slice ct scans, gama camera, and an mri machine.</t>
  </si>
  <si>
    <t>patricksila@radiologist.net</t>
  </si>
  <si>
    <t>~Sefiye
+90 545 378 12 37
Turkey
Wants to work as dealer and also provide spare parts
-Siemens MRI parts repair ( Digital RF Transmitter and RFPA repairs. etc)</t>
  </si>
  <si>
    <t>Otávio Pagnoncelli Muller
+5541992223607
Curitiba, Brazil (South Brazil)
Needs Part
BRM-D gradient coil.(MRI - GE)</t>
  </si>
  <si>
    <r>
      <rPr/>
      <t xml:space="preserve">Name: Sabri Haj
Email: Eng_sabri@hotmail.com
Need: quotation of MRI Machine
Profile: Director Sales Operations | Healthcare Expertise
</t>
    </r>
    <r>
      <rPr>
        <color rgb="FF1155CC"/>
        <u/>
      </rPr>
      <t>https://www.linkedin.com/in/sabri-haj-b413b87/</t>
    </r>
    <r>
      <rPr/>
      <t xml:space="preserve">
Location: Abu Dhabi Emirate, United Arab Emirates
(we have his email only)</t>
    </r>
  </si>
  <si>
    <t>Eng_sabri@hotmail.com</t>
  </si>
  <si>
    <t>Glenn Unite Talisayan
+14809105876 (no whatsapp)
glennunite@gmail.com
Lancaster, Pennsylvania, USA</t>
  </si>
  <si>
    <t>glennunite@gmail.com</t>
  </si>
  <si>
    <t>Mahmood hassan elnaham
+12094455983
melnaham@yahoo.com
Taiz, YEMEN</t>
  </si>
  <si>
    <t>melnaham@yahoo.com</t>
  </si>
  <si>
    <t>Aicardo Vasquez
+17543668307
aicardo_vasquez@hotmail.com
Coral Springs, Florida, USA</t>
  </si>
  <si>
    <t>aicardo_vasquez@hotmail.com</t>
  </si>
  <si>
    <t>Name: Tasos Lekkas
Need: Body coil 08120540, Gradient coil 08119690 (Siemens)
Whatup Number:‪+30 695 517 6141‬
Location: Greece (Southeast Europe)
Source: FB</t>
  </si>
  <si>
    <t>Name: Hashim Tulimat
Need: GE CT 32 slice 
Number: +971502540042 (WhatsApp number)
Source: FB</t>
  </si>
  <si>
    <t>Puru sharma/ Parshota Sharma
+18328605977
Mrpksharma@aol.com
New York, USA</t>
  </si>
  <si>
    <t>Mrpksharma@aol.com</t>
  </si>
  <si>
    <t>no need - confirmed on whatsapp</t>
  </si>
  <si>
    <t xml:space="preserve">Farid khan
+971 50 978 6080‬
Sharjah UAE </t>
  </si>
  <si>
    <t>Mohon patra
+8801723690188
Need service support
--
GE Signa Explorer 1.5T from 2018
 - 16 channels
 - SV25.2_R04_2127.a
 - Coils: Shoulder, Knee, Head, Body, Foot Ankle, Wrist 
 - Coming to stock end of August in Cold condition.</t>
  </si>
  <si>
    <t>Matsiko Simon
matsikosimon36@gmail.com
Ibanda Hospital
+256789048832
Biomedical Engineer
Uganda</t>
  </si>
  <si>
    <t>matsikosimon36@gmail.com</t>
  </si>
  <si>
    <t>Name: Liu Li
Phone: +8618688920401
Email: liuli.mr@gmail.com
Country: China
City: Shanghai
Hospital/Clinic: Mutiple hospitals
Enquiry: I'm Liu Li(Mr.) from MediFlow Co., Ltd., a China-based company that specialize in sourcing and recycling pre-owned radiology equipment (MRI, CT, DSA, ultrasound) from Chinese hospitals for refurbishment companies like yours. Our high-quality, cost-effective equipment can boost your stock for refurbishing and re-sale. Interested? I can share our catalog or discuss your needs. Reply to connect! WhatsApp: +8618688920401</t>
  </si>
  <si>
    <t>liuli.mr@gmail.com</t>
  </si>
  <si>
    <t>Name: Chen ZhiKang from Perlove Medical
Phone: 008613607140454
Email: perlove-104@perlove.com.cn
Country: China , PRC
City: Nanjing city
Hospital/Clinic:
Enquiry: Hi, I am Chen from China,Perlove Medical , our company mainly manufacturing and supplying X-ray equipment , and we think maybe your company can be a good platform to promote our product , especially our new 3d c-arm and spinal surgical robot . here are link of this product https://www.perlove.net/spine-surgical-navigation-system/ maybe we can work together on this item . looking forward to your reply .</t>
  </si>
  <si>
    <t>perlove-104@perlove.com.cn</t>
  </si>
  <si>
    <t>3d c-arm, surgical robots, x-ray--- not needed for us</t>
  </si>
  <si>
    <t>David Drapeau
+12074583663
daveearlene@msn.com
City- Augusta, State-Georgia, 
USA</t>
  </si>
  <si>
    <t>daveearlene@msn.com</t>
  </si>
  <si>
    <t>Childs Mary Brown
+14342225392
marybrownva@gmail.com
City- Alton, State- Illinois
USA</t>
  </si>
  <si>
    <t>marybrownva@gmail.com</t>
  </si>
  <si>
    <t>David Chin KY 
+60167255998  
Damansara, Kuala Lumpur, Malaysia
PET CT Scan</t>
  </si>
  <si>
    <t>Name: mike sandor
Phone: +32 496289374
Email: mike.sandor912@gmail.com
Country: belgium
City: brussels
Hospital/Clinic: BIA international company
Enquiry: dear Sir/Madam,plrease let me know outright price for new and refurbished 16ch GE HNS coil with two hypertronic connector. br,</t>
  </si>
  <si>
    <t>mike.sandor912@gmail.com</t>
  </si>
  <si>
    <t>Name: Manhal al khalf
Phone: +963933006675
Email: mnhlalkhlf@gmail.com
Country: Syria
City: Aleppo
Hospital/Clinic: Sham hos
Enquiry: Device Model: Date of manufacture</t>
  </si>
  <si>
    <t>mnhlalkhlf@gmail.com</t>
  </si>
  <si>
    <t>Name: Ahmed
Phone: +17327133745
Email: Ahmed@panamimaging.com
Country: United States
City: Monro, New Jersey
Hospital/Clinic: Parts Supplier</t>
  </si>
  <si>
    <t>Ahmed@panamimaging.com</t>
  </si>
  <si>
    <t>Name: Nefaz ALi
Number: 00923139134571
Country: Pakistan
Need:Cold Head
Source: FB</t>
  </si>
  <si>
    <t>JGaylene Crowder
+14792958758
crowderjg@icloud.com
Rogers, Michigan
U.S.A</t>
  </si>
  <si>
    <t>crowderjg@icloud.com</t>
  </si>
  <si>
    <t>Name: Tamer Elgendy
Phone: +201000018209
Email: tamer.elgendy67@gmail.com
Country: Egypt
City: Cairo</t>
  </si>
  <si>
    <t xml:space="preserve"> tamer.elgendy67@gmail.com</t>
  </si>
  <si>
    <t>Name: Edwin Rodriguez 
Number: ‪+17875152883‬
Country: Puerto Rico
Sell: GE &amp; Philips MRI Machine (3 MRI)</t>
  </si>
  <si>
    <t>Name: Ahmad Abu Hamzeh 
Number: +905312378190‬  
Need: GE Dexa Lunar
Profile: (re-seller) biomedical Enginner 
Country: Turkey
Source:FB
(dealer)</t>
  </si>
  <si>
    <t>~Dr Shabeer Nellikode
+91 99470 00099
Would like to know more, what is the inventory list that you have? I am actually doing low-cost diagnostics and hospitals in some parts of West Africa. If you have something which matches our price, we would like to explore. We need all the products that you mentioned above.</t>
  </si>
  <si>
    <t>Name: Mark Dingal 
Number: 00962795583052
Need: 1.5 Tesla MRI Machine
Location: Jordan (Middle East)</t>
  </si>
  <si>
    <t>Carol Nash-Cowan
+13147419421
carolcowan1944@gmail.com
St. Louis, Missouri, USA</t>
  </si>
  <si>
    <t>carolcowan1944@gmail.com</t>
  </si>
  <si>
    <t>Linda Gobble
+12764929077
lgobble9077@gmail.com
Abingdon, Washington County, Virginia
USA</t>
  </si>
  <si>
    <t>lgobble9077@gmail.com</t>
  </si>
  <si>
    <t>Name: Abdul malek Sayem
Phone: +8801316171200
Email: sayem@labomedbd.com , maleksayem@gmail.com
Country: Bangladesh
City: Dhaka
Enquiry: We are looking for 32/64 Slice CT Scan for our customer. Send us offer for available model with price and service support .</t>
  </si>
  <si>
    <t>sayem@labomedbd.com , maleksayem@gmail.com</t>
  </si>
  <si>
    <t>JACK ULMER
+12089358362
zaggiejo@msn.com
KAMIAH, Idaho , USA</t>
  </si>
  <si>
    <t>zaggiejo@msn.com</t>
  </si>
  <si>
    <t>~Davide Ultini
+39 348 427 2869
Italy
buyer and seller from italy-
wants to sell many equipmets (Siemens MRI and CTs)</t>
  </si>
  <si>
    <t>Name: Dipendra Yadav 
Number: ‪+9779817867666‬ 
Country : Nepal
Need: 1.5 MRI Machine (asking Price)
Source: FB</t>
  </si>
  <si>
    <t>Name: Abdalraoof Kz 
Number: +218911241939
Country : Libya
Need: 1.5 MRI Machine 
Source: FB</t>
  </si>
  <si>
    <t>Name: Lusun John 
Number:+9779801126999
Need: Mri computable monitor 
Country: Nepal
Source:FB</t>
  </si>
  <si>
    <t>Javlon Jumanov
+998931501890
MRT 1..5 tesla</t>
  </si>
  <si>
    <t>Name: Mohammad Adeeb Algaohargy 
Number: +9647716085977
Need: MRI Machine &amp; CT Machine (128 Slice)
country: Iraq (users)
https://www.facebook.com/mohadeeb.algaohargy</t>
  </si>
  <si>
    <t>Name: Mahm Bakhyt 
Number: +77777562342
Need: Shimming Tool for 1.5Tesla MRI
Country: Almaty, Kazakhstan</t>
  </si>
  <si>
    <t>Peter J. Conti
Phone number +15085773186
Email peterconti58@msn.com
City -Mansfield</t>
  </si>
  <si>
    <t>peterconti58@msn.com</t>
  </si>
  <si>
    <t>Robert Whitaker III
+18172537026
whitakercptn@aol.com
Arlington</t>
  </si>
  <si>
    <t>whitakercptn@aol.com</t>
  </si>
  <si>
    <t>Name: hasan shawket
Phone: +905356093158
Email: sales@hayat-med.com
Country: Türkiye
City: gaziantep
Hospital/Clinic:
Enquiry: I am Hassan from Hayat Medical Company. Can I contact you regarding the Gamma camara device?</t>
  </si>
  <si>
    <t>sales@hayat-med.com</t>
  </si>
  <si>
    <t>Maria Quintana
+19155396747
antonietaquint9401@gmail.com
EL PASO, TEXAS
USA</t>
  </si>
  <si>
    <t>antonietaquint9401@gmail.com</t>
  </si>
  <si>
    <t>Earlene Thompkins
+19105854107
ethompkins1933@gmail.com
Raeford, North Carolina
USA</t>
  </si>
  <si>
    <t>ethompkins1933@gmail.com</t>
  </si>
  <si>
    <t>Name: East Georgia Regional Medical Centre 
Statesboro
City in Georgia, 
USA
Number: ‪+19124861000‬ 
Materials Management</t>
  </si>
  <si>
    <t>Name: God brought Al-Maliki  (Mr. Gaballa)
Number: +201022222454
Need: MRI Machine
Country: Egypt
Source: FB</t>
  </si>
  <si>
    <t>Dr Ali Saeed
+201020585311
Country: Al Jizah, Egypt
Email: alikazlak0@gmail.com
jbc592sjbc@privaterelay.appleid.com
Need: 16 slice CT Machine</t>
  </si>
  <si>
    <t>alikazlak0@gmail.com</t>
  </si>
  <si>
    <t>Name: Haythem Bouzayen 
Number: ‪+21696976274‬
Country: Tunisia (North Africa)
Note: He wants to work with us as intern and is in medical equipment industry</t>
  </si>
  <si>
    <t>Charlie Thomas
+16788952106
Email- kmcharliethomas2106@gmail.com
City- Carrollton, USA</t>
  </si>
  <si>
    <t>kmcharliethomas2106@gmail.com</t>
  </si>
  <si>
    <t>Manuel Antonio Martinez Vargas
+13216637091
mamvhn1@gmail.com
City - Lancaster, Pennsylvania, United States,</t>
  </si>
  <si>
    <t>mamvhn1@gmail.com</t>
  </si>
  <si>
    <t>Name: Eduardo Romero
Phone:+527353583934
Email: gdesadecv@hotmail.com
Country: Mexico
City: Morelos
Hospital/Clinic: Centro de Diagnostico Integral Mena</t>
  </si>
  <si>
    <t>gdesadecv@hotmail.com</t>
  </si>
  <si>
    <t>Name: Erli Moreno
Number: ‪+584122992484‬
country: Venezuela , south America
Need: CT Machine</t>
  </si>
  <si>
    <t>Name: Ayman
Phone: +2001127126998
Email: aymanmahmoudsalama1987@gmail.com
Country: Egypt
City: Cairo
Hospital/Clinic: Private Center
Enquiry: Do you have an agent for your machines in Egypt ? I want to be there if we can sale and buy a new machines in Egypt ? Please contact me if you want
(seems like a dealer)</t>
  </si>
  <si>
    <t>aymanmahmoudsalama1987@gmail.com</t>
  </si>
  <si>
    <t>Name: Raqibullah Mujaddidi
Number: +93786259090
Need: Ge Dexa lunar
Country: Afghanistan</t>
  </si>
  <si>
    <t>Name: Raouf Samati 
Number: ‪+213664861322‬
Country: Algeria (North Africa)
raoufsmati514@gmail.com
(dealer )</t>
  </si>
  <si>
    <t>raoufsmati514@gmail.com</t>
  </si>
  <si>
    <t>Name:Bebeto Herrera 
Number: +59172077516
Need: Bone Densitometer Machine
Country: Bolivia (South America)</t>
  </si>
  <si>
    <t>Mary Beth Baker
+19037907463
allmbeth@hotmail.com
Longview, Texas, United States.</t>
  </si>
  <si>
    <t>allmbeth@hotmail.com</t>
  </si>
  <si>
    <t>Name: Mohamed Jaber
Phone: +97455879377
Email: jaberi_moh@hotmail.com
Country: Qatar
City: Doha</t>
  </si>
  <si>
    <t>jaberi_moh@hotmail.com</t>
  </si>
  <si>
    <t>Ramiro De La Riva
+19497422632
ramirodelariva@yahoo.com
Lake Forest, California, USA</t>
  </si>
  <si>
    <t>ramirodelariva@yahoo.com</t>
  </si>
  <si>
    <t>Name: Dang Quoc Vui
Nummber: +84888559676
Company name: V.T Technical
Vietnam, South East Asia
(Dealer)</t>
  </si>
  <si>
    <t>Name: Aymen Dheyab 
Number: ‪+9647882220044‬
Need: CT Machine (biomedial enginner or re-seller)
Country: Iraq</t>
  </si>
  <si>
    <t>Name: Oybek
Phone: +998934404050
Email: ideal2304@mail.ru
Country: Uzbekistan
City: Andijon
Hospital/Clinic: Medicana</t>
  </si>
  <si>
    <t>deal2304@mail.ru</t>
  </si>
  <si>
    <t>Name: Taibah company for medical
Number: +963947294535
Need: MRI Machine (asking price)
Country : syria</t>
  </si>
  <si>
    <t>Name: Zouher Ma Imaging
Need: Knee coil 16 channel 
Number: +963944690642
Country: Syria
Note: coil needed for 1.5 MRI Signa creator</t>
  </si>
  <si>
    <t>Name: Ahmed Ramadan
Phone: +201147142640
Email: body.oufa1710@gmail.com
Country: Egypt
City: Cairo</t>
  </si>
  <si>
    <t>body.oufa1710@gmail.com</t>
  </si>
  <si>
    <t>Name: Luis Alfredo Roquebrun 
Number: ‪+584248990550‬
Need: MRI or CT (asking price)
Profile: Biomedical engineers
Country: Venuzula , South America</t>
  </si>
  <si>
    <t xml:space="preserve">Name: Bouhadja  (Doudou Milano)
Phone: +213665496252 
Email: heilsou.dz@gmail.com 
Country: Algeria DZ 
City: قسنطينة  (Constantine)
Enquiry: Please the price of tesla 3 mri </t>
  </si>
  <si>
    <t xml:space="preserve">heilsou.dz@gmail.com </t>
  </si>
  <si>
    <t>Dr Rashid 
+966 58 022 5811
Saudi Arabia
Prices of machine</t>
  </si>
  <si>
    <t>Name: Tomo Rmn 
Number: ‪+5493513105850‬
City: Cordoba
Country:  Argentina (South America)
Need: installation service of siemens Magnetom C</t>
  </si>
  <si>
    <t>Sadik Amin
Number: +8801829244608 (dealer)
Need: MRI Machine
Country: Bangladesh
Dealer</t>
  </si>
  <si>
    <t>Iraida Ortiz Ortiz
+17873740951
iraidaortiz4296@gmail.com
Miami</t>
  </si>
  <si>
    <t>iraidaortiz4296@gmail.com</t>
  </si>
  <si>
    <t>Name: Ali Alobthani 
Number:+966530211157
Country: Saudi Arab, City:Riyadh
Want to Scrap Sell GE MRI Machine</t>
  </si>
  <si>
    <t>Name: Omar Al-Beik 
Need: 1.5 Tesla Siemens MRI, Service &amp; mainteance
Number: +963997048180
Country: Syria, Aleppo city</t>
  </si>
  <si>
    <t>Name: Rhyan H. Cabbigat
Phone: +9350242999
Email: cabbigatrhyan@gmail.com
Country: Philippines
City: LAGAWE (Capital) (IFUGAO)
Hospital/Clinic: IFUGAO GENERAL HOSPITAL
Enquiry: PRICE OF A 32 SLICE COMPUTED TOMOGRAPHY ( CT ) sCAN MACHINE ARTIFICIAL INTELLIGENCE</t>
  </si>
  <si>
    <t>cabbigatrhyan@gmail.com</t>
  </si>
  <si>
    <t>Name: Mouad Dje 
Number: ‪+213783154119‬
Need: MRI Machine
country: Algeria, North Africa</t>
  </si>
  <si>
    <t>Name: Erli Moreno
Number: ‪+584122992484‬
Need: CT Machine
Country: Venezuela - South America</t>
  </si>
  <si>
    <t>Edwin Rodriguez
+17875152883
Puerto Rico, Caribbean (USA)
Ebr3277@gmail.com
wants to sell many MRI parts</t>
  </si>
  <si>
    <t>Ebr3277@gmail.com</t>
  </si>
  <si>
    <t>Name: Tuan Nguyen
+84903730246
+14373836668
Email: tuannd912@gmail.com
Country: Vietnam
City: Ho Chi Minh City
Hospital/Clinic: East Sai gon hospital
Enquiry: Quotation of PET CT 16/32 GE ?</t>
  </si>
  <si>
    <t xml:space="preserve"> tuannd912@gmail.com</t>
  </si>
  <si>
    <t>Mowaffak Breighesh
+962788272668
Jordan, Middle East
PET-CT Scan machine</t>
  </si>
  <si>
    <t>Dr René Delgado
+59178966040
Email: rened_a@hotmail.com
Country: Bolivia (South America)
City: La Paz</t>
  </si>
  <si>
    <t xml:space="preserve"> rened_a@hotmail.com</t>
  </si>
  <si>
    <t>Name: Matsuo Koji 
Number: ‪+818096961155‬
Note: Wants to Sell Cannon CT Machine
Country: Japan</t>
  </si>
  <si>
    <t>~Rafi Khattak
+971 55 848 3053
UAE
Wants to Sell 1.5 MRI</t>
  </si>
  <si>
    <t>Philip Apotchie
+19122282304
philipedem84@gmail.com
El Paso, Texas, United States</t>
  </si>
  <si>
    <t>philipedem84@gmail.com</t>
  </si>
  <si>
    <t>Joseph
+91 90413 01216
Wants to ship MRI and CT to -- Liberia, west Africa
currently in Ludhiana, Punjab
MRI and CT</t>
  </si>
  <si>
    <t>Nirbhai Sandhu
+19042424352
mundasandhu@gmail.com
Cumming City, Georgia, U.S.A</t>
  </si>
  <si>
    <t>mundasandhu@gmail.com</t>
  </si>
  <si>
    <t>Name: Pédiatre Benhacine 
Number: ‪+213560066370‬
Need: CT Machine
Location-  Husseïn Dey, Alger, Algeria (North Africa )</t>
  </si>
  <si>
    <t>Name: Mustafa Ghulam 
Number: +971503645637
Need: Siemens Avanto MRI machine
Location: Sharjah (UAE)</t>
  </si>
  <si>
    <t>Name: Dr Aden Murcutt
Phone: +447904388860
Email: aden@myco.co.uk
Country: United Kingdom
City: Worcestershire
Hospital/Clinic: looking to open a diagnostic centre in the centre of Engalnd.</t>
  </si>
  <si>
    <t>aden@myco.co.uk</t>
  </si>
  <si>
    <t>Name: Yassine Baha 
Number: ‪+212607020207‬
Need: GE MRI Machine
Country: Morocco</t>
  </si>
  <si>
    <t>Name: Nic M. Lirazan 
Number: ‪+639182881818‬
Pofile : biomedical Enginner (re-seller)
Country: Philippines</t>
  </si>
  <si>
    <t>Vijay V
+974 3086 4536
Qatar</t>
  </si>
  <si>
    <t>Anthony Begay
+19283139151
Anthony.begay1@icloud.com
City- Phoenix, 
State- Arizona, 
Country- USA</t>
  </si>
  <si>
    <t>Anthony.begay1@icloud.com</t>
  </si>
  <si>
    <t>Name: Kojo
Phone: +233534395825
Email: Comelidistribution@gmail.com
Country: Ghana
City: Accra
Hospital/Clinic:
Enquiry: Basda BTI-030 and Basda BCT-16 (16 Slice CT Scanner) going for sale. Reply to the email if interested for further discussion. Thank you</t>
  </si>
  <si>
    <t>Comelidistribution@gmail.com</t>
  </si>
  <si>
    <t>Name: Dantha Delpachitra
Number: +94773983904
Need: 1.5 tesla mri machine
Country: Srilanka</t>
  </si>
  <si>
    <t>Name: Leon Parsons
Phone: 07494508292
Email: leon.parsons@probomedical.co.uk
Country: Great Britain (England)
City: Axbridge
Hospital/Clinic:
Enquiry: Hi I have multiple GE and Siemens MRI scanners availible are you looking to purchase any systems currently ?</t>
  </si>
  <si>
    <t>leon.parsons@probomedical.co.uk</t>
  </si>
  <si>
    <t>Name: Ranzkie Sadasop 
Number: +8209753575135
Need: CT scan 128 slices
Country: Soutry Korea</t>
  </si>
  <si>
    <t>Delearn Muleya (biomedical engineer)
+260965951993
Country: Zambia, Africa
General Enquiry</t>
  </si>
  <si>
    <t>Deogratious Makanya
Phone: +254 713 622 858
Email: deomakanya@yahoo.com
Country: Kenya
City: Nairobi
Hospital/Clinic: Nairobi wounds and ostomy solutions
Enquiry: Hello,Requesting the price and the cost of transportation to Nairobi, Kenya</t>
  </si>
  <si>
    <t>deomakanya@yahoo.com</t>
  </si>
  <si>
    <t>Name: EYAL
Phone: +972 3 688 7272
Email: RNALTD1@GMAIL.COM
Country: ISRAEL
City: TEL AVIV
Hospital/Clinic:
Enquiry: HELLO, LOOKING TO BUY SECOND HAND MACHINES : MRI, ULTRASOUND,MEMOGRAPHY ,TOMOGRAPHY . FREQUENCY:HDM</t>
  </si>
  <si>
    <t>RNALTD1@GMAIL.COM</t>
  </si>
  <si>
    <t>Name: Pawinee Ruangkachon (Brilliant Healthcare Co., Ltd)
Number:  +66979792924‬  (WhatsApp)
Need: Re-seller MRI/CT/Cath Lab
Country: Thailand</t>
  </si>
  <si>
    <t>Name: Magan Ali
Phone: +252634748599
Email: hayatdiagnostics@gmail.com
Country: Somalia (East Africa)
City: Hargeisa
Hospital/Clinic: Hayat Diagnostic Center
Enquiry: Please tell me if you can do installation including RF cage installation of Magnetom C2 Siemens here in Hargeisa, Somaliland. If yes, please send me the full quotation of the service charges.</t>
  </si>
  <si>
    <t>hayatdiagnostics@gmail.com</t>
  </si>
  <si>
    <t>Name: Magbo Christian
Phone: +2347031123077
Email: ejychris@gmail.com
Country: Nigeria (West Africa)
City: Benin-city Edo state
Hospital/Clinic: Erichris medical diagnostics limited
Enquiry: To ascertain prices ranges of GE and Siemens CT scan machines from 8-32slices</t>
  </si>
  <si>
    <t>ejychris@gmail.com</t>
  </si>
  <si>
    <t>Rebeca Moreno de Zavala
+13467628865
maitazavala@hotmail.com
Coro,(California)/ Venezuela(South America)</t>
  </si>
  <si>
    <t>maitazavala@hotmail.com</t>
  </si>
  <si>
    <t>Dr. Roshan Liyanage
Phone: +94719152346
Email: liyanage.l@kingshospital.lk
Country: Sri Lanka
City: Colombo
Hospital/Clinic: Hospital
Enquiry: Service hi This service is required in Colombo Sri Lanka. We are to install a refurbished CBCT imported from Japan. Sell your support in installation and maintenance on a contract. We will pay for travelling and lodging. Best regards Roshan</t>
  </si>
  <si>
    <t>liyanage.l@kingshospital.lk</t>
  </si>
  <si>
    <t>Mohammad Billah
+19173027148
kbillah@yahoo.com
City - Queens, New York State - U.S.A</t>
  </si>
  <si>
    <t>kbillah@yahoo.com</t>
  </si>
  <si>
    <t>Joshua Valentine
+639423192341
Manila, Philippines</t>
  </si>
  <si>
    <t>Name: Muhammad Javid 
Need: MRI or CT Machine (dealer)
Number: +923005894904
Country: Pakistan ( Dealer -available
 in UAE, U.S.A)</t>
  </si>
  <si>
    <t>Okache Victor Eje
Donvick Biomedical Radiology Device 
Number: +2348165638851
Profile: Biomedical Enginners
Country: Nigeria</t>
  </si>
  <si>
    <t>Dr. Magan Ali
magancali@hotmail.com        
+252633357222
Somalia</t>
  </si>
  <si>
    <t xml:space="preserve">magancali@hotmail.com  </t>
  </si>
  <si>
    <t>Name: Alaa El-Sebaei 
Number: +966561010358   (Chat on whatsasp Only)
Sale:  Ge MRI machine
Country: Saudi Arabia
(Chat on whatsasp Only)</t>
  </si>
  <si>
    <t>Name: Yasar Demirel
Need: MRI or CT Machine (dealer)
Number: ‪+905435543075‬
Country: Turkey</t>
  </si>
  <si>
    <t>nelson tesh 
~tesh biomedical services @med.dev
+14084254356
New York, USA</t>
  </si>
  <si>
    <t xml:space="preserve">Rene Maldonado
+14809250871
rene19449@gmail.com
Phoenix, Arizona, United States </t>
  </si>
  <si>
    <t>rene19449@gmail.com</t>
  </si>
  <si>
    <t>Jim Moffett
+13524539788
jimmoffett39@gmail.com
East Tawas, Michigan, USA</t>
  </si>
  <si>
    <t>jimmoffett39@gmail.com</t>
  </si>
  <si>
    <t xml:space="preserve">NUR Ahmed        
nurbmymedtech@gmail.com
Ethiopia  (East Africa)       
BMY DIAGNOSTIC CENTER        
+251969886252        
CT        </t>
  </si>
  <si>
    <t>nurbmymedtech@gmail.com</t>
  </si>
  <si>
    <t>Maria Peña Pineda
+16693005399
margiebul33@yahoo.com
Hillsboro, Oregon, USA</t>
  </si>
  <si>
    <t>margiebul33@yahoo.com</t>
  </si>
  <si>
    <t>Name: Fahrudin
Phone: +38761659980
Email: fahrudin.zenunovic@plavamedicalgroup.com
Country: Bosnia and Herzegovina (southeastern Europe)
City: Tuzla</t>
  </si>
  <si>
    <t>fahrudin.zenunovic@plavamedicalgroup.com</t>
  </si>
  <si>
    <t>Vivian Helsel
+12083662446
vivianhelsel@gmail.com
City --Glenns Ferry,  Elmore County, Idaho (USA)</t>
  </si>
  <si>
    <t>vivianhelsel@gmail.com</t>
  </si>
  <si>
    <t>Name: Dr SUMANT NAYAK (Radiologist)
Phone: +260765765765
Email: nayak.sumant@gmail.com
Country: zambia
City: lusaka
Hospital/Clinic: CARE AFRICA LIMITED
Enquiry: price for GE 128 Slice and Siemens 1.5T , options with zero boil available ?</t>
  </si>
  <si>
    <t>nayak.sumant@gmail.com</t>
  </si>
  <si>
    <t>Dr. Frazer Deng
+211 922 124 235
South Sudan (east africa)
Need to know prices of Radiology Equipments</t>
  </si>
  <si>
    <t>Miguel Quintana
+12034287983
miguelitoquintana@icloud.com
New York</t>
  </si>
  <si>
    <t>miguelitoquintana@icloud.com</t>
  </si>
  <si>
    <t>Inestimable4life Healthcare
+14109789220
taiwo.majekodunmi@icloud.com
Essex ,  Massachusetts, USA</t>
  </si>
  <si>
    <t>taiwo.majekodunmi@icloud.com</t>
  </si>
  <si>
    <t>CATHY
+85251371693  (available on whatsapp)
Hong Kong
hello, i would like to quote price for take down and removing MRI machines
what is the price for take down and removing MRI machines?</t>
  </si>
  <si>
    <t>Name: Bilal Cakmak
Number: ‪+905548710483‬ ( whatsapp only)
Need: Repair work of MRI &amp; CT Machine
Country: Turkey</t>
  </si>
  <si>
    <t>Jan Lucas
+14098805566
jglucas55@gmail.com
City- Beaumontk, Texas, USA</t>
  </si>
  <si>
    <t>jglucas55@gmail.com</t>
  </si>
  <si>
    <t>Ila Scott
+12566271098
Ilascott@icloud.com
Russellville, Alabama, USA</t>
  </si>
  <si>
    <t>Ilascott@icloud.com</t>
  </si>
  <si>
    <t>Name: frank ssegawa
Phone: +256701996818
Email: contracts@angelineprocurement.com
Country: Uganda (East Africa)
City: WAKISO
Hospital/Clinic:
Enquiry: Hello we are Angeline procurement and logistics, a project procurement agency based here in Uganda but with clients all over the region. One of our clients a civil body has instructed us to source and vet for reliable supplies of MRI Machines for the re equipment of hospitals across the country We are now seeking f for a partner who will be talking up the  tender  We are as such contacting you as regards the same  Please do send us your full company profiles and project experiences we look forward to your response</t>
  </si>
  <si>
    <t xml:space="preserve"> contracts@angelineprocurement.com</t>
  </si>
  <si>
    <t>Name: Ahmed Ramadan 
Number: +20 11 47141640 (whatsapp)
Need: 3 Tesla MRI &amp; 16 Slice CT Machine
Country: Egypt</t>
  </si>
  <si>
    <t>Name: Abdullah Khwaja
Phone: +93776443866
Email: raheemullahkhwaja@gmail.com
Country: Afghanistan
City: Khost
Hospital/Clinic: Khost Radiology Center</t>
  </si>
  <si>
    <t xml:space="preserve"> raheemullahkhwaja@gmail.com</t>
  </si>
  <si>
    <t>Name: Joseph
Email: Trakjoseph@outlook.com
Country: Lebanon
City: Beirut
Enquiry: Requesting price of PET/CT scanner.</t>
  </si>
  <si>
    <t>Trakjoseph@outlook.com</t>
  </si>
  <si>
    <t>Janis Cox Barry
+14803897299
warrioragent@hotmail.com
Gilbert, Arizona, USA</t>
  </si>
  <si>
    <t>warrioragent@hotmail.com</t>
  </si>
  <si>
    <t>Ila Scott
+12566271098
Ilascott@icloud.com
Russellville,Alabama, USA</t>
  </si>
  <si>
    <t>Name- Jhoan Diño, RXT, RRT
Need- 5KH36MNA445X
Email- jldmeddc@gmail.com (need quotation)
Location- Philippines
Part number 5KH36MNA445X
Marathon carbonator pump motor.
also 
need
gradient power supply--- (part no.) GE MRI 5341543-52-R XFD</t>
  </si>
  <si>
    <t xml:space="preserve"> jldmeddc@gmail.com</t>
  </si>
  <si>
    <t>Ahmed Dentamax
UAE
00971507480783</t>
  </si>
  <si>
    <t>Name- Denis prince
Number: +254728329984
Need- CT Scan
Location: Kenya
Source- Fb</t>
  </si>
  <si>
    <t>Name- Dr Sony Salam N A
Number: +4407721545400
Need- CT Scan
Location: United Kingdom
Source: linkedin</t>
  </si>
  <si>
    <t>Name- Tadjiboev Ilhom
Number: +992935566366  (whatsapp number)
Need: 1.5T MRI Machine
Source: FB
Location: Tajikistan</t>
  </si>
  <si>
    <t>Name- Roxanne Jonadel Abril Inocencio
Need- 1.5 Tesla MRI Machine
Number: +63 956 182 7905
Location: Philippines</t>
  </si>
  <si>
    <t>Ugochukwu Chuks
chuksugochukwu@gmail.com
 WhatsApp number  +2348037461234
country- Nigeria</t>
  </si>
  <si>
    <t>Name- Büşra Dinç 
Number: +905318831960
Need: 256 Slice Ct scan machine
Location: Turkey
Source: fb</t>
  </si>
  <si>
    <t>Name- general caro medico
Need- CT scan
whats up number: +24106496846 
country- Gabon, Africa</t>
  </si>
  <si>
    <t>Name: Mohammad Zarei
Need: MRI Coil
Number: 00989171987724 (whats app number)</t>
  </si>
  <si>
    <t>gabrielcasarez00000@gmail.com</t>
  </si>
  <si>
    <t>moosvandenhoek@icloud.com</t>
  </si>
  <si>
    <t>georgewarui08@gmail.com</t>
  </si>
  <si>
    <r>
      <rPr>
        <rFont val="Arial"/>
        <color theme="1"/>
      </rPr>
      <t xml:space="preserve">Name: M.ZUNED Memon
Phone: +971585248185
Email: zuned@fettleintegrated.com
Country: United Arab Emirates
City: Dubai
Enquiry: If u are interstednin buying Siemens Spectra 3T MRI 2017 please contact me.
</t>
    </r>
    <r>
      <rPr>
        <rFont val="Arial"/>
        <b/>
        <color theme="1"/>
      </rPr>
      <t>Wants to Sell</t>
    </r>
  </si>
  <si>
    <t xml:space="preserve"> zuned@fettleintegrated.com</t>
  </si>
  <si>
    <t>Muteeb Showket Reshi
+91 6280 915 890
Amritsar, Punjab
CT</t>
  </si>
  <si>
    <t>Forex Trader
+91 89031 45543</t>
  </si>
  <si>
    <t>Yatoo Haziq
+91 70515 81788
Jammu &amp; Kashmir
MRI</t>
  </si>
  <si>
    <t>~~Aurangzeb Khan
+91 98916 80840</t>
  </si>
  <si>
    <t>palani
+91 82204 18773
Chennai</t>
  </si>
  <si>
    <t>Name- Prince tripathi
Number:6391896168
Need: CT Machine
Source:Fb</t>
  </si>
  <si>
    <t>Sill Yzz
+91 98836 41325
Price of the machine</t>
  </si>
  <si>
    <t>~Sujeet Singh
+91 6394 580 713
MRI price</t>
  </si>
  <si>
    <t>~Himanshu Singh
+91 98920 81412
Mumbai</t>
  </si>
  <si>
    <t>~Ravi kant roy
+91 74885 80265
Gaya, Bihar
(Want to sell his CT -GE BRIVO)</t>
  </si>
  <si>
    <t>~Dr Paaawan S Chordiya
+91 74475 10041</t>
  </si>
  <si>
    <t>~Dr Vivek Patil
+91 99709 02590
Pune, Maharashtra
pet scan machine</t>
  </si>
  <si>
    <t>King of Radiology DrD 
+91 96441 14711
Khargone, Madhya Pradesh
Price of all machines</t>
  </si>
  <si>
    <t>~Shahid Iqbal
+91 85400 77069
Delhi
ct scan 64 slice</t>
  </si>
  <si>
    <t>Aditi Mishra
+91 75187 47039
Varanasi 
(Want to work as dealers)</t>
  </si>
  <si>
    <t>Feyyaz Baykara
Watsap 009647701403146
Mergasor, Arbil, Iraq</t>
  </si>
  <si>
    <t>nabin palei
+91 93372 48174
sun hospital, kalinganagar
bhubaneswar, Odisha
MRI machine</t>
  </si>
  <si>
    <t>SK Osman Goni
+91 75848 94910
Shifa medical, Panskura, 
Purba Medinipur, West Bengal
Price of all machine</t>
  </si>
  <si>
    <t>Ketan Kumar Sah
+91 96251 09096
New Delhi
Details of machine</t>
  </si>
  <si>
    <t>~Aashish Sonkar
+91 90769 11571
Mau , Uttar Pradesh
Need Price of machines
(Please text/whatsapp him only)</t>
  </si>
  <si>
    <t>~Himang Panchal
+91 75688 66687
MRI and CT SCANNER</t>
  </si>
  <si>
    <t>~A B Siddique
+91 96786 68789
(Dealer from Chennai)</t>
  </si>
  <si>
    <t>~vrushabh
+91 77218 26355
He is a Radio Technologist</t>
  </si>
  <si>
    <t>Amitava Dasgupta
Whatsapp +91-9163571538
A 2 Z Apex Solutions, Kolkata, 
They are dealers</t>
  </si>
  <si>
    <t>Sanket
+91 70090 27353
Nexhealth clinics and laboratories
Chandigarh 
Mri and ct machine</t>
  </si>
  <si>
    <t>~Veeresh
+91 96733 83344
Hospet , Karnataka
32 SLICE CT</t>
  </si>
  <si>
    <t>Name: Dr C K Chaurasia
Phone: 9425149299
Email: drckchaurasia009@gmail.com
Country: India
City: Vidisha mp
Hospital/Clinic:
Enquiry: CT scan &amp; MRI machine
Source- website</t>
  </si>
  <si>
    <t>~Dr. Shashi
+91 94945 56695</t>
  </si>
  <si>
    <t>Muhammad Shahil
+91 95399 14935
Shasha diagnostic
Kozhikkode, Kerela
1.5T MRI</t>
  </si>
  <si>
    <t>Veer Kushwaha
+91 72010 50008
ct scan</t>
  </si>
  <si>
    <t>~sibotosh Bhattacharjee
+91 86381 89889
1.5 t MRI</t>
  </si>
  <si>
    <t>~Shavez Malik
+91 86308 99871</t>
  </si>
  <si>
    <t>~Dr Akash
+91 93068 01087</t>
  </si>
  <si>
    <t>~Dr.Naren
+91 95504 00852
Stork Kompally
Hyderabad
Ct scan</t>
  </si>
  <si>
    <t>~Shivam Raaz
+91 88773 01519
CT scan</t>
  </si>
  <si>
    <t>Biraj
+91 93820 46370
navjeevan hospital
Siliguri , West Bengal
Ct machine price</t>
  </si>
  <si>
    <t xml:space="preserve">Syed Arif
+91 83310 86831
 CT scan </t>
  </si>
  <si>
    <t>~Tahleel Ayoub
+91 95960 99617
ct and mri</t>
  </si>
  <si>
    <t>Name: chinmaya
Phone: 6372762664
Email:
Country: india
City: bhubaneshwar
Hospital/Clinic:
Enquiry: ct mri
source- Website</t>
  </si>
  <si>
    <t>Chetan
8446756452
source--google forms</t>
  </si>
  <si>
    <t>Aryan
8102844295
Pooja diagnostic
source--google forms</t>
  </si>
  <si>
    <t>Yash Suyog Shinde
+91 77760 71381
atma malik hospital, Kopargaon 
Ahilyanagar, Ahmednagar, Maharashtra</t>
  </si>
  <si>
    <t>Saurabh Kumar
+91 97584 14145</t>
  </si>
  <si>
    <t>Name- Inox Ziyat Kara 
Number: 009647701403146
Need: CT Scan Machine
Location: turkey</t>
  </si>
  <si>
    <t>Julies Debbarma
+91 98627 88338
khumulwng, tripura
CT Scanner</t>
  </si>
  <si>
    <t>~Sarvesh Mishra
+91 98388 50670
SGS MRI&amp;CT SCAN CENTRE
Prayagraj, Allahabad, UP</t>
  </si>
  <si>
    <t>~M Babul Hussain
+91 88226 99767
ct scanner</t>
  </si>
  <si>
    <t>Chandra Kumar Mallada
+91 91646 87474
~MALLADADA RUDRAMMA MEMORIAL CLINIC
hirekerur, karnataka</t>
  </si>
  <si>
    <t>~Abdul Hamid
+91 81338 77636</t>
  </si>
  <si>
    <t>~litty mathew
+91 95263 72060
Kerala, kottayam
MRI</t>
  </si>
  <si>
    <t>Ravi
+91 70094 72202</t>
  </si>
  <si>
    <t>Arockiainfant Raj
9994217256
Tamil Nadu
CT</t>
  </si>
  <si>
    <t>Dr vinod kaila
9825257493
drvinodkaila@gmail.com</t>
  </si>
  <si>
    <t>~Dr.Pujara
+91 95744 17052
Gujarat
CT</t>
  </si>
  <si>
    <t>~Anurag 
+91 95489 79886
Ct scan</t>
  </si>
  <si>
    <t>Dr M
+91 6361 237 473
manipal hospital Whitefield
Bangalore</t>
  </si>
  <si>
    <t>Ram Bhadra 
9038093939
(IRIA chennai)</t>
  </si>
  <si>
    <t>Ashok Maulik 
9830360166
(IRIA chennai)</t>
  </si>
  <si>
    <t>Sandeep kaur
9780848004
(IRIA chennai)</t>
  </si>
  <si>
    <t xml:space="preserve">~Bhupesh Pandey
+91 98394 69818
Gorakhpur
CT </t>
  </si>
  <si>
    <t>Vishal
+91 88264 07404
CT Scanner</t>
  </si>
  <si>
    <t>Thanga Raja 
7502230980
thomasbest1998@gmail.com
Stanley medical college chennai
(IRIA chennai)</t>
  </si>
  <si>
    <t>Vallabh 
9824123133
(IRIA chennai)</t>
  </si>
  <si>
    <t>Narayan Shukla
+91 82997 86043
Narayan Ultrasound Center, 
Sultanpur, Uttar Pradesh</t>
  </si>
  <si>
    <t>~Dr Prafful Jatale
+91 98816 48088
auranagabad
mahrashtra
gamma and petct</t>
  </si>
  <si>
    <t>~G SIVAKUMAR
+91 93444 69242
Tamil Nadu
(They are dealers)</t>
  </si>
  <si>
    <t>Asim De
9436120388
drasimde@rediffmail.com
Agmc
(IRIA chennai)</t>
  </si>
  <si>
    <t>~SANTHOSH REDDY CK
+91 88842 51243
Tirupathi chittoor
Andhra pradesh</t>
  </si>
  <si>
    <t>Shrikant Sahu
+91 97768 85930
Trimurti clinic
Berhampur,</t>
  </si>
  <si>
    <t>tarique aziz
+91 77038 87563
WIN MEDICITY HOSPITAL
MADHUBANI,BIHAR</t>
  </si>
  <si>
    <t>~Parth Shrotriya
+91 78289 57986
Barwaha
Khargone, Madhya Pradesh
CT Scanner</t>
  </si>
  <si>
    <t>hamza ahmad
+91 85742 61176</t>
  </si>
  <si>
    <t>Avinash Kumar Jalan
+91 70444 54772
M R diagnostics
Siliguri , West Bengal</t>
  </si>
  <si>
    <t>Irshad Ahmad
+91 70067 44806
Wakura, Ganderbal
Kashmir</t>
  </si>
  <si>
    <t>~Vikas Gupta
+91 84358 02256</t>
  </si>
  <si>
    <t>~TAMANASH BANERJEE
+91 89020 62294
West Bengal
(They are dealers)</t>
  </si>
  <si>
    <t>Kapil Godra /Kailash Meena
+91 6377 638 269
Chandigarh
CT Scan</t>
  </si>
  <si>
    <t>~Prashant Paroha
+91 94247 06733
Sihora hospital 
district Jabalpur 
MP 483225
CT scan</t>
  </si>
  <si>
    <t>~Wasim Raj
+91 99258 02555
Palmland Hospital
Bharuch , Gujarat</t>
  </si>
  <si>
    <t>Shehraz Ahmed
+91 91032 80579
Clinic Asian diagnostic center
District doda
State jammu and Kashmir
CT Scanner</t>
  </si>
  <si>
    <t xml:space="preserve">Dr.Rohit Karpe
9767627627
aurangabad , maharashtra </t>
  </si>
  <si>
    <t>Dr Nagesh
+91 98663 73737</t>
  </si>
  <si>
    <t>Zakir Amin
+91 70064 24657</t>
  </si>
  <si>
    <t>8287447997
unknown from google forms</t>
  </si>
  <si>
    <t>Jagadambika Rai
8800743855
DEXA SCAN</t>
  </si>
  <si>
    <t>Sri ram
+91 73584 42170</t>
  </si>
  <si>
    <t>~Raunak Thakur
+977 986-3054188
Nepal</t>
  </si>
  <si>
    <t>~Dr rahul Gupta
+91 97080 64658
Chirayu hospital, NaugachiA
Bhagalpur
MRI</t>
  </si>
  <si>
    <t>~Girish Hawal
+91 90960 72582
They are dealers
pune
Maharashtra</t>
  </si>
  <si>
    <t>Ishan Wanchoo
~VITAL SIGN INDIA
+91 99585 53876</t>
  </si>
  <si>
    <t>~S Dev Singh
+91 81820 07442
Sai diagnostic centre
Singrauli, Madhya Pradesh
MRI and DEXA</t>
  </si>
  <si>
    <t>~Ayush Diagnostic Centre
+91 95706 28435</t>
  </si>
  <si>
    <t>~Wani Towseef
+91 95414 22716
Kashmir
MRI</t>
  </si>
  <si>
    <t>~Ashraf S Kammadi
+91 99809 59355</t>
  </si>
  <si>
    <t>SAMIR
+91 78619 93567</t>
  </si>
  <si>
    <t>Name: Anand
Phone: 7036954567
Email: sales@info.com
Country: India
City: Hyderabad
Hospital/Clinic:
Enquiry: Looking for 16 slice CT, 1.5T MRI, and Dexa machine
(website form)</t>
  </si>
  <si>
    <t>Dr Amol Patil
+91 96579 99507
I Assure Clinic
Pune , Maharashtra
MRI</t>
  </si>
  <si>
    <t>~DEBALOK KUSHARI
+91 91631 39090
Jadavpur, west bengal
16 slice machine
(They are dealers)</t>
  </si>
  <si>
    <t>Name: Andrei Kopylov
Phone: +971585754024
Email: koanuae@gmail.com
Country: ОАЭ
City: Dubai, Dubai
Hospital/Clinic:
Enquiry: Hello. We met on Arab Health. I have some question regarding MRI 3 to buy. Can i have a chance to meet someone from sales team in person in tour place tomorrow. Andrei
(from website form)</t>
  </si>
  <si>
    <t>~Shashi Mishra
+91 85058 33146
Maurya clinic 
banda, uttar pradesh
MRI</t>
  </si>
  <si>
    <t>Faizan
+91 91035 35710
~𝐀𝐥𝐩𝐡𝐚 𝐌𝐞𝐝 𝐈𝐧𝐧𝐨𝐐𝐮𝐞𝐬𝐭
Srinagar Jammu and Kashmir
ct scanner and MRI</t>
  </si>
  <si>
    <t>mohit mishra
+91 90344 49226
Roma Hospital
Pratapgarh, Uttar Pradesh</t>
  </si>
  <si>
    <t>~Arsalan Bhat
+91 77809 52375</t>
  </si>
  <si>
    <t xml:space="preserve">Tabish
+91 60064 93549
pulwama j&amp;k </t>
  </si>
  <si>
    <t>~Rajsthan Sonography
+91 95212 96699</t>
  </si>
  <si>
    <t>mohd abuzar
+91 99273 76160
Meerut</t>
  </si>
  <si>
    <t>Ansar Ali
+91 94387 40059
~Lobelite infotech Pvt Ltd
Clinic green health
Odisha Bhubaneswar 
MRI CT</t>
  </si>
  <si>
    <t>Muskan Jan/ Mushtaq Budoo Budibagh
+91 60068 35793
Kahmir prefect clinic
budgam, Jammu &amp; Kashmir</t>
  </si>
  <si>
    <t>Name: santhosh kumar
Phone: 09900000524
Email: drsanthoshh@gmail.com
City: Bangalore
(Website form enquiry)</t>
  </si>
  <si>
    <t>vinay kumar gupta
9839606771
GE 1.5T HDX MAGENET COMPRESSOR AND COLD HEAD REPLACEMENT WITH NEW ONE. HELIUM LEVEL IS STILL 42%
(Google form website )</t>
  </si>
  <si>
    <t>Paul
paulxavier88@gmail.com
0523795552
(Google form website )</t>
  </si>
  <si>
    <t>Rohit 
+91 95838 77888
Curewell medical imaging 
Berhampur 
Odisha 
760004
CT</t>
  </si>
  <si>
    <t>Syed Faraz Husain 
09389926044
360wattdesign@gmail.com
Pratham Diagnostics 
(Google form website )</t>
  </si>
  <si>
    <t>Dr.irfana Gulzar
+91 78893 28790
Anantnag (J&amp;K) 192101
MRI</t>
  </si>
  <si>
    <t>Dr. Vishvendra Bhuwal
+91 81037 88076</t>
  </si>
  <si>
    <t>~Dr Vibhav Kanth
+91 88689 87637
Aligarh
Pet CT</t>
  </si>
  <si>
    <t>~Huseini Kamara
+918968598414 (Indian number)
+233 55 315 4080 (Ghana , Africa Number)
currently in Chandigarh but will be delivering to Ghana, Africa</t>
  </si>
  <si>
    <t>mrinmay kundu
+91 82504 01593</t>
  </si>
  <si>
    <t>~Riaz Ah Misgar
+91 70065 09928
City hospital 
Anantnag, Jammu and Kashmir India
Siemens MRI</t>
  </si>
  <si>
    <t>Name: sm nazar
Phone: +254791395956
Email: smnazar@mediview.co.ke
Country: Kenya
City: Nairobi
Hospital/Clinic: Mediview supplies ltd
Enquiry: We do ct scan and mri in kenya market and looking stable supplier for refurb machine
(Website enquiry)</t>
  </si>
  <si>
    <t>Muhammad Maaz Bin Raees
+923003098583
Karachi, Pakistan
We want parts for Ge MRI 1.5 t</t>
  </si>
  <si>
    <t>Punit
Narayana Hospital
R N Tagore Hospital
Kolkata West Bengal
Call or whatsapp 9333846317</t>
  </si>
  <si>
    <t>Douglas James
MEDICARE SOLUTIONS
Agra
9837781066</t>
  </si>
  <si>
    <t>Sandip Sahoo
chandipur, 
purba medinipur , west bengal
9679998823</t>
  </si>
  <si>
    <t>Prabhu Mithun
Bangalore, Karnataka
WhatsApp number 8880218197</t>
  </si>
  <si>
    <t>Aktar Rasul
Kolkata, West Bengal
8240844471</t>
  </si>
  <si>
    <t>chirag nakrani
9913926250</t>
  </si>
  <si>
    <t>~Dhruba Talukdar
+91 91010 02621
nlbri assam
CT &amp; PET CT .</t>
  </si>
  <si>
    <t>~Asif Mir
+91 97972 82236
shaheena health care services
Refurbished CT scan 16 slice ge act revolution</t>
  </si>
  <si>
    <t>Akashnil De
+91 6290 595 775
kolkata West Bengal</t>
  </si>
  <si>
    <t>Yogesh Patil
8625864249
Jalgaon, Maharashtra</t>
  </si>
  <si>
    <t>Aram Nazaryan
+37444061006 whatsapp or viber 
Yerevan, Armenia</t>
  </si>
  <si>
    <t>Shirish Kumar
9837204922
Shri hospital 
bijnor, Uttar Pradesh</t>
  </si>
  <si>
    <t>Dr Dattatray Ghodake
9867850167
+91 2188 221 133
Nidaan Sonography and Diagnostic center 
Mangalwedha, Solapur Maharashtra
quotation of 16 and 32 slice CT scan machine</t>
  </si>
  <si>
    <t>Sidharth Mallik
+91 73239 30954
~Asawari Pyramid International Pvt.ltd
Barh,patna, Bihar
CT Scan</t>
  </si>
  <si>
    <t>Mulayam Singh
+91 86850 00582
Health Care path lab Diagnostics
Bahadurgarh
Haryana
Mri
Pet ct
Usg
CT</t>
  </si>
  <si>
    <t>MOHSIN KHAN
8879678376</t>
  </si>
  <si>
    <t>Ram
9845288785</t>
  </si>
  <si>
    <t>Durjay Laha
9749323253
Barasat, West Bengal</t>
  </si>
  <si>
    <t>Haroon Ahmed Sheikh
+91 60053 57848
Location Handwara 
Kupwara, Kashmir</t>
  </si>
  <si>
    <t>Parth Lifecare
8871555155
Ashtavinayak Enterprises</t>
  </si>
  <si>
    <t>Gurudeb Chhura
+91 70770 40485</t>
  </si>
  <si>
    <t>~Shree Health Care
+91 91058 18981</t>
  </si>
  <si>
    <t>~MANISH KUMAR
+91 6201 673 746
Ct scan</t>
  </si>
  <si>
    <t>Salim Ahmed Barbhuiya/ Bharat
+91 93953 94827
Mri &amp; ct scanner</t>
  </si>
  <si>
    <t>Hitesh Bajoria
+91 98870 53496
hiteshbajoria12@gmail.com
Churu, Rajasthan 
MRI 1.5 Tesla</t>
  </si>
  <si>
    <t>Name: ravi bhutani
Phone: 9810133988
Email:
Country: india
City: delhi
Hospital/Clinic:
Enquiry:
(via website form)</t>
  </si>
  <si>
    <t xml:space="preserve">Aman Bharadwaj
+91 62043 73358
Saran Bihar
CT Scan 16 slice Siemens </t>
  </si>
  <si>
    <t>Narendra Chanchal
+91 84710 19332
Dentcare
New  Delhi 
(they are dealer)</t>
  </si>
  <si>
    <t>Nooruzaama Ansari
+91 88584 37396
PET-CT</t>
  </si>
  <si>
    <t>CName: ishan khan
Number: 7007187882
Need: AMC/CMC Services
Place:  Lucknow Uttar Pradesh 
Source: linkedin: delhi</t>
  </si>
  <si>
    <t>Already shared with gaurav</t>
  </si>
  <si>
    <t>~Krishna Prasad
+91 94936 06669
 Raipur, Chattisgarh
CT and cath lab</t>
  </si>
  <si>
    <t>~jabbar mohammad
+91 73963 91053
GE optima 660- 128 slices</t>
  </si>
  <si>
    <t>Suburban Malwani Diagnostics
+91 84529 74319
Mumbai, Maharashtra
MRI and CT</t>
  </si>
  <si>
    <t>~Rajat Bishi
+91 97765 34817
Ct scan</t>
  </si>
  <si>
    <t>Iqrar Nazir
+91 98584 26093
~New Dolphin Enterprises
Srinagar, Jammu &amp; Kashmir
Dexa</t>
  </si>
  <si>
    <t>~Dr Anjeet Rahi
+91 70065 45796
MRI, CT and PET-CT</t>
  </si>
  <si>
    <t>Name: Dr YASH BHUTADA
Phone: 09404553760
Email: bhutadayash@gmail.com
Country: India
City: Raipur, chhatisgarh
Hospital/Clinic:
Enquiry:
(Via Website form)</t>
  </si>
  <si>
    <t>Name: Akash Amrutji Ramteke
Phone: 08983204996
Email: drakashramteke@gmail.com
Country: India
City: Nagpur
Hospital/Clinic: Radion
Enquiry
(Via Website form)</t>
  </si>
  <si>
    <t>Name: TADROS SALAH
Phone: +201009473593
Email: tadros.salah10@gmail.com
Country: Egypt
City: Cairo
Hospital/Clinic: El Amir Medical for medical devices company
Enquiry: Mri ge avaliable
(Via Website form)</t>
  </si>
  <si>
    <t>forwarded to Sachin Sir</t>
  </si>
  <si>
    <t>Name: GIRISH D
Phone: 7338133755
Email: girishd2912@gmail.com
Country: India
City: Bangalore
Hospital/Clinic: Nikethan hospitals
Enquiry:
(Via Website form)</t>
  </si>
  <si>
    <t>Name: KEERTHI GANESH
Phone: 09400583240
Email: keerthiganesh2018@gmail.com
Country: India
City: Palakkad
Hospital/Clinic:
Enquiry: Refurbished CT and MRI
(Via Website form)</t>
  </si>
  <si>
    <t>Name: AMIT SHARMA
Phone: 9307021350
Email: dishadiagnostics11@gmail.com
Country: india
City: lucknow
Hospital/Clinic: DISHA DIAGNOSTICS
Enquiry: CT SCAN WITH CALCIUM CHANNEL SCORING
(Via Website form)</t>
  </si>
  <si>
    <t>Tapas Kumar Mahapatra
9733818142
(Dealer)</t>
  </si>
  <si>
    <t>Sagun Murmu
+91 70618 39954
Dihigram,Murshidabad, West Bengal
All Machines</t>
  </si>
  <si>
    <t>S D
+91 72660 69072
Pratab Scans
Kalyan, Mumbai
MRI machine</t>
  </si>
  <si>
    <t>PravinBhai KeshuBhai Gajera,
+91 98241 98222
Surat, Gujarat, 
and East Timor- (Timor-Leste)- South East Asia</t>
  </si>
  <si>
    <t>Shared with sachin sir</t>
  </si>
  <si>
    <t>Syed ibadat Hussain Kazmi
8899685258
Baramulla, Jammu and Kashmir
CT Scan</t>
  </si>
  <si>
    <t>K Korlaya Rufus
+91 84988 32920
Andman Nicobar Islands
(Planning after 2 years)</t>
  </si>
  <si>
    <t>Name: rajkumar yadav
Phone: 8523625896
Email: rajkumaryadav.sawant@yahoo.co.in
Country: india
City: Bhopal
Hospital/Clinic: Diagnostic Centre
Enquiry: 3T MRI Quote
(Via Website form)</t>
  </si>
  <si>
    <t>Gorave K KHurana
7011934088
MRI CT</t>
  </si>
  <si>
    <t>Name: dharmender
Phone: 9650957300
Email: dharmenders60@gmail.com
Country: india
City: faridabad
Hospital/Clinic: sehrawat
Enquiry: 1.5 tesla
(Via Website form)</t>
  </si>
  <si>
    <t>Dhakshinamoorthi S
9524127681
medingershealthcare@gmail.com</t>
  </si>
  <si>
    <t>Amit Singh Bhadoriya
+91 75879 70000
Indore, Madhya Pradesh
Cath Lab, MRI, CT</t>
  </si>
  <si>
    <t>Dr Shaymvir Singh Jadon
+91 96751 78118</t>
  </si>
  <si>
    <t>Ram Gurjar
+91 95091 26423</t>
  </si>
  <si>
    <t>Akhila Kumar Behera
+91 6370 768 043
~Hosmaccx Health Care
Bhubaneshwar, Odisha</t>
  </si>
  <si>
    <t>Fisnik Sadriu
+38344471919
Kosovo (Europe)
Want to sell some cath lab machine</t>
  </si>
  <si>
    <t>forwarding to sachin sir</t>
  </si>
  <si>
    <t>Ashutosh Tiwari
+91 76519 10076</t>
  </si>
  <si>
    <t>Abdul Mujeeb Aadil
9766181868
Maharashtra</t>
  </si>
  <si>
    <t>Zakky Asgar
+91 92626 09145
Ct scan 16 slice</t>
  </si>
  <si>
    <t>~Lovish Mittal
+91 70150 00690
Pushkal medicity Kaithal 
100 bed 
Multi specialist hospital
Kaithal. Haryana</t>
  </si>
  <si>
    <t>Tariq Hussain
9779507860</t>
  </si>
  <si>
    <t>Name: Amiet
Phone: 8979232753
Email: bhandariamit607@gmail.com
Country: India
City: Nainital
Hospital/Clinic: Diagnostic
Enquiry: Kindly provide quotation ge optima 660 64 slice ct scanner
Can you provide quotation of 3t verio,1.5 tesla</t>
  </si>
  <si>
    <t>~Prabakar
+91 95435 21658
Coimbatore, Tamil Nadu
Dealer</t>
  </si>
  <si>
    <t>~R . K .YADAV
+91 80108 41681
Gurgaon, Haryana
MRI, CT</t>
  </si>
  <si>
    <t>~Parikshit
+91 76023 76921
Coochbehar, West Bengal
X Ray, ct scanner 128 slice, MRI 1.5T/3T , PET CT Brand new and refurbished both</t>
  </si>
  <si>
    <t>~Naveen Sharma
+91 94147 61837
Dausa- Rajasthan
1.5 MRI</t>
  </si>
  <si>
    <t>~akshay vhanmane
+91 96238 83521
Pune
Ct 16 slice</t>
  </si>
  <si>
    <t>~shivam tiwari
+91 84333 79455
Kanpur
Dealer</t>
  </si>
  <si>
    <t>Bin Omer
+917093210749
currently lives in India, but wants machine for Sudan ( North Africa)</t>
  </si>
  <si>
    <t>Tinku
+91 93322 69380
Bankura, West Bengal</t>
  </si>
  <si>
    <t>~Tapan Solanki
+91 99045 75676
Mri and CT refurbished</t>
  </si>
  <si>
    <t>~Nirbhay Kumar
+91 73484 88095
MRI</t>
  </si>
  <si>
    <t>Salman
+91 70340 35183</t>
  </si>
  <si>
    <t>Ravi
+91 6304 408 229
SRS  diagnostics
Warangal telangana
Ct scan</t>
  </si>
  <si>
    <t>~Dr. Amit Chandra
+91 70172 86969
Uttrakhand</t>
  </si>
  <si>
    <t>~Rahul Bairagi
+91 79993 87161
Jabalpur, Madhya Pradesh</t>
  </si>
  <si>
    <t>Nenavath _Jaisingh
+91 81793 26500</t>
  </si>
  <si>
    <t>Name: rouf Hameed
Phone: 06005319020
Email:
Country: India
City: Badgam,chadoora
Hospital/Clinic: gulshan diagnostics
(website form lead)</t>
  </si>
  <si>
    <t>Name: Anuj
Mobile: 9915380263
Scrab mri machine dealer
(He wants to sell old MRI/Parts)</t>
  </si>
  <si>
    <t>~Dr Manas
+91 78390 53641</t>
  </si>
  <si>
    <t>Shivam
+91 98383 36755</t>
  </si>
  <si>
    <t>Dr. Indran GP Nair
+91 94968 47885
(dealer from Kerela)</t>
  </si>
  <si>
    <t>~Rohit Choudhary
+91 96106 42089
Choudhary diagnostic centre
Sikar,Rajasthan</t>
  </si>
  <si>
    <t>~Dr B N Rahul,MBBS,MDRD
+91 73824 78092
MRI 3T and Ct 128 slide I am looking</t>
  </si>
  <si>
    <t>GANESH 
+91 6363 048 549</t>
  </si>
  <si>
    <t>Inderjeet Singh
+91 95014 99003
DEEPTI DIAGNOSTIC CENTRE
PATRAN PUNJAB</t>
  </si>
  <si>
    <t>Devarapalli Marthamma
+91 93814 82562
Andhra Pradesh</t>
  </si>
  <si>
    <t>Irfan Kasmani
9867880621
malawi,east africa
Mumbai. maharashtra
Cath lab</t>
  </si>
  <si>
    <t>Devesh Upadhyay
+91 95541 13295
ajay hospital
Meerut , Uttar Pradesh</t>
  </si>
  <si>
    <t>Shaikh Rayyan Ahmed
+91 74209 57271</t>
  </si>
  <si>
    <t>~Umar Beigh
+91 60063 58728</t>
  </si>
  <si>
    <t>~amit kushwaha
+91 6265 738 287</t>
  </si>
  <si>
    <t>Subhadip bhunia
+91 6291 373 193
Kolkata, West Bengal</t>
  </si>
  <si>
    <t>Rajkumar
+91 72764 90944
ekdant diagnstic Centre</t>
  </si>
  <si>
    <t>Vicky Verma
6392793771
Varanasi, U.P
CT</t>
  </si>
  <si>
    <t>Mubashir Majeed Shiekh
7006783771
Srinagar / Kupwara, 
Jammu Kashmir</t>
  </si>
  <si>
    <t xml:space="preserve">Jitendra jain
+91 98344 07940
~Metrolife MRI &amp; C t Scan
Pune
C T scan 64 slice </t>
  </si>
  <si>
    <t>Name: Santosh Tripathi
Phone: 08120681740
Email: drsantoshtripathi@yahoo.com
Country: India
City: Gwalior
Hospital/Clinic: Metro neuro spine institute
Enquiry:
(website form lead)</t>
  </si>
  <si>
    <t>~Athar Nazir Hafiz
+91 70063 57760
Kashmir
Ct</t>
  </si>
  <si>
    <t>Kalirajan Smith
+91 77080 27240
align tec infosis
Sivakasi .Town.
Virudhunagar..district.. Tamil nadu
dealer</t>
  </si>
  <si>
    <t>Vishwa KKG
+91 94866 20042
Tamil Nadu
Mri</t>
  </si>
  <si>
    <t>ashok Kumar
+91 70931 15911
Dealer</t>
  </si>
  <si>
    <t>Unknown
+91 86902 52598
Jaipur, Rajasthan
CT</t>
  </si>
  <si>
    <t>~Suresh Babu
+91 95818 96319
Vijayawada
CT
Dealer</t>
  </si>
  <si>
    <t>~Dr.Rana
+91 91099 82343
Neelkanth multispeciality hospital
Gwalior , MP
Ct machine</t>
  </si>
  <si>
    <t>Name: Dr Ishan Sharma
Phone: 9573028682
Country: India
City: dehradun
Enquiry: cath lab machine</t>
  </si>
  <si>
    <t>~Suvra Jyoti Roy
+91 97752 76354
Diagnostic center
Malda, West bengal 
Ct scan</t>
  </si>
  <si>
    <t>ishaan / ajay kumar
+91 78080 45327
Samastipur bihar
CT</t>
  </si>
  <si>
    <t>~rahul bashetti
+91 91083 13391</t>
  </si>
  <si>
    <t>~ghanshyam longkho
+91 98305 56461
Life Care Clinic and Diagnostic Centre 
Bordumsa 792056
Arunachal Pradesh
refurbished CT Scan and Digital X-ray unit</t>
  </si>
  <si>
    <t>~Dr SANDEEP REDDY
+91 90302 24349</t>
  </si>
  <si>
    <t>~Ivian
+91 70058 94460
Northeast India
may be dealer</t>
  </si>
  <si>
    <t>~Dr Prasun Ghosh
+91 70748 52186
Jhargram Diagnostics
Location: Jhargram/ 150 km away from Kolkata on NH 6
west bengal
CT Scanner</t>
  </si>
  <si>
    <t>~Dennis/ Pelahr Pande
+91 86002 76792
Maharashtra</t>
  </si>
  <si>
    <t>Dr Priyanshu rai
+91 96280 52085
Diagnostic centre
Ballia, UP
Mri ct scan machine rate</t>
  </si>
  <si>
    <t>~anoop gurjar
+91 93038 61284
Drishti hospital and trauma center
Dholpur, Rajasthan</t>
  </si>
  <si>
    <t>Siddharth Sharma/ Sudhanshu Sharma
+91 89200 93832
mri machine</t>
  </si>
  <si>
    <t>~Abhishek Kashyap
+91 70541 69103
Gorakhpur .
(may be he needs for government hospital purpose)</t>
  </si>
  <si>
    <t>Name: mannivann
Phone: 9786330053
City: permabalur, Tamil Nadu
Enquiry: 32 slice CT scan price
(website form leads)</t>
  </si>
  <si>
    <t>~prasanth vijendran
+91 97911 52474
Tamil Nadu
Ct scanner 64 Slice</t>
  </si>
  <si>
    <t>Vikash Bairwa/vikesh vedwal
+91 96364 29874
Jaipur Rajasthan
CT canner</t>
  </si>
  <si>
    <t>Nikhil Sharma
+91 99992 25313
ct scanner</t>
  </si>
  <si>
    <t>Name: Sanjay Gandhi
Phone: 9205935995
Email: sanjay.gandhi@raybloc.co.uk
Country: India
City: New Delhi
Hospital/Clinic: Manufacturer of Radiation Shielding Products
Enquiry: Dear Phantom</t>
  </si>
  <si>
    <t>Name: Pardeep Morwal
Number: 9466335558
Location: harayana(sirsa)
Need: GE CT Scan brighspeed (16 Slice)
Source: FB</t>
  </si>
  <si>
    <t>~Dr SANDEEP REDDY
+91 98499 01248
Supreme healthcare
Hyderabad and in noida
Mri and CT scan</t>
  </si>
  <si>
    <t>Dr. Sahil Kapoor
+91 90702 73273
~Umang Healthcare And Diagnostics 
Jammu</t>
  </si>
  <si>
    <t>VM Travels
+91 84313 24293
Karnataka</t>
  </si>
  <si>
    <t>~Rajiv Ranjan
+91 99554 29953
Super ultrasound 
Rajauli,nawada, bihar
CT</t>
  </si>
  <si>
    <t>~Dr Umesh Parihar, MIS Spine Surgeon
+91 96604 77787
1.5T refurbished MRI</t>
  </si>
  <si>
    <t>~Dr.Sohan MBBS MS Ortho 
+91 96803 97112
Banswara Rajasthan
CT</t>
  </si>
  <si>
    <t>Rajeev Agarwal 
9407260308
Gwalior</t>
  </si>
  <si>
    <t>~Dr Mohd Altamash
+91 99315 59353 (please contact on whatsapp chat only. do not call)
MRI CT</t>
  </si>
  <si>
    <t>Ravi
+91 70040 18798
Khagaria Bihar
CT</t>
  </si>
  <si>
    <t>haider
+91 80907 08319
deale from Lucknow</t>
  </si>
  <si>
    <t>~K. C. Sachin
+91 6281 884 461
1.5 or 3 T? Looking for 3 T.- MRI</t>
  </si>
  <si>
    <t>~Anis Desai
+91 98227 86739
May be dealer</t>
  </si>
  <si>
    <t>Dattatraye Lokhande
+91 97306 93380
Life Line Multi Speciality Hospital.
Jamkhed Municipality, Ahilyanagar
Ahmednagar, Maharashtra
Cathlab</t>
  </si>
  <si>
    <t>Kailash Choudhary
9829009126
May be dealer</t>
  </si>
  <si>
    <t>Sharique Nawab
+91 81027 10104
CT machine</t>
  </si>
  <si>
    <t>~Dr Aalim Azad
+91 99582 33726</t>
  </si>
  <si>
    <t>~Dr. Narendra Routula
+91 79819 23919
Banglore,karnataka
MRI and CT</t>
  </si>
  <si>
    <t>Aniket Panchal
+91 93095 15715
CT</t>
  </si>
  <si>
    <t>Sudheer Mewada
+91 89591 28305
MRI</t>
  </si>
  <si>
    <t>Dr. Balvinder Singh/Dr. Neha (ENT)
+91 90862 63640
~Vidya Medicos
udhampur, jammu &amp; Kashmir</t>
  </si>
  <si>
    <t>Neeraj Kumar
+91 96430 80591</t>
  </si>
  <si>
    <t>Chaitanya Kumar
+91 77658 07135
Muzaffarpur Bihar</t>
  </si>
  <si>
    <t>aditya 
9831260300
CT AND MRI AND CATH LAB
(fb chats/ads)</t>
  </si>
  <si>
    <t>~Palak Sharma
+91 90242 40734
Alwar Rajasthan
CT Scan</t>
  </si>
  <si>
    <t>Dr.Rishabh Gupta
9322634800            
grishabh18@yahoo.com                
CT MRI        
(google forms)</t>
  </si>
  <si>
    <t>~victor m raj
+917373030685
+91 96007 59402
Ct and gamma machine
Thangam Hospital,
namakkal, Tamilnadu</t>
  </si>
  <si>
    <t>Name: ganesh vende
Phone: 09967481705
Email: ganeshvende97@gmail.com
City: Kandivali W, mumbai
Maharashtra
Hospital/Clinic: Diagnostic centre</t>
  </si>
  <si>
    <t>mohammad Amin Dar
+91 70066 95129
Shehjar hospital Multispeciality
Anantnag, Kashmir
Cath lab</t>
  </si>
  <si>
    <t>Satish kumar
+91 6284 499 730
nitya diagnostic center</t>
  </si>
  <si>
    <t>Name: Bunty Verma
Number: 9810343203
Need: Refurbished Machine
Source: FB</t>
  </si>
  <si>
    <t>Name: MD Shamim Reza
Number: +8801711378071 (whats up)
Location: Shamim form Bangladesh
Need: CT Scan 2 parts (GE CT Sacnner Brightspeed- 5237815 rev)
Source: FB</t>
  </si>
  <si>
    <t xml:space="preserve">Jay Shankar Prasad Gupta
+91 93082 44942
Sasaram, Bihar
Ct </t>
  </si>
  <si>
    <t>~Dr.Ajay Nenwani
+91 70201 07881
CT</t>
  </si>
  <si>
    <t>Sunshine Hospital
+91 96745 68480
Calcutta 
CT scan and MRI</t>
  </si>
  <si>
    <t>Asif Iqubal
+91 79798 27315
Hazaribagh jharkhand
CT</t>
  </si>
  <si>
    <t>Tarique Aziz
7703887563
Delhi
ct scan</t>
  </si>
  <si>
    <t>Minu Mahato
9333309195
Misan Hospital 
Jamshedpur, Jharkhand
Ct Cath lab</t>
  </si>
  <si>
    <t>Muhammad Altamash Khan
9931559353
Faizabad/Lucknow, 
Uttar Pradesh
MRI CT</t>
  </si>
  <si>
    <t>Name: Dr.aashish K Jain
Phone: 09660671032
Email: draashishjain86@gmail.com
City: Jaipur, Rajasthan
(website form lead)</t>
  </si>
  <si>
    <t>~Dhanraj Dulwani
+91 87911 51012
Kanpur 
MRI</t>
  </si>
  <si>
    <t>~Sultan Ahmed+91 91595 11609
Midtown hospital
Hojai , Assam
Pin -782435
CT scan</t>
  </si>
  <si>
    <t>Ayush Dutt
+91 93151 19240
~Navyug Healthcare Services
Noida
(may be dealers)</t>
  </si>
  <si>
    <t>C Soma Sekhar
+91 93925 27682
Ct scanner</t>
  </si>
  <si>
    <t>Shiv
+91 76920 92039
CT scan</t>
  </si>
  <si>
    <t>~NMMS Hospital
+91 72808 17481</t>
  </si>
  <si>
    <t>Name: Prafull Patil Kadam
Number: 9960711611
Need: Ct scan 128 slice
Source: FB</t>
  </si>
  <si>
    <t>Dr Veeranki Venkata Sai Dhanista
+91 85559 79627
Vijayawada, Andhra Pradesh
ct and mri refurb</t>
  </si>
  <si>
    <t>~K.Rajan
+91 98424 57862
Bio Plus Trichy Enterprises
chennai and Trichirappalli, Tamil Nadu
dealers</t>
  </si>
  <si>
    <t>Sri Janani Multi Speciality Hospital Chennur
Vishal Nayak
8247271884
Chennur, Adilabad district, Telangana
ct scan</t>
  </si>
  <si>
    <t>Ahtesham uddin Siddique
+91 89822 88634
Vidisha ( madhya pradesh)</t>
  </si>
  <si>
    <r>
      <rPr>
        <rFont val="Arial"/>
        <color theme="1"/>
      </rPr>
      <t xml:space="preserve">Yashwant Patidar
9540950980
Institute of Liver and Biliary Sciences,(ILBS) New Delhi
</t>
    </r>
    <r>
      <rPr>
        <rFont val="Arial"/>
        <color rgb="FF00FF00"/>
      </rPr>
      <t>wants to sell machine</t>
    </r>
  </si>
  <si>
    <t>~Sayeed Rahim
+91 88993 33862
Sonipat
cathlab</t>
  </si>
  <si>
    <t>Shivam
+91 80770 59568
SBS Nagar Punjab
16slice refurb machine</t>
  </si>
  <si>
    <t>Name: Thota Anil Kumar
Phone: 8187819295
Email: anilkumarthota2014@gmail.com
Country: India
City: Warangal
Hospital/Clinic: Dealer
Enquiry: Philips fd20 xper Cathlab refurbished.
(website form lead)</t>
  </si>
  <si>
    <t>~Keshav Hospital
Vishal Nain
+91 88168 88815
Kharkhoda, Sonipat, haryana</t>
  </si>
  <si>
    <t>Asuman Healthtech Private Limited
Yogendra Pal
+91 95607 39909
Lucknow, U.P
Want to work as dealer</t>
  </si>
  <si>
    <t>Ankit Dubey
+91 84001 94401
~paliwal dr.lal path lab
Uttar Pradesh East</t>
  </si>
  <si>
    <t>Dr. Jahir Hossen Shah
+91 99322 28950
West Bengal
refurbished gd condition ct scan machine</t>
  </si>
  <si>
    <t>Deepak Kumar/ Anita Kumari
+91 97981 23136
Bihar
CT Machine</t>
  </si>
  <si>
    <t>Balwinder Singh/Babbu Maan
9877807915
punjab
MRI Price</t>
  </si>
  <si>
    <t>Amirul Islam Choudhary
+91 70028 63728
Karnamadhu, Karimganj, Assam
all machine price request</t>
  </si>
  <si>
    <t>Manish Fardoda
+91 70231 42873
Shree Vinayak diagnostics center gandhi chowk 
parbatsar, NAGAUR , Rajasthan 341512
Ct scan</t>
  </si>
  <si>
    <t>Fuzail Ahmed Khan
+91 95553 55985
pathology Clinic
Uttar Pradesh East</t>
  </si>
  <si>
    <t>Panku Godara
7014802014</t>
  </si>
  <si>
    <t>Gajendra Sharma
+91 77371 50998
jodhpur, rajasthan
they are dealers</t>
  </si>
  <si>
    <t>Souvagya Ranjan Kar
+91 94391 64798
Kar Dental Clinic
Cuttack, Orrisa</t>
  </si>
  <si>
    <t>Pu Hriata Chaw Ei Clement
+91 70055 94563
~Zaucha Group
Aizawl, Mizoram
dealer or reseller</t>
  </si>
  <si>
    <t>tarique aziz
+91 70041 95937
New Delhi
16 slice ct</t>
  </si>
  <si>
    <t>Dr Ibrahim Ansarii
+91 97654 35666</t>
  </si>
  <si>
    <t>𝗣𝗥𝗔𝗦𝗛𝗔𝗡𝗧 𝗕𝗛𝗢𝗦𝗟𝗘
+91 88570 53631
MRI and CT</t>
  </si>
  <si>
    <t>~Irfan Khan
+91 90057 64484
Mri machine price</t>
  </si>
  <si>
    <t>Hardik 
9624111886
(google forms brochure download)</t>
  </si>
  <si>
    <t>Manisha Mandve
+91 78790 91409
Shree Saanvi diagnostic 
rajgarh, biaora, Madhya Pradesh
ct and 1.5 T MRI refurb cost</t>
  </si>
  <si>
    <t>Name: rishi karan majumdar
Phone: 09874466697
Email: tapasmajumdar2012@yahoo.indera
Country: India
City: kolkatta
Hospital/Clinic: hospital
Enquiry: we are one of the major industrial medical equipment dealer in eastern region .
(appears to be a dealer)</t>
  </si>
  <si>
    <t>Name: Sagar kumar
Phone: 7903125480
Email: drsagarkumarverma@gmail.com
Country: India
City: Muzaffarpur
Hospital/Clinic:
Enquiry: Refurbished ct /mri</t>
  </si>
  <si>
    <t>Rajibul Islam Sardar
+91 95477 38506
New Bright Nursing Home and New City Nursing Home
Baburhat and Malancha (West Bengal)
CT Scan</t>
  </si>
  <si>
    <t>~Zulfequar Ali
+91 94728 37351
Mama diagnostic centre
Mri ct scan</t>
  </si>
  <si>
    <t>Manish Gupta
+91 94514 53837
Ct scanner</t>
  </si>
  <si>
    <t>~Jitendra Mishra
+91 86198 24089
Sanjivani diagnosis
Abu Road, Sirohi, Rajasthan
CT scan</t>
  </si>
  <si>
    <t>Shivam
+91 70829 34042
Rohtak, Haryana
Pet ct machine price</t>
  </si>
  <si>
    <t>Aman Yadav
+91 97933 94219
Abhishek diagnostic,
Azamgarh, U.P
Mri ct xray and ultrasound</t>
  </si>
  <si>
    <t>Name: Arthanareeswaran Shanmugam
Phone: 9442552953
Email: arthashan@gmail.com
Country: India
City: Tiruchengode, Namakkal , Tamil Nadu
Hospital/Clinic: vivekanadha medical college
Enquiry: need of 128 slice ct including radiology and coronary package</t>
  </si>
  <si>
    <t>Ram Sharan Dass 
Mob +919958586366
MEI MEDICAL PVT LTD India. 
Need catalogue of products</t>
  </si>
  <si>
    <t>Md. Mehfuj Islam
+91 86378 16208
Kolkata
CT scanner</t>
  </si>
  <si>
    <t>Hafiz
+91 98904 54714
Solapur, Maharashtra
Mri ct scanner</t>
  </si>
  <si>
    <t>Dr. Ershad Ali
+91 91768 44060
Kolkata, West Bengal
CT Scan Machine</t>
  </si>
  <si>
    <t>Dharmendra Kumar
7906363803
(brochure download google forms)</t>
  </si>
  <si>
    <t>Name: Dr.GEIDO DAVIS THOMAS (CONSULTANT RADIOLOGIST)
Number: 8848195585
Need: refurbished 1.5 T MRI
Source: linkedin
Location: Kottayam, Kerala, India</t>
  </si>
  <si>
    <t>kamran bashir
8491057151
Kupwara, kashmir
Mri</t>
  </si>
  <si>
    <t>~Sharya Singh
+91 99157 52858
SP hospital
Patiala, Punjab
Cath Lab</t>
  </si>
  <si>
    <t>~Dr Anmol singh
+91 98888 89172
Mohali, Punjab
Dexa machine</t>
  </si>
  <si>
    <t>Romi Sharma/ Eklavya
+91 84919 74774
kathua, kashmir
CT</t>
  </si>
  <si>
    <t>abhinav singh
+91 79913 77497
varanasi, uttar pradesh
All machines, request quotation</t>
  </si>
  <si>
    <t>Koyyana Somesh/ Monisha
+91 88979 20350
Andhra Pradesh
Ct mechine-Ge revolution 16 slice</t>
  </si>
  <si>
    <t xml:space="preserve">Dr Mohhamad Aslam, Radiologist
+91 82812 72289
Afsa diagnostics
Kannur, Kerela
CT </t>
  </si>
  <si>
    <t>~Ashish Dhawan
+91 85888 68641
New Delhi
They are ealers</t>
  </si>
  <si>
    <t>Mohammad Younis Ganie 
+91 70061 48637
sumbal sonawari, Bandipora , Kashmir
MRI and DEXA</t>
  </si>
  <si>
    <t>Mukhtar Ansari
+91 77638 03563
NEHA HVAC ENTERPRISES
Ranchi, Jharkhand
want to open new diagnostic center-- MRI</t>
  </si>
  <si>
    <t>~Abhijit Swain
+91 89082 41027
Cuttack , Odisha
MRI and CT-- want to open new center</t>
  </si>
  <si>
    <t>~Soumyadip Pal
+91 75859 40382
Medicate centre
Berhampore,murshidabad, West Bengal
Mri ct scanner</t>
  </si>
  <si>
    <t>~Medical Faculty
+91 6388 943 238
Bhiwadi, Rajasthan</t>
  </si>
  <si>
    <t>sachin beejwar
6378915313  (contact only after 2 pm afternoon)
Bhartpur, rajasthan
MRI and CT</t>
  </si>
  <si>
    <t>~Gakia Flago Taniang
+91 6909 710 913
Itanagar, Arunachal Pradesh
want to open new center</t>
  </si>
  <si>
    <t>~Raqib Hussain
+91 83174 73231
Assam
CT MACHINE</t>
  </si>
  <si>
    <t xml:space="preserve">~Kamlesh Saran
+91 74269 55859
sikar, Rajasthan </t>
  </si>
  <si>
    <t>Name: Salman Qureshi
Phone: 9685359362
Email: msq6857@gmail.com
Country: India
City: DEWAS
Hospital/Clinic:
Enquiry: Hello sir
(website form)</t>
  </si>
  <si>
    <t>Name: Ashish
Phone: 9899456655
Email:
Country: India
City: Faridabad
Hospital/Clinic: Ashish Medicare
Enquiry
(website form)</t>
  </si>
  <si>
    <t xml:space="preserve">~Dr Sawan Kumar Verma
+91 98757 05080
Asha hospital
Purnea Bihar 
cathlab </t>
  </si>
  <si>
    <t>rajkumar verma 
9729592826 
Hisar, haryana
MRI
(he is a dealer)</t>
  </si>
  <si>
    <t>Mukesh
+91 99930 95007
Bhilai, Chhatisgarh</t>
  </si>
  <si>
    <t>Dr. MS Khan
+91 72090 17824
Purnea, Bihar
CT, cath lab</t>
  </si>
  <si>
    <t>~Dr Iqbal Hussain Dar, Radiologist
+91 70064 38311
Jammu Kashmir
Dexa, MRI, CT, PET CT</t>
  </si>
  <si>
    <t>Jakir
+91 75040 24786
bhubaneswar, odisha
ct scan machine</t>
  </si>
  <si>
    <t>dani
+91 76280 35470
manipur (northeast)
All machine</t>
  </si>
  <si>
    <t>Ramakant Rout
+91 70084 18617
Raja Labs
Bhubaneswar, Odisha
MRI</t>
  </si>
  <si>
    <t>Roshan Chettri
+91 74076 38100
Gangtok, Sikkim
CT scanner</t>
  </si>
  <si>
    <t>Krishan Kumar Khatri
9352632321
Alwar, Rajasthan
MRI and CT sanners</t>
  </si>
  <si>
    <t xml:space="preserve">Name: Gianfranco Duro
Number: +39 351 34 34 179
Dealer of  Emirates &amp; Saudi Arabia
Sell: MRI or CT Machine
</t>
  </si>
  <si>
    <t>Name: Vijay Kumar
Phone: 09989102302
Email: lalitvj11@gmail.com
Country: India
City: Srikakulam
Hospital/Clinic: Dr vijay's HEALTHY HEART
Enquiry: Required for cardiac ct services
Source - website lead form</t>
  </si>
  <si>
    <t>Mahesh Bhati
8947034776
Rajasthan 
(May be he is a dealer)
Source - google forms download</t>
  </si>
  <si>
    <t>Shiv Kumar 
Kiran Vellore hospital 
+91 85830 40404
Giridih, Jharkhand</t>
  </si>
  <si>
    <t>Sajin D Sam
+91 90572 61632
CQH Indian LLP
Jaipur, Rajasthan 
(They are dealers(</t>
  </si>
  <si>
    <t>Lobada piraji Mutakule /Madhav Mutakule
+91 70833 98717
Maharashtra region 
(They are dealers)</t>
  </si>
  <si>
    <t>Chhatrapati Kumar
+91 63934 74212
He is Student - just enquiry for future planning</t>
  </si>
  <si>
    <t>Name: Awnish Pandey
Number:8953288486
Need: 32 Slice CT Scan Machine
Source: FB</t>
  </si>
  <si>
    <t>Uday Kumar Reddy 
+91 99621 95228
Tirupati, Andhra Pradesh 
(He is a dealer)</t>
  </si>
  <si>
    <t>Vikash Pandey 
8112963663
Pratapgarh, Uttar Pradesh</t>
  </si>
  <si>
    <t xml:space="preserve">Name: Tasos Lekkas
WhatsApp +30 695 517 6141
Country :Greece
Need: Siemens Avnanto MRI Machine
Source: FB
               </t>
  </si>
  <si>
    <t xml:space="preserve">
Name:Narendra singh
Number: 86027 57272 
Need: . Pet ct diacovery series 
Gama camera (dealer cost)
Source:Fb</t>
  </si>
  <si>
    <t>Vaibhavi Traders
+91 99023 48990
Bijapur Kara,Karanataka
MRI and CT scan machine</t>
  </si>
  <si>
    <t>Kaniya Sharma
+91 91498 73259 (don't call send only WhatsApp message)
Jammu Kashmir 
MRI</t>
  </si>
  <si>
    <t>Pritam Kumar Aggarwal 
+91 99909 12339
All machines price list</t>
  </si>
  <si>
    <t>Kapil Pundir 
8708616193
Deoband Saharanpur Uttar Pradesh</t>
  </si>
  <si>
    <t>Bipin Singh
+91 94312 16299
Sharp medical system 
(They are dealers)</t>
  </si>
  <si>
    <t>Dr Rahul G Jagdale Patil
+91 99237 20001 
Shraddha Hospital and ICU, 
Daud, Pune, Maharashtra 
CT MRI</t>
  </si>
  <si>
    <t>Prakash Soni
+91 93048 49114
Hazaribagh, Jharkhand 
All machines rate</t>
  </si>
  <si>
    <t>Sanjeev Bhatia
+91 83170 19668
Kanpur , Uttar Pradesh 
SB instruments &amp; Chemicals
(They are dealers)</t>
  </si>
  <si>
    <t>Soumyadeep Pal
7585940382
Behrampore, West Bengal 
MRI CT</t>
  </si>
  <si>
    <t>piyush sharma
+91 75648 26421
MRI</t>
  </si>
  <si>
    <t>Anubhav Mishra
+91 73985 87559
MBBS Student</t>
  </si>
  <si>
    <t xml:space="preserve">Krishna Nursing Home
+91 77391 90162
Bihar
MRI and CT </t>
  </si>
  <si>
    <t>Kiran Kumar
+91 70196 51373
Arogya Lab
Raichur, Karnataka</t>
  </si>
  <si>
    <t>Mohhamad Shahnawaz
+91 73863 11300
All products information</t>
  </si>
  <si>
    <t>Himanshu Sharma
+91 70555 60856
A V Medical Solutions
May be dealer</t>
  </si>
  <si>
    <t>Dr Sanjay Saini
+91 98377 86132</t>
  </si>
  <si>
    <t>Kaushal Jaiswal
+91 82712 29594
Bihar
CT and MRI</t>
  </si>
  <si>
    <t>Name: GOPI Chand Gupta
Phone: 8419072311
Email: gopigupta60893@gmail.com
Country: India
City: Varanasi
Hospital/Clinic: SELF
Enquiry: Ct machine</t>
  </si>
  <si>
    <t>Saif Raja
9101606085
Assam</t>
  </si>
  <si>
    <t>𝔸𝕨𝕒𝕕𝕙𝕖𝕤𝕙 𝕓𝕒𝕘𝕙𝕖𝕝
+91 73885 13453
3 tesla Siemens MRI machine price</t>
  </si>
  <si>
    <t>Name: AMOLPREET SINGH
Phone: 7696400031
Email: Singh.amolpreet101@gmail.com
Country: INDIA
City: LUDHIANA
Hospital/Clinic:
Enquiry: QUERY REGARDING CT AND MRI MACHINES</t>
  </si>
  <si>
    <t>Name: Kuldeep
Phone: 9927286713
Email: vankuldeep8844@gmail.com
Country: India
City: Meerut
Hospital/Clinic: Maa diagnostic center
Enquiry: Mri and ct
(website lead)</t>
  </si>
  <si>
    <t>~Md, Danish
+91 75995 65819
Greater Noida, Uttar Pradesh</t>
  </si>
  <si>
    <t>Ebenezer Scan
+91 93800 17113
Karnataka</t>
  </si>
  <si>
    <t>Not responding</t>
  </si>
  <si>
    <t>Name: ABUSHIHADH
Phone: 8089592949
Email: abushihadhmethalapeedika@gmail.com
Country: India
City: Kozhikode
Hospital/Clinic: To be started
Enquiry: I NEED KNOW ABOUT PRICE OF THE PRODUCT AND NEED KNOW THE ALL CHARGES INCLUDING INSTALLATION AND THE PRODUCTS COMES WITH THE PRODUCT
(website lead)</t>
  </si>
  <si>
    <t>No.not reachable</t>
  </si>
  <si>
    <t>~Dr. Raghavendra Shukla 
+91 94797 42550
Pratapgarh up</t>
  </si>
  <si>
    <t>No.not connected/out of network coverage area</t>
  </si>
  <si>
    <t>~Dr Parth Patel
+91 78740 74987
Gujarat</t>
  </si>
  <si>
    <t>Jaisumeet Singh Virk 
+91 94635 72532
SCIENCE VISION</t>
  </si>
  <si>
    <t>Name:Raj Venu Gopal
Number: 8220312183
Need: 3.0T MRI Machine
profile: Dealer
Source; FB
(he is a dealer)</t>
  </si>
  <si>
    <t>Ravinder Kalra
+91 99973 19911
Agra, UP
MRI</t>
  </si>
  <si>
    <t>~Manjunath 
+91 87926 40447
Bangalore,Karnartaka
MRI</t>
  </si>
  <si>
    <t>vatandeep lohan
+91 90176 88117
Raman hospital 
kaithal, Haryana
CT  or cath lab</t>
  </si>
  <si>
    <t>~haji gulzar
+91 70068 85636 
Shopian, Kashmir
Mri 1.5tesla</t>
  </si>
  <si>
    <t>Name: Ankit beniwal
Phone: 89755 48383
Email: ankitbeniwal06@gmail.com
Country: India
City: Karnal</t>
  </si>
  <si>
    <t>~Bright Industries Group
+91 94677 72559
Ambala, haryana
mri , ct scan</t>
  </si>
  <si>
    <t>Umer Ashraf
7006433996
Srinagar/Pulwama
Jammu &amp; Kashmir
need CT scan refab</t>
  </si>
  <si>
    <t>Akash Chaurasia (MD Radiodiagnosis)
9306801087
Panipat, Haryana</t>
  </si>
  <si>
    <t>Ashu Naqvi
+919818677916
 Petct</t>
  </si>
  <si>
    <t>Aswini kumar gantait
9732886493, 9732991642, 
Hitech Nursing Home
Purba Medinipur, West Bengal</t>
  </si>
  <si>
    <t>Jauny kumar
+91 70789 88020
MRI Price</t>
  </si>
  <si>
    <t>Dr Anu Radha
+91 94193 70762
Jammu
CT</t>
  </si>
  <si>
    <t>Satish/ lalita
+91 97831 95622
MRI</t>
  </si>
  <si>
    <t>Deepak Pal
+91 97933 57964
Maa Laxmi Pathology and Digital X-ray
Lucknow, Uttar Pradesh
Ct scanner</t>
  </si>
  <si>
    <t xml:space="preserve">~Mohammad  Aijaj 
+91 99117 07250
(DocTrip India)
Delhi
Mri machines 1.5 t or 3 t </t>
  </si>
  <si>
    <t>Kishor Ramkrushna Patil
+91 72194 14884
Jay Pharma
Dhule, Maharashtra
Mri machine price</t>
  </si>
  <si>
    <t>No.not connected/incoming not allowed</t>
  </si>
  <si>
    <t>~Tushar Mishra
+91 93212 57367
Supreme hospital
Mumbai Ghatkopar
cathlab</t>
  </si>
  <si>
    <t>Farhan hussain
+91 76928 32558
Bhopal, Madhya Pradesh
Price list - all machines</t>
  </si>
  <si>
    <t>~Geetesh joshi 
+91 97543 45606
Bhopal, Madhya Pradesh
Cardiology Techncian-- just wanted to know prices</t>
  </si>
  <si>
    <t>Name: Ravi Jaiswal
Phone: 8707429599
Email: ravisukku06@gmail.com
Country: India
City: Deoria
Hospital/Clinic: Bhargavi diagnostic
Enquiry: 1.5 T mri machine..
(website form)</t>
  </si>
  <si>
    <t>Name: Satish Sharma
Phone: 9888433229
Email: satish.sharma@alchemisthospitals.com
Country: India
City: Panchkula
Hospital/Clinic: Alchemist Hospitals Ltd.
Enquiry:
(website form)</t>
  </si>
  <si>
    <t>Name: Dharmendra
Phone: 7906363803
Email: dkumarg88@gmail.com
Country: India
City: Agra
Hospital/Clinic: Lifeline hospital
Enquiry: Pleased share details of DEXA available, year of make, medel and how old is this.</t>
  </si>
  <si>
    <t>Devender Diwan 
+91 98131 89200
Bhiwani Haryana</t>
  </si>
  <si>
    <t>Sarbesh Kumar/Tonny Yadav
7644833292
Bangalore / Siwan, Bihar
price of ct</t>
  </si>
  <si>
    <t>Touseef Wani
7889409418
Delhi / Handawra, Kashmir
Needs CT</t>
  </si>
  <si>
    <t>L Binit Kumar
+91 98627 06719
Northeast Region
Mri and ct</t>
  </si>
  <si>
    <t>Sanjit Mishra
~Geeta Nursing Bureau
+91 97181 75094 / 9555785655
New Delhi
Pet-ct</t>
  </si>
  <si>
    <t>No.not connected</t>
  </si>
  <si>
    <t>Somen Goswami
8583829669
SSP Medical, Kolkata
(He appears to be a dealer)</t>
  </si>
  <si>
    <t>~Aasif Samar
+91 99918 75273
Nuh,Haryana
CT scanner</t>
  </si>
  <si>
    <t>~Mohd Thoufique Ahamed
+91 76950 48116
Andaman &amp; Nicobar
(He is a dealer)</t>
  </si>
  <si>
    <t>~Asha Thankachan
+91 95264 74841
CT and Ultrasound
Kerela</t>
  </si>
  <si>
    <t>Wrong no.</t>
  </si>
  <si>
    <t xml:space="preserve">Name: Ahmed Guarani
Phone: +9647507396686
Email: Ah91med90@gmail.com
Country: Iraq
City: Erbil
Hospital/Clinic:
Enquiry: </t>
  </si>
  <si>
    <t>Name: Dr Vipil Salgia
Phone: 9819855276
Email: drvipils@gmail.com
Country: India
City: Mumbai
Hospital/Clinic: SHRIYA DIAGNOSTIC CENTRE
Enquiry: Dexa scan refurbished usg machine</t>
  </si>
  <si>
    <t>~Mahboob Khan
+91 89878 65393
Megha nursing home
Ranchi, Jharkhand
ct machine</t>
  </si>
  <si>
    <t>No.not connected/switched off</t>
  </si>
  <si>
    <t>~Arya Ratna Saha
+91 85095 65734
Alipurduar, West bengal
MRI PRICE</t>
  </si>
  <si>
    <t>~Sarfaraz Khan
+91 70540 40371
National Diagnostic Centre
Balrampur, U.P
CT scan</t>
  </si>
  <si>
    <t>~Rushikesh Maske Patil
+91 90967 76037
Solapur, maharashtra
pet-CT expense</t>
  </si>
  <si>
    <t>Pramod Kumar Singh
+91 95049 78320 
Hazaribag diagnostic and ultrasound 
hazaribag jharkhand
Mri and CT machine</t>
  </si>
  <si>
    <t>Kulwindwer Singh
+91 78149 69948
Mohali, Punjab
MRI and CT scan machines</t>
  </si>
  <si>
    <t>Avesek
+91 96080 18473
Thakurganj, Bihar
ct scan machine</t>
  </si>
  <si>
    <t>~Mahboob alam
+91 72549 80108
sitamarhi, Bihar
ct scan machine</t>
  </si>
  <si>
    <t>Abhay Vaishnav
+91 85295 43664
Banswara rajasthan
CT</t>
  </si>
  <si>
    <t>Bimlesh Kumar
+91 79706 06248 
(dr. lal path lab branch)</t>
  </si>
  <si>
    <t>Sahil Kumar Gohel
+91 6352 302 290
Gujarat</t>
  </si>
  <si>
    <t>~Debabrata Mitra / Mahadev Hembram
+91 95472 77350
Durgapur ,West Bengal
Cathlab</t>
  </si>
  <si>
    <t>Deepak Singh
+91 98314 43990
Care you diagnostic centre
Ballia, U.P
MRI</t>
  </si>
  <si>
    <r>
      <rPr/>
      <t xml:space="preserve">Name: Sabri Haj
Email: Eng_sabri@hotmail.com
Need: quotation of MRI Machine
Profile: Director Sales Operations | Healthcare Expertise
</t>
    </r>
    <r>
      <rPr>
        <color rgb="FF1155CC"/>
        <u/>
      </rPr>
      <t>https://www.linkedin.com/in/sabri-haj-b413b87/</t>
    </r>
    <r>
      <rPr/>
      <t xml:space="preserve">
Location: Abu Dhabi Emirate, United Arab Emirates
(we have his email only)</t>
    </r>
  </si>
  <si>
    <t>~Drx Abhishek Wanere
+91 97673 63074
Laxmi medical research centre buldana
Buldhana, Maharashtra
PET-CT</t>
  </si>
  <si>
    <t>Dr Ankit Verma
+91 94674 27743</t>
  </si>
  <si>
    <t>Yatin
+91 79836 88891</t>
  </si>
  <si>
    <t>Harsh Raj
+91 78706 47319
Patna, Bihar
(Want to work as dealer)</t>
  </si>
  <si>
    <t>Mohammad Kaif
+91 93066 02272
Nuh, (Mewat), Haryana</t>
  </si>
  <si>
    <t>Name: Owais Wani
Phone: 9103029936
Email: jasswani@gmail.com
Country: India
City: Srinagar
Hospital/Clinic:
Enquiry: I am planning a collaboration with a hospital to install a CT scanner there. I want to know the price and if there are any finance options available.
(website lead)</t>
  </si>
  <si>
    <t>Name: Rajeev Ranjan
Number: 9308899835
Need: 3.0T GE MRI Machine
Profile V3 HelthCare pvt Ltd
Source: FB</t>
  </si>
  <si>
    <t>~Dr. kiran Kumar  Reddy
+91 93818 81929</t>
  </si>
  <si>
    <t>Aayush Sen
+91 81093 21565
Bilaspur chhattisgarh</t>
  </si>
  <si>
    <t>Showkat Hassan
+91 60058 35213
Babel , Srinagar</t>
  </si>
  <si>
    <t>~Ankit Raj
+91 95082 93618
Godda Jharkhand 814133, 
planning for diagnostic centre
Quotation of ct and mri</t>
  </si>
  <si>
    <t>Abhishek Kumar/ Rajat
Number: 9473263834
Hope hospital
Location:Purnia Bihar
Need: Enquiry of CT Machine
Source: FB</t>
  </si>
  <si>
    <t>Disha Hospital
+91 75185 51012
Fatehpur
MRI</t>
  </si>
  <si>
    <t>Not connected/incoming call not allowed</t>
  </si>
  <si>
    <t>Arvind Singh / Parmatma Singh
+91 94151 40853
Varanasi , U.P
CT Scan</t>
  </si>
  <si>
    <t>Not connected</t>
  </si>
  <si>
    <t>Dinesh Kumar Yadav
+91 91234 01708
Bihar
CT Scan</t>
  </si>
  <si>
    <t>Nethi Naveen kumar royal
+91 95351 03345
Anantapur,Andhra Pradesh
CT and MRI</t>
  </si>
  <si>
    <t>Name: Sakshar Choudhury
Number: 7005176243
Need: imaging equipment (Quotation send on whatsup)
Location: Shilchar, Assam
(He is opening new hospital)
Source: FB</t>
  </si>
  <si>
    <t>Name: Omprakash Upadhyay
Number: ‪+91 96799 43999‬
Need: Cath Lab FD-10
Source: FB</t>
  </si>
  <si>
    <t>Sreeja Bestha
+91 6281 485 854</t>
  </si>
  <si>
    <t>~Karan Raju Badkahne
+91 77758 82946
Nagpur, Maharashtra
MRI</t>
  </si>
  <si>
    <t>Dibyaranjan Sahu
+91 78470 90341
Odisha
Mri</t>
  </si>
  <si>
    <t>~Goutam Satpathy
+91 90649 64076</t>
  </si>
  <si>
    <t>Musadir Manzoor
+91 91030 12740
Verinag, Anantnag, Kashmir</t>
  </si>
  <si>
    <t>~Dr S K AZHARUDDIN - MD DNB
+91 99084 37646
SK clinics
Nellore, Andhra Pradesh
CT scanner price</t>
  </si>
  <si>
    <t>Muhammed Navaf CV
+91 97469 77800
Kerela
MRI and CT</t>
  </si>
  <si>
    <t>Name: Amit Jadon 
Number: 7677007100
Need: CT Machine
Source :FB</t>
  </si>
  <si>
    <t>Name: Adil shah
Phone: 9921488179
Email: smushir06@gmail.com
Country: India
City: Klayan
Hospital/Clinic:
Enquiry: Price enquiry</t>
  </si>
  <si>
    <t>Name: Suma Devi Dash
Phone: 09078757817
Email: sumadevidash@gmail.com
Country: India
City: Cuttack
Hospital/Clinic: Multi specialty
Enquiry: We have a GE Optima IGS 320 Cathlab and an GE Optima CT 660 to sell</t>
  </si>
  <si>
    <t>Name: Kaushal Kumar
Phone: 09069771980
Email: mrkaushal33@gmail.com
Country: India
City: Delhi
Hospital/Clinic: New centre plan
Enquiry: New centre plan</t>
  </si>
  <si>
    <t>Not connected/call ended automatically</t>
  </si>
  <si>
    <t>Name: Ayub Khan 
Number: 9667664927
Need: GE Dexa Lunar
Source: fb
Profile :dealer</t>
  </si>
  <si>
    <t>Name: Rajan Patel
Number: 9409206140
Need: CT Scan Machine
Profile: Consultant Radiologist @ Paramount Diagnostic center | Expertise in Radiology and Imaging
Source: Linkedin</t>
  </si>
  <si>
    <t>Name: Leon Denz Parsons 
Number:‪ +447494508292‬
Need: want to sell imaging equipment
Company: Probo medical
Country : UK
Source: Fb</t>
  </si>
  <si>
    <t>~Sumit Honrao
+91 88057 00781
Sumit diagnostic centre 
tal madha
solapur, Maharashtra
CT Scan</t>
  </si>
  <si>
    <t>~Mayur Prajapati
+91 6353 635 140
Ahmedabad, Gujarat
PET CT scan</t>
  </si>
  <si>
    <t>~Mr Pravin G Bhatu
+91 99783 24732
Need for government tender supply</t>
  </si>
  <si>
    <r>
      <rPr/>
      <t xml:space="preserve">Name: Geethika Simma
Phone: +91 6281237319
Email: geethika.simma@cancerclincis.in
Country: India
City: Hyderabad
Hospital/Clinic: CION Cancer Clinics
Enquiry: My name is Dr. Geethika Simma, and I am the Manager of the Centre of Excellence at CION Cancer Clinics (https://www.cioncancerclinics.com/ Best Cancer Hospital in Hyderabad, India - CION Cancer Clinics Cancer Hospital in Hyderabad : We are a cancer treatment center that offers medical oncology, surgical oncology, radiation oncology and integrative care. Visit CION Cancer Clinics! www.cioncancerclinics.com ) in Hyderabad, India. We are in the process of establishing a specialized cancer center dedicated to providing comprehensive and cutting-edge cancer care. As part of our equipment procurement strategy, we are interested in acquiring a refurbished Linear Accelerator (LINAC) system and PET CT that is in excellent working condition. We believe that a high-quality refurbished unit can meet our clinical needs effectively. We would like to initiate discussions with your team to understand your available inventory, product specifications, and the process for acquiring a refurbished LINAC and PET CT. Please let us know how we can arrange a meeting or call to discuss this in more detail. Thank you for your time and consideration. Regards, Dr. Geethika Simma Manager - Centre of Excellence CION Cancer Clinics (A Unit of CIPHER Oncology Private Limited) T: +91 (40) 2355 3335 M: +91 (0) 6281237319 W: </t>
    </r>
    <r>
      <rPr>
        <color rgb="FF1155CC"/>
        <u/>
      </rPr>
      <t>www.cioncancerclinics.com</t>
    </r>
  </si>
  <si>
    <t>Dr Anmol singh
+91 98888 89172
Mohali, Punjab
1.5 T MRI GE</t>
  </si>
  <si>
    <t>~Krishna Kumar Sharma
+91 70043 37035
Narayana diagnostic centre
Bokaro, Jharkhand
MRI and CT scan Machine</t>
  </si>
  <si>
    <t xml:space="preserve">~Abhishek Saini
+91 90586 29743
meerut, Uttar Pradesh
CT </t>
  </si>
  <si>
    <t>Sameer Ahmaed Mir
+91 91497 73671
Kashmir</t>
  </si>
  <si>
    <t>Uttkarsh Tiwari
9654284012
CT</t>
  </si>
  <si>
    <t>chandra sekhar panigrahi
+91 97761 71000
Mri</t>
  </si>
  <si>
    <t>~Dr Satyendra Samrat
+91 93042 97457</t>
  </si>
  <si>
    <t>AKHIR Singimari
+91 96784 50751
Guwahati , Assam
He is a dealer</t>
  </si>
  <si>
    <t xml:space="preserve">Abdul Basha
+974 3014 1921
Qatar </t>
  </si>
  <si>
    <t>~dharmvir / bittu patel
+91 6201 550 688
CT</t>
  </si>
  <si>
    <t>~Gouram Sarkar
+91 91230 71620
Berhampur 
Dist Murshidabad 
West Bengal
PETCT and GAMA camera</t>
  </si>
  <si>
    <t>Name: Deepan Dharshan
Number: 9585089289
Need: PET-CT
Source:FB
Profile:Dealer
He is a dealer</t>
  </si>
  <si>
    <t>~Uzair Rashid
+91 84930 45930
Baramulla, Kashmir
Dexa</t>
  </si>
  <si>
    <t>~Dr Rajkumar Suryawanshi
+91 73506 66245
Dhule Maharashtra
CT Scanner</t>
  </si>
  <si>
    <t>dr shoba
9885089414
Shoba scans
Bengaluru, Karnataka
Refurbished 32 slice CT scan</t>
  </si>
  <si>
    <t>~Suresh babu
+91 96000 75700
Chennai, Tamil Nadu</t>
  </si>
  <si>
    <t>Name: Jitendra Chordiya 
Number: 9607011611
Need: CT &amp; Cath Lab
Source: FB</t>
  </si>
  <si>
    <t xml:space="preserve">Vaibhav Jaitlee
9711175872        
Need 3 Tesla MRI new machine                         </t>
  </si>
  <si>
    <t>Raiyan Akhtar
7004225606
Dhanbad, Jharkhand</t>
  </si>
  <si>
    <t>Naman Sabharwal
+91 91055 61543
dehradun, uttarakhand</t>
  </si>
  <si>
    <t>Ravi Singh Thakur
+91 91251 88011
CT scan machine price</t>
  </si>
  <si>
    <t>~Rakesh Mahiya
+91 95217 80231
Rajasthan
Ct scan GE 128 slice machine price
Mri 1.5T advance machine price</t>
  </si>
  <si>
    <t>Sonu
+91 6202 309 744
CT</t>
  </si>
  <si>
    <t>Ayush kumar bhardwaj
+91 95086 89512
Diagnostic centre
Nera,  Bhagalpur , Bihar
Mri CT</t>
  </si>
  <si>
    <t>Basalingappa 
+91 98861 74031
Karnataka</t>
  </si>
  <si>
    <t>~anzar azeez
+91 6282 040 801
Kerela</t>
  </si>
  <si>
    <t>~Alfa Agencies
+91 91499 80047
Srinagar, Jammu &amp; Kashmir
MRI, CT, USG</t>
  </si>
  <si>
    <t>~Dr Viraj Rathod
+91 88806 95559
Dr Viraj Pet Clinic
kalaburagi district
karnataka</t>
  </si>
  <si>
    <t>~Dr Y S Manhas
+91 95966 22122</t>
  </si>
  <si>
    <t>Nilanjan Maiti
+91 6289 725 325
Healsense Care Point pvt ltd
datan, Paschim Medinipur 
west bengal
Cost of MRI and CT scan</t>
  </si>
  <si>
    <t>Name: Dr sarfaraz
Phone: 9712299408</t>
  </si>
  <si>
    <t>Nur Hossain 
+91 99326 51765
Midnapore, West Bengal</t>
  </si>
  <si>
    <t>~vijendra lodhi
+91 78284 80102</t>
  </si>
  <si>
    <t>~Biplab Sarkar
+91 70443 52415
Kolkata , West Bengal
Dealer from kolkata</t>
  </si>
  <si>
    <t>Mohammed Mahmood Hussain
+91 97038 88351</t>
  </si>
  <si>
    <t>shaikh sabiul mondal
+91 92394 58240
West Bengal</t>
  </si>
  <si>
    <t>Nishant Kumar
+91 70919 89835
~Medesis Hospital
Patna, Bihar</t>
  </si>
  <si>
    <t>sajidd chaudhary
+91 99679 28275
Cliniquevo diagnostic centre 
Sakinaka , Mumbai 
MRI and CT scan - Price enquiry</t>
  </si>
  <si>
    <t>Benson PB
+91 95264 62378
Wayanad, Kerala
Ct</t>
  </si>
  <si>
    <t>Kunal 
Kunal Digital Xray
+91 82100 20270
Muzaffarpur, Bihar</t>
  </si>
  <si>
    <t>A K
+91 92195 49673
CT scan</t>
  </si>
  <si>
    <t>~Dr Sujan Kumar
+91 99233 02107</t>
  </si>
  <si>
    <t>Rajneesh
+91 91987 64454
Bareilly ultrasound centre
Miranpur katra 
district shahjahanpur uttar pradesh 
MRI and CT scan</t>
  </si>
  <si>
    <t>~TONY ANTONY
+91 98996 31101
Kottayam, Kerela
1.5T MRI machine</t>
  </si>
  <si>
    <t>Md. Maushahid Raza
+91 88045 08929
bhagalpur bihar. 
CT scan</t>
  </si>
  <si>
    <t>~tribhuwan pandey
+91 93043 59276
Indo Medicare
Patna, Bihar 
CT</t>
  </si>
  <si>
    <t>Mohit Verma 
+91 98127 05393
 ct machine</t>
  </si>
  <si>
    <t>Chandan Kumar Yadav
+91 93065 05982
MRI setup cost</t>
  </si>
  <si>
    <t>Name: Ameya Mahajan
Phone: 7741866126
Email: mahajanamey29@gmail.com
Country: India
City: Pune
Hospital/Clinic: Raaya Diagnostic centre
Enquiry: Pricing</t>
  </si>
  <si>
    <t>Ivan Altbah
+998901282828
Tashkent, Uzbekistan 
Need Coil. MRI</t>
  </si>
  <si>
    <t>Refaz Shaikh
+91 73840 24979
PET CT
West Bengal</t>
  </si>
  <si>
    <t>Manoj Shrivastav
+91 75250 46719
~Karauli diagnostic Varanasi
Varanasi, Uttar Pradesh</t>
  </si>
  <si>
    <t>Ayan Bannerjee
+91 74393 20440
Howrah, West Bengal
Dealer</t>
  </si>
  <si>
    <t>Anirudh Shrivastava
+91 99262 45411
Madhya Pradesh
MRI</t>
  </si>
  <si>
    <t>~Dr Anshuman Panda
+91 98538 05828
Odisha</t>
  </si>
  <si>
    <t>He will need in future - Not now</t>
  </si>
  <si>
    <t>~MONIRUL HAQUE
+91 90621 25100
howrah, west bengal
CT scanner</t>
  </si>
  <si>
    <t>~Dr Ashish Shakya
+91 92364 14701</t>
  </si>
  <si>
    <t>Khurshid Ahmed Malik/ Taimur
+91 94842 64396
doda, Jammu and Kashmir
MRI Price</t>
  </si>
  <si>
    <t>~Ravi Dhakad / Aditya Dhakad / Rajnish Singh
+91 91317 87081
AJS Hospital
Guna, Madhya Pradesh</t>
  </si>
  <si>
    <t>Bunny Pyong
+91 73086 92560
~NT.Nutrition store
Imphal, Manipur
Prices of machine</t>
  </si>
  <si>
    <t>~Lovely Saini
+91 84459 83267
Amrit Hospital 
Saharanpur 247001, U.P
MRI and CT</t>
  </si>
  <si>
    <t>kanha hospital
Number: 7497966614
Need: MRI Machine
Source : FB</t>
  </si>
  <si>
    <t>Name: Bapon Molla 
Number: 9339869968
Need: MRI Machine
Source: FB</t>
  </si>
  <si>
    <t>Name: Pardeep Bishnoi
Number: 8058518185
Need: CT Machine 
Location: diagnosis center didwana Rajsthan
Source: FB</t>
  </si>
  <si>
    <t>Mr. Brar
+91 95305 74760
Chandigarh
for hospital Project</t>
  </si>
  <si>
    <t>Syed AUN MOHAMMAD
+91 96964 83517
CT Scan</t>
  </si>
  <si>
    <t>Naman Garg
9748019261
Medionn Diagnostics Limited
kolkata, India
namangarg@medionn.com
CT Scan 16 slice
(website google forms)</t>
  </si>
  <si>
    <t>~Aishwary Dhalgar
+91 97044 98963
Satya Diagnostic Centre 
Saidpur, Ghazipur, U.P
CT SCAN</t>
  </si>
  <si>
    <t>Name: V Hosamani M Hosamani 
Number: 6362703435
Need: CT Scan Machine
Hospital Name: Haridas hospital, gulbarga, Karnataka
Source: FB</t>
  </si>
  <si>
    <t>Omveer
+91 95197 83567
Bareilly, U.P
PET CT, and CT scan</t>
  </si>
  <si>
    <t>Dr anmol singh 
+91 99927 99014
chandigarh diagnostic centre
Kurali,Chandigarh
Requirement of 64 slice ct</t>
  </si>
  <si>
    <t>~Gulzar Hussain
+91 98541 35470
Lifeline
Karimganj, Assam</t>
  </si>
  <si>
    <t>Not connected/switched off</t>
  </si>
  <si>
    <t>Name: Sourav Seth
Number: 6295034611
Need: CT machine
Source: FB</t>
  </si>
  <si>
    <t>Name: Abhishek Rajput
Number: 8700369449
Need: 16 Slice Ge Revolution ball bearing tube 
Source: Fb</t>
  </si>
  <si>
    <t>Name: Nguafack Clovis 
Number:+9710529341897 ( Number is dubai)
Need: CT Machine
Source : FB
Note: Need in country Cameroon</t>
  </si>
  <si>
    <t>Name: Satyam Singh 
Number: 9905932633
Need: CT Machine (asking price)
Source: FB</t>
  </si>
  <si>
    <t>Name: Bin Omer
Number: 00249917725853
Need: MRI Machine
Country: Sudan
Source :FB</t>
  </si>
  <si>
    <t>Name: Joseph Imaging 
Number: 9080099622
Need: GE 64 Slice CT Scan
Profile: Re-seller (Dealer)
Source :FB</t>
  </si>
  <si>
    <t>Name: Shivam Yadav 
Number: 9096237829
Need: GE Dexa Machines
Source :FB</t>
  </si>
  <si>
    <t>Name: Birchandar Jayswal 
Number: 9830690316 (re-seller)
Need: MRI Machine
Source: FB</t>
  </si>
  <si>
    <t>Dr Bikrant Kushwaha
9263192885
Nandani Hospital &amp; trauma centre,piro
Bhojpur
CT</t>
  </si>
  <si>
    <t>vipul        
virbapu1989@gmail.com        
bhavnagar,Gujarat
09016910257        
mri</t>
  </si>
  <si>
    <t>yash raj singh meena        
yash.14rajmaran@gmail.com        
7/7 jharneshwar complex, Gtb complex ,  jawahar chowk bhopal        
8889079520</t>
  </si>
  <si>
    <t>Name: SHASHI KANT SHASHI
Phone: 08273692969
Email: kantshashi552@gmail.com
Country: India
City: Agra
Hospital/Clinic: Prabha hospital agra k
Enquiry: CT scan Machin purchasing for 64 sec</t>
  </si>
  <si>
    <t>~gafur ali
+91 91013 27093
Apex Diagnostic Centre
Barpeta, Assam</t>
  </si>
  <si>
    <t>~Ranjyot Singh
+91 88004 34241</t>
  </si>
  <si>
    <t>~kuldeep kumar pandey
+91 97921 45123
CT Scan</t>
  </si>
  <si>
    <t>karan choudhary
+91 96106 49475
CT Scan</t>
  </si>
  <si>
    <t>~VIKAS PATIL ALANJKAR
+91 91300 40523
Aurangabad Zone Maharashtra
Dealer</t>
  </si>
  <si>
    <t>Manoj Thakur
+91 91051 00360</t>
  </si>
  <si>
    <t>~Manoj Kumar
+91 6377 673 867</t>
  </si>
  <si>
    <t>Farhan Anis
+91 6206 104 678
Amna nursing home 
bettiah bihar
MRI and CT price.</t>
  </si>
  <si>
    <t>~Dr Mamoon Yehiya
+91 73210 10075</t>
  </si>
  <si>
    <t>Mohammad Sadiq Banday
+91 70063 25445
Professional Diagnostic Imaging Center
Srinagar, Jammu and Kashmir</t>
  </si>
  <si>
    <t>MD
+91 60020 16491
Assam</t>
  </si>
  <si>
    <t>Name: Amit modi
Phone: 9644451600
Email: dramitmodi.modi@gmail.com
Country: India
City: Rajnandgaon
Hospital/Clinic: Vidhi diagnostic and research center
Enquiry: Information about cardiac ct</t>
  </si>
  <si>
    <t>Name: Dalip Singh Dagur
Phone: 09982894474
Email: kingcare02@gmail.com
Country: India
City: Gangapur
Hospital/Clinic: Mamta Diagnostic centre
Enquiry: How much price ge brightspeed</t>
  </si>
  <si>
    <t>Ashutosh Tiwari
7651910076
imashubrahman01@gmail.com
Tiwari hospital</t>
  </si>
  <si>
    <t>Name: Karthick Vidyasankar 
Number: 9080308383
Need: MRI Machine (re-seller
Source:FB</t>
  </si>
  <si>
    <t>~Karun Chopra
+91 94642 70694
chandigarh 
Done densitomter Dexa scan</t>
  </si>
  <si>
    <t>~Dr. Vinay Pratap Singh
+91 98273 35717
1. Refurbished CT 
2. ⁠Refurbished Cath lab single plane and biplane ?</t>
  </si>
  <si>
    <t>Anisur Islam
+91 76388 07731
Hatsingimari, Assam
CT Scan price</t>
  </si>
  <si>
    <t>Javed Pasha
+919027936769
Ct scan</t>
  </si>
  <si>
    <t>~Dr Radiology
+91 95482 28890
Prabha hospital
Agra, U.P.
Ct scan machine</t>
  </si>
  <si>
    <t>~Dr.Vikas Jaiswal
+91 88008 78715
Varanasi, U.P</t>
  </si>
  <si>
    <t>~Jigar Dobariya
+91 98983 24645
Gujarat
catalogue and price list for the all products</t>
  </si>
  <si>
    <t>~Dr Tejwinder Bali
+91 91495 55585
Jammu Kashmir</t>
  </si>
  <si>
    <t>Name: Sudhanshu
Phone: 7905516775
Email: sudhanshutiwary@gmail.com
Country: India
City: Gonda, U.P</t>
  </si>
  <si>
    <t>RAJESH KRISHNA
avs@avslabtechnologies.com        
7418546750        
AVS LAB TECHNOLOGIES</t>
  </si>
  <si>
    <t>Shashi Rajput
9548228890
Agra / Tundla
CT</t>
  </si>
  <si>
    <t>satyaveer suryavanshi
+91 98398 69797
Gorkhpur, U.P
CT</t>
  </si>
  <si>
    <t>Name: Dr Naveen Kumar
Phone: 07979815820
Email: kuuna.naveen@gmail.com
Country: India
City: Rayachoty , Kadapa Dist, Andhra Pradesh</t>
  </si>
  <si>
    <t>Toge Rina - Human 
+91 96123 11639
District headquarters,East Siang,
Arunachal Pradesh
Plannig to open new centre</t>
  </si>
  <si>
    <t>~sakshi patil
+91 95619 13442
Kolhapur Maharashtra
Ct scan 16 scilce</t>
  </si>
  <si>
    <t>Not conneced/incoming call not allowed</t>
  </si>
  <si>
    <t>Name: Mandeep Saini 
Number: 7837075572 (re-seller)
Need: GE Dexa Lunar
Source:FB
(dealer)</t>
  </si>
  <si>
    <t>sinoj valiyath
+91 94959 27129
Kollam karunagapalli, Kerala</t>
  </si>
  <si>
    <t>~ARWHA DIAGNOSTIC CENTER
+91 70067 80685</t>
  </si>
  <si>
    <t>Rahul Kashyap
kashyaprahul011@gmail.com
Hira Diagnostic Centre
9818597857</t>
  </si>
  <si>
    <t>~Prashanth Kalisetty
+91 90321 98732
CT &amp; MRI machine</t>
  </si>
  <si>
    <t>Owais Shafi Kar
+91 91499 57512
Elite pharmacy
Anantnag
price of ct</t>
  </si>
  <si>
    <t>Name: Gupteshwar Singh 
Number: 8235001121
Need: CT Machine
Source: FB</t>
  </si>
  <si>
    <t>Name: Neral Multispeciality Hospital 
Number:7972452025
Need: CT Machine
Location: Neral, Maharashtra, India
Source: FB</t>
  </si>
  <si>
    <t>Name: Vinay Srivastava 
Number: 7905030667
Need: cath lab (re-seller)
Source:Fb
(dealer)</t>
  </si>
  <si>
    <t>Samraddh Bharat Foundation
+91 99937 12416
Maharajpur - Mandla-481665
Madhya Pradesh</t>
  </si>
  <si>
    <t>sumant kumbhare
+91 94221 06948
Image Enterprises. Nagpur
(dealer)</t>
  </si>
  <si>
    <t>~Mr. Arup Dikshit
+91 77185 37584
Not now -- needs in future years</t>
  </si>
  <si>
    <t>"Abhishek Kumar/ Rajat
Number: 9473263834
Hope hospital
Location:Purnia Bihar
Need: Enquiry of Cath Lab
Source: FB"</t>
  </si>
  <si>
    <t>~Dr.Gopal Goswami SGMH
+91 77469 99777
Madhya Pradesh,</t>
  </si>
  <si>
    <t>Dr nimai nayak
+91 98276 97246
Odisha</t>
  </si>
  <si>
    <t>Name: Abhishek Sharma
Phone: 8955870873
Email: abhi.vp81@gmail.com
Country: INDIA
City: jabalpur, Madhya Pradesh
Hospital/Clinic: Metro hospital jabalpur
Enquiry: I need a refurbished cath lab machine</t>
  </si>
  <si>
    <t>Name: Naman sharma
Number: 9928365484
Need: ct machine
Location:fb</t>
  </si>
  <si>
    <t>vipul
virbapu1989@gmail.com
09016910257</t>
  </si>
  <si>
    <t>~Amitabh Dwivedi
+91 97550 56350
Rewa, Madhya Pradesh
MRI machine</t>
  </si>
  <si>
    <t>~Surajit Roy
+91 89619 95514
Kolkata
Mri</t>
  </si>
  <si>
    <t>Naresh Jilewad
+91 99704 71135
Maharashtra</t>
  </si>
  <si>
    <t>Chika Karthik Goud
+91 90636 30085
karthikgoud541@gmail.com
CT Scanner</t>
  </si>
  <si>
    <t>H
+967772496614
Yemen
Am medical coordinator 
From Yemen country - Can I know address for your centre please?</t>
  </si>
  <si>
    <t>Name: Ambey Hospital 
Number: 7895368500
Need: CT machine
Source: Fb</t>
  </si>
  <si>
    <t>Vikas Rai
8968223476
Chandigarh</t>
  </si>
  <si>
    <t>Name: Shanuj Sharma 
Number: 918894721989
Need: 1.5 Tesla MRI Machine 
Source: Fb
(dealer)</t>
  </si>
  <si>
    <t>Name: Karun Chopra 
Number:  91 9464270694
Need: GE DEXA Lunar (user or dealer both)
Source: FB</t>
  </si>
  <si>
    <t>Name: sanjay verma
Number: 90410 38006
Need: GE DEXA Lunar
Profile: Sparsh Multispeciality Hospital
Source: FB</t>
  </si>
  <si>
    <t>Name: Shailendra Yadav
Need: MRI Machine (Dealer Price)
Number: 8368239404
Source: FB</t>
  </si>
  <si>
    <t>Not connected/no.does not exist</t>
  </si>
  <si>
    <t>Name: CHEMI EQUIP
Phone: 9431133341
Email: chemiequip@rediffmail.com
Country: india
City: Jamshedpur
Hospital/Clinic: CHEMI EQUIP
Enquiry: Imaging Phantom for CT applications</t>
  </si>
  <si>
    <t>Satyabrat Gogoi
+91 93658 96358
Assam
MRI Price</t>
  </si>
  <si>
    <t xml:space="preserve"> +91 95543 64926
Gonda Uttar Pradesh
All Machines Price</t>
  </si>
  <si>
    <t>Yash Dubey
+91 89535 34323
jalaun (up)
New Hospital Opening Plan
All Machines Price</t>
  </si>
  <si>
    <t>Rajeev Kumar
+91 89369 15728
~PARK HEALTH CARE (UP - West)
Plan to open Hospital in Uttarakhand
All Machine Price</t>
  </si>
  <si>
    <t>R Rishik Reddy
+91 94421 17627 (Please Discuss on Whatsapp Chat Only)
hosur town, Krishnagiri district, Tamil Nadu
All Machine Price</t>
  </si>
  <si>
    <t>Bijay choudhury
7894584938</t>
  </si>
  <si>
    <t>Dr Saurabh Gupta
+91 93522 10301
L.N Hospital, Neemrana (Rajasthan)
CT Scan Price</t>
  </si>
  <si>
    <t>Name: MOHD BILAL
Phone: 9948817171
Email: bilal17171@gmail.com
Country: India
City: HYDERABAD
Hospital/Clinic: diagnostic
Enquiry: MRI 1.5T 16 CHANEL</t>
  </si>
  <si>
    <t>Raj
+917358484194
"Export to Africa"</t>
  </si>
  <si>
    <t>Deepak Sathya
9790984141</t>
  </si>
  <si>
    <t>gugan
9888772211
9890586432</t>
  </si>
  <si>
    <t>Not connected/first no.wrong no.other no.does not exist</t>
  </si>
  <si>
    <t>Name: Santosh Tripathi
Phone: 08120681740
Email: drsantoshtripathi@yahoo.com
Country: India
City: Gwalior
Hospital/Clinic:
Enquiry: CT scan</t>
  </si>
  <si>
    <t>Sabirul Islam
+91 78907 00088
Barasat land mark
North 24 pgs dist , West Bengal
Required ct and cathlab.
Required for hospital</t>
  </si>
  <si>
    <t>Name: Swapnil Patil
Phone: 09995673162
Email: drsrkpatil@gmail.com
Country: India
City: Vashi, Navi Mumbai
Hospital/Clinic:
Enquiry:</t>
  </si>
  <si>
    <t xml:space="preserve">~piyush dhawan
+91 79990 43914
Dhawan pathology
Ujjain Madhya Pradesh </t>
  </si>
  <si>
    <t>Puneet 
+91 97728 87373
Udaipur , Rajasthan
Ct device 32 slice new
Dealer</t>
  </si>
  <si>
    <t>Name:Pardeep Bishnoi 
Number: 8058518185
Need: MRI Magnet
source: FB
(few days before also he made enquiry about CT)</t>
  </si>
  <si>
    <t>Name: Er Puspender 
Nummber: 8696598283
Need: MRI Machine (Re-seller)
Source:FB
Palwal
Dealer</t>
  </si>
  <si>
    <t>MADAN NAIK
9769928038
yog25_99@yahoo.com
HERAMBH ENGINEERING</t>
  </si>
  <si>
    <t>~Rohan Ansari
+91 87389 93820</t>
  </si>
  <si>
    <t>Name: Himasaila
Phone: 9182884170
Email: hima.mhr@gmail.com
Country: India
City: Rayachoti, Andhra Pradesh
Hospital/Clinic: Shivashakthi
Enquiry: Want 1.5t essenza</t>
  </si>
  <si>
    <t>~Omkar Nerkar
+91 78409 54489
Jalgoan, Maharashtra
3T MRI (GE, Siemens, Philips and other options available)
CT Scan (64/128 Slice High-End)
PET CT Scan
Mammography
DEXA
Sonography / Ultrasound
CBCT</t>
  </si>
  <si>
    <t>Name: Swastik Biomedical 
Number: 9840088207
Need: GE Dexa Lunar
Source: FB
Dealer</t>
  </si>
  <si>
    <t>Name: abid Hussain
Number: ‪+917006326866‬
Need: GE Dexa lunar (re-seller)
Source: FB
Dealer</t>
  </si>
  <si>
    <t>Somesh Jangid 
~Neu Life Hospital
Sikar, Rajasthan
+91 80055 01003
CT Scan</t>
  </si>
  <si>
    <t>~Dr.Omkareshwar SP Phad
+91 79728 57378
Vaijnath Beed district, Maharashtra</t>
  </si>
  <si>
    <t>dr Indran G P Nair
+91 94968 47885
Email- indrangp@gmail.com
Kerela</t>
  </si>
  <si>
    <t>Zameer Khan
+91 84011 16724
Email- zameerskhanpathan@gmail.com
Need brochure
Gujarat</t>
  </si>
  <si>
    <t>Arun Singh Rajput
9797679034
Email - jaishriram108@gmail.com
CT Machine</t>
  </si>
  <si>
    <t>Name: Rohit Chauhan
Number: 7678399042
Need: Ask price of imaging equipment
Profile: MS (General Surgery), MCh (Urology)
Note: He is starting new clinic</t>
  </si>
  <si>
    <t>Vishal
+91 6299 771 696
Mri machine
Bihar</t>
  </si>
  <si>
    <t>Rajesh Sharma - Inspector General- BSF
+91 91621 46462  (Dont Call)
-- Send PDF on WhastaApp</t>
  </si>
  <si>
    <t>Ritik Mishra / Shashwant Mishra
+91 99188 17059
Uttar Pradesh</t>
  </si>
  <si>
    <t>~Rahul Gupta
+91 84485 56846
JMD srurjical------ needs many equipmet-- but has mentioned CT and MRI in his list</t>
  </si>
  <si>
    <t xml:space="preserve">Bsa Surgitech
+91 99058 08337
may be dealer--- </t>
  </si>
  <si>
    <t>Adarsh Chaudhary
+91 80527 31400
Gonda, Uttar Pradesh</t>
  </si>
  <si>
    <t>~Utkarsh Singh
+91 89530 15858
fatehpur/prayagraj -- Uttar Pradesh</t>
  </si>
  <si>
    <t>~Mayo Path Lab
Rahis Ahamad -
+91 96677 08195
Ajmer Rajasthan</t>
  </si>
  <si>
    <t>Rahul Gupta
8750939980
CT Scan Machine.
MRI Machine.</t>
  </si>
  <si>
    <t>Pulak Kala
+91 83899 19369</t>
  </si>
  <si>
    <t>Savit Kumar
+91 89584 50444
New center open
Ct scan, MRI</t>
  </si>
  <si>
    <t>Name: dr.munish
Phone: 09839885568
Email: DR.MUNISHYADAV@GMAIL.COM
Country: India
City: kanpur
Hospital/Clinic: MANGLA MULTISPECIALITY HOS[ITAL
Enquir</t>
  </si>
  <si>
    <t>Vansh Beniwal
+91 81713 52200</t>
  </si>
  <si>
    <t>Dr Sampangi Raghu Ram Raj (neurosurgen)
+91 78290 21828
Bengaluru
Ct machine</t>
  </si>
  <si>
    <t>Name: Awadh Ultrasound 
Number: 094543 46484
Need: MRI Machine (asking price)
Source FB</t>
  </si>
  <si>
    <t xml:space="preserve">~Saurav Thakur
+91 97099 86101
Rc medical healthcare
Patna </t>
  </si>
  <si>
    <t>Kazim Khan
+91 72369 97001
Rai Bareli
CT scan</t>
  </si>
  <si>
    <t>Name: ROBIT K RAJU
Phone: +918891133281
Email: robitraju@gmail.com
Country: india , kerala
City: pathanamthitta
Hospital/Clinic: Diagnostic center --We have planning to start one diagnostic center in MADURAI TAMILNADU most probably next year , i need to know about the price of this ct machine and when its avilable also about the service as well</t>
  </si>
  <si>
    <t>- Lab owner from Bareilly
+91 86501 16740
Bareilly, U.P</t>
  </si>
  <si>
    <t>Soniya 
+91 86903 61403</t>
  </si>
  <si>
    <t>Pankaj 
9915553585
(google forms)</t>
  </si>
  <si>
    <t>Name: Sivasankar K V
Phone: 9865532388
Tamilnadu
Gamma Camera</t>
  </si>
  <si>
    <t>Name: Anshul Garg
Phone: 09162944570
Email: dr.garg.anshul@gmail.com
Country: India
City: Agra
Enquiry: Price</t>
  </si>
  <si>
    <t>~Kaif Mirza
+91 73484 50277
Bhiwandi, Thane
Maharashtra
CT machine</t>
  </si>
  <si>
    <t>Dr. Aarav Sindoliya
~SINDOLIYA NEURO HEALTH CARE &amp;MULTI SPECIALITY CENTRE
+91 80007 47964
Bangalore, Karanataka</t>
  </si>
  <si>
    <t>~Janakiram
+91 79758 84254
Bangalore, Karanataka
Dealer</t>
  </si>
  <si>
    <t>Dr Jadav Nabam
+91 98633 15532
Northeast India</t>
  </si>
  <si>
    <t>Omprakash Meena
+91 80786 74759
Om hospital, Jhalawar
Rajasthan</t>
  </si>
  <si>
    <t>Dr Kaif
+91 96167 75353 (call after 3 pm)
Azamgarh, U.P
CT Sacnner Price</t>
  </si>
  <si>
    <t>~Bhavesh Shiyal
+91 6352 300 962
Una, Gujarat
MRI price</t>
  </si>
  <si>
    <t>Name: Phc Diagnostic 
Number:8935889659
Requirement: CT
Dignostic Center: Param Healthcare and Diagnostic pvt.ltd. 
Location: Ranchi, Jharkhand
Note: Call on evening 9pm</t>
  </si>
  <si>
    <t>Anmol Mohta
7381865165
Joda, Odisha
MRI</t>
  </si>
  <si>
    <t>Manda Sreenu
+91 94932 17298
Andhra Pradesh
MRI ct scanner cost</t>
  </si>
  <si>
    <t>Samar Hassan Ali
+91 93693 85896
Ambedkar Nagar , Uttar Pradesh
CT machine</t>
  </si>
  <si>
    <t>~SUBHANKAR CHANGDAR
+91 86373 16727
midnapur district 721253, West Bengal 
CT machine</t>
  </si>
  <si>
    <t>~𝑨𝑫𝑵𝑨𝑵 𝑺𝑨𝑵𝑰
+91 82719 03536
Patna, Bihar
CT</t>
  </si>
  <si>
    <t>Name: Jesus Antonio Molina 
+14079491085
florida, USA
Dealer</t>
  </si>
  <si>
    <t>~Md Mujharrat Alam
+91 89200 67874
salmari, Katihar , Bihar
CT scan machine price</t>
  </si>
  <si>
    <t>~Himangshu
+91 93955 98193
Assam
need ct machine</t>
  </si>
  <si>
    <t>Gohar 
+91 70060 01032
Sri Nagar, Jammu &amp; Kahsmir
He is a dealer</t>
  </si>
  <si>
    <t>~Neeraj Malhotra
+91 6375 836 451
 mri machine</t>
  </si>
  <si>
    <t>Name: Shekhar Deshmukh 
Number: 8796314481
Need: GE infenia's Gamma Camera-  sesonr part
(needs spare part - )</t>
  </si>
  <si>
    <t>~Aakash Chaudhary
+91 83024 08410
CT scan</t>
  </si>
  <si>
    <t>Virat
9106097522
Hospital in Gujarat</t>
  </si>
  <si>
    <t>Dr Altaf
+91 78880 84766
Aurangabad, Maharashtra
3T MRI</t>
  </si>
  <si>
    <t>Shaikh
+91 75419 30770
Araria Bihar
(future planning)</t>
  </si>
  <si>
    <t>Name: arthanareeswaran
Phone: 9442552953
Email: arthashan@gmail.com
Country: india
City: namakkal, Tamil Nadu
Hospital/Clinic: hospital
Enquiry: need 128 slice ct</t>
  </si>
  <si>
    <t xml:space="preserve">Name: Raviranjan Singh 
Number: 8825369153
Avinav Diagnostic Centre
Chhapra, bihar
GE CT machine 16 slice </t>
  </si>
  <si>
    <t>Name: Mannivann
Phone: +919786330053
City: Trichy, Tamil Nadu</t>
  </si>
  <si>
    <t>Sachin Kumar
+91 97367 69626
All machine price</t>
  </si>
  <si>
    <t>Saurabh Kumar
+91 73516 37595
MRI and CT</t>
  </si>
  <si>
    <t xml:space="preserve">Ajitesh
+91 70770 17822
Maxis Healthcare Ltd
Bhubaneswar ,Odisha </t>
  </si>
  <si>
    <t>Sonu Nishad
+91 90057 30046
MRI machine price</t>
  </si>
  <si>
    <t>Amitabh Chaudhuri
+919810676808
chaudhuri.amitabh082014@gmail.com
refurbished CT Scanner</t>
  </si>
  <si>
    <t>Parvez Aalam
+91 99115 37893
Loni, Ghaziabad, 
CT Scanner</t>
  </si>
  <si>
    <t>Mansuri Sohail Tahir
+91 94050 71194
Maharashtra</t>
  </si>
  <si>
    <t>~Arsalan Parvaiz
+91 60061 09570
Anantaag j&amp;k
CT-64 slices needed</t>
  </si>
  <si>
    <t>~jangan nagari ravi
+91 96764 28219
tadipatri, Anantpur, Andhra Pradesh
All machine Prices</t>
  </si>
  <si>
    <t>Name: Bidhan
Phone: 8638268053
Email: bidhandas.smm@gmail.com
City: Dhekiajuli,  Sonitpur
Assam
Enquiry: Ct machine</t>
  </si>
  <si>
    <t>Abhishek Sharma
+91 96021 90835
Reengus , Sikar, Rajasthan
price--  ct machine of GE</t>
  </si>
  <si>
    <t>Muhammed Suhail
+91 73060 25860
Kerela
CT and MRI</t>
  </si>
  <si>
    <t>Nitin Rodhia
+91 87553 96383
Dehradun, uttrakhand
MRI machine cost</t>
  </si>
  <si>
    <t>Dr Vijay Chavan
8660189528
saivijayscan@gmail.com
Tilakwadi. Belagavi - 590006 (Karnataka)
GE Signa HDXT 1.5T or GE Signa 1.5T Explorer or Seimens 1.5T Essenza</t>
  </si>
  <si>
    <t>~Sharath Reddy
+91 72043 61589
Bagalkot, Karnataka
CT or MRI</t>
  </si>
  <si>
    <t>~piyush Raj Dubey
+91 95464 99011
Bhagalpur, Bihar
Cost for CT scan machine</t>
  </si>
  <si>
    <t>Yuvaraj Yadav
+91 90609 92597
ganagavthi, Koppal, karnataka, 
CT scan
(dealer )</t>
  </si>
  <si>
    <t>Md. Gulam
+91 76671 59511
CT
Bihar</t>
  </si>
  <si>
    <t>~YOUNS MOHIUDDIN WANI
+91 80829 61321
anantnag, J&amp;K
Mri</t>
  </si>
  <si>
    <t>Anup Bhakta
+91 90512 09150
West Bengal</t>
  </si>
  <si>
    <t>Name: Nanddulal Das
Rcn sanjiban Hospital 
Number: 9635364777 
Location: Contai, West Bengal, India</t>
  </si>
  <si>
    <t>Ramu
9848684819</t>
  </si>
  <si>
    <t>subhamankar /SITUN
+91 6372 422 553
Email
subhamankar2@gmail.com
DEXA
Pandra, Bhubaneswar, Odisha</t>
  </si>
  <si>
    <t>SwarnJeet Singh
+91 96826 09641
Srinagar, jammu and kashmir
Ct scan and x ray</t>
  </si>
  <si>
    <t>Rana Pratap Singh
+91 87505 60241
Loni ghaziabad
CT Scan 128 Slice</t>
  </si>
  <si>
    <t>Chitta Dipan Biswas
+91 94348 42879
Dipan Diagnostic centre
North 24 parganas West Benga
CT scanner MRI price</t>
  </si>
  <si>
    <t>Name: Athar farooq
Phone: 7780916324
Email: babaathar08@gmail.com
Country: India
City: Srinagar
Hospital/Clinic: Clinic
Enquiry: I need CT scan machine for clinic but in bestest condition</t>
  </si>
  <si>
    <t>~Mukul Choudhary
+91 77469 77072
Indore mangliya
Anil diagnostic centre</t>
  </si>
  <si>
    <t>Dr Johhny 
9745643743
Holy cross hospital
Kerala</t>
  </si>
  <si>
    <t>Harshal Pagare
+91 788 760 5066
Sangamner, Ahilyanagar
Want to open new</t>
  </si>
  <si>
    <t>akib khanday
+91 70516 66278
Khanday medical College
Anantnag, Jammu And Kashmir
Mri</t>
  </si>
  <si>
    <t>Ravish Singh Rajpoot
+91 79869 27877
Motihari, Bihar
ct scan</t>
  </si>
  <si>
    <t>Cardiac Gastro Centre Bhopal (KKT)
+91 78800 71066
Bhopal, Madhya Pradesh
cath lab</t>
  </si>
  <si>
    <t>Md Unus Akhtar 
+91 96787 17174
Dist- Karimganj , Assam
New opening
16 slice refurbished CT scan machine price ??</t>
  </si>
  <si>
    <t>Shiva Mishra
+91 96162 09875</t>
  </si>
  <si>
    <t>~VISHAL SURGICALS- SURGICAL SCIENCE
+91 70755 31674
(Dealer may be)</t>
  </si>
  <si>
    <t>Rudra Sangma (Trisring Ch Marak)
+91 60099 26515
Mri machine, CT scan price</t>
  </si>
  <si>
    <t>Name: Dr pkgupta
Phone: 9760879999
Email: pkgupta_26@yahoo.com
Country: INDIA
City: Dehradun
Hospital/Clinic: Dr pkgupta
Enquiry: 8 slice machine</t>
  </si>
  <si>
    <t>Name: Manvendra garg
Phone: 9760879999
Email: manvendragarg@gmail.com
Country: India
City: Dehradun
Hospital/Clinic: Deemag and chest clinic
Enquiry: Refurbished 16/32 sluce ct machine</t>
  </si>
  <si>
    <t>Anil kumar
9793667733</t>
  </si>
  <si>
    <t>Firoz Ahmad
+91 87096 52414
Ranchi Jharkhand
Mri ct scan price</t>
  </si>
  <si>
    <t>~Vikas Rana
+91 82194 64440</t>
  </si>
  <si>
    <t>Adil Rasool Mir
+91 70062 76290
Anantnag, jammu kashmir
CT price</t>
  </si>
  <si>
    <t>Ganesh Chole
+91 72766 06868
Boisar ( Mumbai)
Required service for Cath lab machine</t>
  </si>
  <si>
    <t>Adnan Majid
+91 95969 22628
Kashmir
PET CT and Gamma camera</t>
  </si>
  <si>
    <t>Dr Varinder Sharm
~A One Clinic
+91 96826 72001</t>
  </si>
  <si>
    <r>
      <rPr>
        <rFont val="Arial"/>
        <color theme="1"/>
      </rPr>
      <t xml:space="preserve">Name: Unity diagnostic Center
+16478022566‬   (whatsapp)
Country: Canada
Need: 3.0T to be installed in </t>
    </r>
    <r>
      <rPr>
        <rFont val="Arial"/>
        <b/>
        <color theme="1"/>
      </rPr>
      <t>Bangalore/Kochi</t>
    </r>
  </si>
  <si>
    <t>Nilkamal Bhunia
7679046460
Midnapur, west bengal</t>
  </si>
  <si>
    <t>Rama Krishna
+91 94900 50797
Andhra Pradesh
CT scan price please</t>
  </si>
  <si>
    <t>Name: India Polyclinic &amp; Dignostic centre
Dr Avneet Dengre
Number: 9340871141
Need: CT Machine</t>
  </si>
  <si>
    <t>Name: Dr Kashish Mahajan
Number: 9469283577
Need: CT Machine</t>
  </si>
  <si>
    <t>Rajan Gupta
9355143651
wants to sell some part -(Brand New Varex G-1582TR CT X-Ray Tube)</t>
  </si>
  <si>
    <t>Aniket Sharma
7974901796
Madhya Pradesh
cost of refurbished ct scan ?</t>
  </si>
  <si>
    <t>Mohd Usman Lone
7006555161
mohdusmannn786@gmail.com
Jammu &amp; Kashmir
Mri</t>
  </si>
  <si>
    <t>Sheikh Faisal
+91 84940 45511
Drangbal, 192121, Pampore, J&amp;K
price and details of MRI and PET CT</t>
  </si>
  <si>
    <t>Pouluathui Gonmei
+91 70854 03888
MRI CT scanner</t>
  </si>
  <si>
    <t>Health Link Clinic
+91 76378 18767</t>
  </si>
  <si>
    <t>Doctor Chandra Prakash Hod Veterinary
+91 78912 53837
Rajasthan,
CT, MRI</t>
  </si>
  <si>
    <t>Dr Pragat Dutt
+91 96957 21029</t>
  </si>
  <si>
    <t>Abdul Rahim
+91 97982 32254
Bihar</t>
  </si>
  <si>
    <t>Name: ( Dr ) Shrikant Gavhane
Phone: 8788462966
Country: India
City: Ahmednagar
Enquiry: CT and MRI</t>
  </si>
  <si>
    <t>Name: Dr Ahiraj Malik
Phone: 8100650644
Email: dr.ahiraj@yahoo.in
Country: India
City: Kolkata
Hospital/Clinic: Devine care hospital pct ltd</t>
  </si>
  <si>
    <t>Vinod 
+91 6362 703 435
Gulbarga, Karnataka
Ct and mri</t>
  </si>
  <si>
    <t>Name: Sumant Kumbhare 
Number: 9422106948
Need: 16 slice CT  and 1.5T MRI (Dealer)
Location: Nagpur
Dealer</t>
  </si>
  <si>
    <t>Debasish Dhar
+91 96780 73686
Guwahati Assam ( kamrup Metro)
Dealer</t>
  </si>
  <si>
    <t>Name: Santosh Tripathi
Phone: 8120681740
Email: drsantoshtripathi@yahoo.com
Country: India
City: Gwalior
Hospital/Clinic: Metro neuro spine institute
Enquiry: Fd 10 and fd 20 prices with neuro software</t>
  </si>
  <si>
    <t>manish gurjar
+91 93518 22644
Jaipur</t>
  </si>
  <si>
    <t>varmi
8754345689
Tamil nadu</t>
  </si>
  <si>
    <t>Rupan Chatterjee
Priom Meditech 
8910967090
Kolkata
May be dealer</t>
  </si>
  <si>
    <t>~Sourabh Agarwal
+91 94353 06326
Arunachal Pradesh
All machine price and catalogue</t>
  </si>
  <si>
    <t>~Niklesh Gondhare
+91 91524 27659
Maharashtra</t>
  </si>
  <si>
    <t>~Bhagavat Girase
+91 93846 97465
wants some technical information</t>
  </si>
  <si>
    <t>Pouluathui Gonmei
9366203498
Tamenglong, Manipur</t>
  </si>
  <si>
    <t>Akhil Raj 
9447712372 
Chairman &amp; Managing Director at Pulse Medicare Hospital Pvt Ltd Former Medical Officer at Ch
Thiruvananthapuram, Kerala
Need: imaging equipment for hospital</t>
  </si>
  <si>
    <t>Monil Patel
SAKAR SURGICALS compound 
7698410748 
9824110748
Gujarat</t>
  </si>
  <si>
    <t>Dr Salman Khan
+91 99715 79757</t>
  </si>
  <si>
    <t>Abid Ali
+91 78893 95550
Jammu Kashmir
refurb CT</t>
  </si>
  <si>
    <t>Rajan Yadav
~Shedwell Pharma Pvt Ltd
+91 85447 27886</t>
  </si>
  <si>
    <t>Nadeem Para
Diagnocare
+91 84940 28439
Dist- pulwama 
State- jammu and kashmir
MRI</t>
  </si>
  <si>
    <t xml:space="preserve">Dr Ashutosh Jha
+91 86521 26011
Rotary hospital
Purulia, West Bengal </t>
  </si>
  <si>
    <t>Dr. Sakthi
+91 76395 93035
Tamil Nadu
CT machine</t>
  </si>
  <si>
    <t>yogesh inamdar
+91 93258 41173
Solapur, Maharashtra</t>
  </si>
  <si>
    <t>Shabin Hashim
+91 81294 51008
Kerela
Machine Price List</t>
  </si>
  <si>
    <t xml:space="preserve">Bhimlal Kumar
+91 76459 30268
Giridih. (Jharkhand )
MRI </t>
  </si>
  <si>
    <t>Vishal Sahni
+91 6390 986 711   - only whatsapp - No call
district -Basti , Uttar Pradesh
need details of mri,ct, x ray,ultrasound, and lab equipment</t>
  </si>
  <si>
    <t>Name: Amit
Phone: 9636608807
Email: Amitjangid744@gmail.com
Country: India
City: Jaipur
Hospital/Clinic: Sse
Enquiry: Want to sell mri scanner</t>
  </si>
  <si>
    <t>Dr Muthu Suriya
+91 73586 91242
tamil nadu</t>
  </si>
  <si>
    <t>Sunil Seervi
+91 82908 38533
Rajasthan
MRI and CT</t>
  </si>
  <si>
    <t>Ujjawal Kumar
ujjawalexcel01@gmail.com
7004924905</t>
  </si>
  <si>
    <t>Name: Aaditya
Phone: 7014552074
dungarpur, Rajasthan
Hospital/Clinic: Diagnostic</t>
  </si>
  <si>
    <t>Venkatesan B
+91 98945 57317
bangalore
dealer</t>
  </si>
  <si>
    <t>~Dr Imran Hamid
+91 70062 74283
J &amp; K
cost of refurbished 16 slice Siemens ct scan</t>
  </si>
  <si>
    <t>~Bilal Ahmad Bhat
+91 96227 48588
J &amp; K
Cost of refurbished MRI</t>
  </si>
  <si>
    <t>Dr Vivek Sharma
+91 79971 93633
refurb ct scan
New Hospital Plan
Shahdol, MP</t>
  </si>
  <si>
    <t>Dr Bikash Bhoumik
+91 97349 34700
West Bengal
MRI and CT</t>
  </si>
  <si>
    <t>Dr Bajrang Saini
+91 91166 51166
Dhanbad ,Jharkhand
CT scan machine</t>
  </si>
  <si>
    <t>deepak agrawal
+91 84094 04647
install the CT scan in Nepal</t>
  </si>
  <si>
    <t>Amtul Ayesha Zareen
+91 80503 24196
Sadath care clinic
Hyderabad Telangana
Mri and CT scan machine</t>
  </si>
  <si>
    <t>Danish Pandith
+91 70517 03240
shopian, J&amp;K
want to open new --- all radiology equipments needed</t>
  </si>
  <si>
    <t>~Krishan Kumar Sharma
+91 72320 34203
Jaipur Rajasthan</t>
  </si>
  <si>
    <t>Rajiv Girdhar
( Dr Rajni Hospitality )
+91 95133 35678</t>
  </si>
  <si>
    <t>Isidoro Sambrine
+17863661809
sambrinej@gmail.com
Miami, Florida, USA</t>
  </si>
  <si>
    <t>~Dr Lala Bhai Rathava
+91 96243 64308
Vadodra, Gujarat</t>
  </si>
  <si>
    <t>Kailash Kumar
+91 88800 33077
Ahmedabad, Gujarat
MRI Price</t>
  </si>
  <si>
    <t>~Yogesh Kumar
+91 79797 82209
Patna, Bihar
Dealer</t>
  </si>
  <si>
    <t>~Subhadip
+91 6296 455 399
Wesr Bengal
CT</t>
  </si>
  <si>
    <t>Yogesh Kumar
+91 6266 177 326
prices of all machine</t>
  </si>
  <si>
    <t>Anurag Choudhary 
+91 73781 01630
Jhunjhunu rajasthan
New seat up
CT</t>
  </si>
  <si>
    <t>~Tanda diagnostics
+91 93175 60013
Kangra, himachal pradesh
MRI 3 Tesla Price</t>
  </si>
  <si>
    <t>Akshay Kumar
+91 90358 45559
Ranchi, Jharkhand
Open new center</t>
  </si>
  <si>
    <t>Mr Prakash
~New Life Ultra Xray Clinic
+91 92311 18465
Kolkata, West Bengal</t>
  </si>
  <si>
    <t>Wahid
+91 70069 67280
Hello can i get the pricing detail of Ct refurbished mechine</t>
  </si>
  <si>
    <t>( Dr ) Bhushan Kathuria
+91 70156 71278</t>
  </si>
  <si>
    <t>Name: Vishwajeet Singh
Phone: 8800855780
Email: psyhvachealthtech@gmail.com
Delhi</t>
  </si>
  <si>
    <t>seraj ahamad (Radiographer)
+918874231404
CT machine price</t>
  </si>
  <si>
    <t>Sandeep Sharma
+91 70569 38709
Mri ct pet ct gamma</t>
  </si>
  <si>
    <t>Veer Nath
Yucca Cosmetics
+91 78071 89614
Kullu, Himachal Pradesh
CT scan , and mri</t>
  </si>
  <si>
    <t>Aman Singh
+91 81462 43549
Jaipur, Rajasthan
ct scan</t>
  </si>
  <si>
    <t xml:space="preserve">Himanshu Poswal
+91 83025 49280
Jaipur, Rajasthan 
wants to open Diagnostic centre </t>
  </si>
  <si>
    <t>Name: Sarabjit Bhullar 
Number: 9988793179
Need: PET-CT (asking price)</t>
  </si>
  <si>
    <t>Aijaz Alam
+91 97111 77851</t>
  </si>
  <si>
    <t>Name: Thanan
Phone: 6464994666
City: Chennai, Tamil Nadu</t>
  </si>
  <si>
    <t>Abhishek Rampal
+91 96223 33436
dexa</t>
  </si>
  <si>
    <t>Md. Imtiyaz Alam
+91 70615 46323
CT scan machine</t>
  </si>
  <si>
    <t>~akhilesh kumar
+91 6207 441 701
Ak hospital
Bihar motihari
What is the rate of MRI</t>
  </si>
  <si>
    <t>Purelyson Khonglah
+91 87309 34988
Northeast
mri</t>
  </si>
  <si>
    <t>Name: Jatinder Singh Momi Kamboj
Need: Required MRI Machine 1.5 Tesla
Number: 8437657152</t>
  </si>
  <si>
    <t>~Sushant Dange
+91 70833 61186
PET CT scan
Maharashtra</t>
  </si>
  <si>
    <t>Saumay Pandey 
6306683334
Kanpur, U.P
Ct scanner and mri in best condition at min price</t>
  </si>
  <si>
    <t>Raja Babu /prince
+91 99112 55728
Pashchim Champaran, Bihar
Price of mri machine and CT scanner
New Hospital Opening Plan</t>
  </si>
  <si>
    <t>Op Shah
Om C 2 Hospital
+91 86025 78935
Waidhan Distt-Singrauli 486886, M.P
CT scan.</t>
  </si>
  <si>
    <t>Namruth Reddy
+91 81064 65990
MRI
Hyderabad</t>
  </si>
  <si>
    <t>Dr S S Dwivedi / Shashi Dubey
+91 73248 41586
Neha Diagnostic &amp; Imaging Centre 
Samastipur (Bihar)
Requirement of a Refurb. 1.5 Tesla MRI machine</t>
  </si>
  <si>
    <t>Ashok Kumar Saini
+91 87400 01716
Balaji nursing home
Paota, kotputli, jaipur - rajasthan
CT MRI ultrasound machine needed</t>
  </si>
  <si>
    <t>Name: Atul sharma
Phone: 9770909809
Email: atulsharma14@gmail.com
City: Ujjain
Hospital/Clinic: Clinic</t>
  </si>
  <si>
    <t>Dr Ramesh Sharma
+91 96803 70738</t>
  </si>
  <si>
    <t>Basavaraj K
+91 80882 91792
RADIOGRAPHER @ Adarsha hospital Udupi
Karnataka</t>
  </si>
  <si>
    <t>~Dr Ashrith Hegde
+91 91645 87690
Karnataka</t>
  </si>
  <si>
    <t>Bidhan Sarkar 
Ranaghat Hospital
+91 83888 97804
Nadia district, West Bengal</t>
  </si>
  <si>
    <t>Pinkesh Udass
+91 99177 22757
Firozabad, Uttar Pradesh</t>
  </si>
  <si>
    <t>~Rajeev Chiranjeet Sarkar
+91 97320 70671
Murshidabad, West Bengal
MRI machine</t>
  </si>
  <si>
    <t>Ramandeep Singla
+91 98155 46186</t>
  </si>
  <si>
    <t>Sonu - (Vishambhar Fuels)
+91 79098 88108
Shrinika hospital lahar
Bhind, Madhya Pradesh
CT Price</t>
  </si>
  <si>
    <t>Name: Ajay Sharma
Phone: 08519002936
Email: upadhyayaj02@gmail.com
City: Udaipur-313001
Rajasthan</t>
  </si>
  <si>
    <t>Name: Manish Tiwari
Phone: 7007868673
Email: mantiwari.mt@gmail.com
City: Varanasi</t>
  </si>
  <si>
    <t>Dr Verendra Agarwal Diagnosis clinic, 
near bank of india, Pakka talab, 
SHIKOHABAD District Firozabad Uttar Pradesh
+91 98376 51403
ct machine</t>
  </si>
  <si>
    <t>Arshadur Rahaman
+91 98003 05734
~care and cure hospital
CT scan</t>
  </si>
  <si>
    <t>Name: Engr Joy 
Number: ‪+8801749392527‬
Need: PET-CT (re-seller)
Location: Bangladesh
Note: He want to work with us, they have a client 
(dealer)</t>
  </si>
  <si>
    <t>Name: Arup Chatterjee
Phone: 7602077800
Email: arupchatterjee68@rediffmail.com
Country: India
City: Hooghly, West Bengal</t>
  </si>
  <si>
    <t>Sumit Kumar Markande
+91 96447 42012</t>
  </si>
  <si>
    <t>Upendra 
+91 93920 62720  (Telugu only--- english is weak)</t>
  </si>
  <si>
    <t>Name: Jai Kumar Singh
Number: 8882876224
Dealer</t>
  </si>
  <si>
    <t>Sagar Tomar
Lakshya superspeciality hospital 
Meerut, U.P
Need ct scan 16 slice ge bright speed</t>
  </si>
  <si>
    <t>Brahama nanda Pati / Ittefaq Steel
+91 6371 732 917
Jajpur, Orissa
Mri cost</t>
  </si>
  <si>
    <t>Aditya Singh
+91 95555 16717
Raghushila Hospital
Mirzapur, U.P
Ct scanner</t>
  </si>
  <si>
    <t>Priyanshu Dey
8017250092
CT Scanner
West Bengal</t>
  </si>
  <si>
    <t>Name: Dr sartaj
Phone: 9419037037
Email: sartajdca@gmail.com
Country: India
City: Srinagar</t>
  </si>
  <si>
    <t>Amir Ajaz
Nexgen Mediplus
+91 97969 70953
Jammu &amp; Kashmir</t>
  </si>
  <si>
    <t>Name: Yeasir Arafat 
Number: ‪+8801711751472‬
Need: CT machine 32 slice
Country: Bangladesh</t>
  </si>
  <si>
    <t>Siddhi Enterprises
+91 95014 48544
Dealer</t>
  </si>
  <si>
    <t>Surya (OT Technician)
+91 95348 66902
Begusarai, Bihar</t>
  </si>
  <si>
    <t>Dr Binyamin Ansari -- Onco Pims
+91 78952 70250</t>
  </si>
  <si>
    <t>nikhil mourya
+91 70889 82992
Bulandshahr
(Future Plan)</t>
  </si>
  <si>
    <t>Name: dr kandarpa saikia
Phone: 09435346699
Email: mrksaikia@gmail.com
Country: India
City: Guwahati
Hospital/Clinic: nucleomed Imaging and Diagnostics
Enquiry: dexa, spoken to your staff today morning</t>
  </si>
  <si>
    <t>Alokesh Saikia
8751887808
Assam</t>
  </si>
  <si>
    <t>Md Roshan
+91 99335 11768
~G.S.HEALTH CARE
West Bengal
USG AND MRI price please</t>
  </si>
  <si>
    <t>Vipin Kumar
+91 74588 05703
CT</t>
  </si>
  <si>
    <t>Prajjawal Jaiswal
8770648484
Shyam diagnostic
Koriya district Chhattisgarh
MRI 1.5 tesla</t>
  </si>
  <si>
    <t>~Suhail Ahmed
+91 84345 05773</t>
  </si>
  <si>
    <t>Name: Dr Susanta Maity
Phone: 9874456914
Email: dr.s.k.maity@gmail.com
City: Uluberia , Howrah , ,west bengal
Hospital/Clinic: Ideal hospital
Enquiry: We are going to open our new branch - Ideal green Hospital within few months .we will start wiyh 1.5T mr, 64 or more sclice ct , cosidering cath lab . send me the model , make , price , warranty , amc/cmc , user list at west brngal .</t>
  </si>
  <si>
    <t>Sahil Dar
+91 91036 83724
Qazigund, Anantnag, J&amp;K
I actually think to open my personal lab of ct scanner</t>
  </si>
  <si>
    <t>Rahul Digra
7726837974
I need mri and CT scanner</t>
  </si>
  <si>
    <t>Dipanshu mandloi / Birla
9302613036
CT Machine</t>
  </si>
  <si>
    <t>Name: Rohan
Phone: 9967938612
Email: rohanchheda@gmail.com
City: mumbai
Enquiry: Dexa / Bone Density Machine</t>
  </si>
  <si>
    <t>Aravinth 
8525971752
Tamil Nadu</t>
  </si>
  <si>
    <t>Surendra Pratap
+91 93347 48445
Advance Patna hospital
Patna, bihar</t>
  </si>
  <si>
    <t>Manoj Yadav
+91 93367 72541
Prayag Scans
Prayagraj, U.P</t>
  </si>
  <si>
    <t>Name: Rohan Shelar
Phone: 9833693183
Email: ronshelar@gmail.com
City: Pune, Maharashtra
Enquiry: Want a 16 slice machine that can take a load of atheist 20 patients per day</t>
  </si>
  <si>
    <t>Name: Rahul
Phone: 9582740388
City: Modinagar, Ghaziabad, U.P</t>
  </si>
  <si>
    <t>Name: SUSHIL CHAUDHARI
Phone: 09371270960
Email: drsushilchaudhari@gmail.com
City: Nashik ,Maharashtra
Hospital/Clinic: H
Enquiry: 6slice CT refub</t>
  </si>
  <si>
    <t>Dr.Mufti Zubair Ghazali
+91 99974 65672
Shifa health care
Davangere, shivamogga, Karnataka</t>
  </si>
  <si>
    <t>Shibh
+91 78978 92050</t>
  </si>
  <si>
    <t>Dipak Bairiganjan
+91 70083 69898</t>
  </si>
  <si>
    <t>mekala deevan raj
+91 73305 56653
waranagal, Telangana</t>
  </si>
  <si>
    <t>Dr Vivek Chandra
+91 82102 31171</t>
  </si>
  <si>
    <t>Vimlendu Shekhar
+91 90448 72872
( Shekhar. Sangam Hospital )
Lucknow, U.P</t>
  </si>
  <si>
    <t>Gopal Kumar 
Jan seva cti maging Center
Number: 9795113347
Need: CT Scan machine
Location: Gorakhpur</t>
  </si>
  <si>
    <t>Niranjan Mandal
+91 96358 03391
MRI</t>
  </si>
  <si>
    <t>Name:Akhil Kaushik 
Number: ‪+91 92552 89060‬
Need: GE MRI Machine (re-seller)
Dealer</t>
  </si>
  <si>
    <t>Name:Vinay Kumar Singh
Number: 9431212003
Need: GE GE DEXA Lunar (re-seller)
dealer</t>
  </si>
  <si>
    <t>Nasim Akhtar
Citrogen Health Care
+91 99996 59917</t>
  </si>
  <si>
    <t>Mamoon Rashid
+91 79089 01252    -- cannot take calls as he is out of India - whatsapp only
Raiganj, Uttari Dinajpur, West Bengal
New Hospital</t>
  </si>
  <si>
    <t>(Name not confirmed)
+91 73781 72931
Rajasthan</t>
  </si>
  <si>
    <t>Vishal Sharma
+91 70042 69464
Rajendra nagar nigam hospital,ratu road chowk, Ranchi
Ranchi, Jharkhand</t>
  </si>
  <si>
    <t>Dr Rajendra Kumar Banaudha
+91 92080 18735</t>
  </si>
  <si>
    <t>Santosh Kar
+91 94372 15562
Riya Diagnostics 
Koraput, Odisha</t>
  </si>
  <si>
    <t xml:space="preserve">Subhra Prakash Das
+91 79089 51317
West Bengal
CT machine 16 slice </t>
  </si>
  <si>
    <t>~Himanshu Rana
+91 70788 01074
Om diagnostic center
City- Saharanpur district 
Uttar Pradesh</t>
  </si>
  <si>
    <t>Science Lab Store
+91 98968 87698
Amabala, Haryana
Dealer</t>
  </si>
  <si>
    <t>Ankit Dwivedi
+91 6232 284 523
Satna, Madhya Pradesh</t>
  </si>
  <si>
    <t>Imran Ganaie
+91 78896 52866
Ct and dexa
Sri Nagar, Jammu &amp; Kashmir</t>
  </si>
  <si>
    <t>dr Jain
+91 70063 81089
Bums Existing clinic 
District kulgham, Kashmir</t>
  </si>
  <si>
    <t>Dr Rehan Choudhary
+91 96902 85715</t>
  </si>
  <si>
    <t>Aarogya hospital 
+91 90312 74894
barkagaon hazaribagh Jharkhand</t>
  </si>
  <si>
    <t>Kessar Rana
+91 89369 87823
Optima Hospital
Meerut, U.P</t>
  </si>
  <si>
    <t>Danish
+91 60061 00980
Jammu &amp; Kashmir</t>
  </si>
  <si>
    <t>Dr C Rugil
+91 98415 68908
Chennai, Tamil Nadu</t>
  </si>
  <si>
    <t>Name: Hemant Choudhary 
Number: 9460763383
Dhayal Hospital 
Sikar, Rajasthan
Need: buy Imaging Equipment in future for the hospital</t>
  </si>
  <si>
    <t>Akash Yadav
+91 93697 24528
CT scanner</t>
  </si>
  <si>
    <t>Gurpreet Singh
+91 90414 13556
Punjab
Cath lab , MRI, CT machine price and EMI detail</t>
  </si>
  <si>
    <t>Yugal Kumar Chandrakar (Director of Hospital)
Soham Hospital,
+91 87704 28965
Mahasmund, Chhatisgarh</t>
  </si>
  <si>
    <t>Laltu Sinha
+91 96199 66448
Vijaysudha Healthcare, 
Pandaveswar, Paschim Burdwan (West Bengal)</t>
  </si>
  <si>
    <t>Salim Ahmed
+91 75507 92786
Want to Open New.
District: Golaghat 
State : Assam</t>
  </si>
  <si>
    <t>Vishal Mishra
20Med Graphic
Phone: 8808365334
Email: VISHAL.MISHRA@20MED.COM
City: kanpur, U.P</t>
  </si>
  <si>
    <t>Rahul Kalal
+91 96600 97329
Banswara, rajasthan 
New diagnostic centre</t>
  </si>
  <si>
    <t>Pavan Tyagi
+91 88659 77775
Agra, U.P</t>
  </si>
  <si>
    <t>Name: DR NILKAMAL BHUNIA
Number: 7679046460
Profile: BHUNIA MEDICAL &amp; SUSTHA DIAGNOSTIC CENTRE DEBRA BAZAR PASCHIM MEDINIPUR
Need: CT scan Machine</t>
  </si>
  <si>
    <t>rvk
+91 95384 57510
CT scanner</t>
  </si>
  <si>
    <t>Vikram Sarode
+91 78757 80315
Akola, Maharashtra
Dealer</t>
  </si>
  <si>
    <t>Swati Lade
Hamilton Medical System
8999868104
Mumbai, Maharashtra
Dealer</t>
  </si>
  <si>
    <t>Name: Vijay Sharma 
Number: 8953431449
Need: 6 &amp; 32 slice of CT scan machine 
And 1.5 Tesla MRI</t>
  </si>
  <si>
    <t>Name: Parvez
Phone: 8859606555
Email: prvjsaifi@gmail.com
City: Moradabad
Enquiry: Ct and mri</t>
  </si>
  <si>
    <t>Junnu Rain
+91 70910 79378
CT</t>
  </si>
  <si>
    <t>Sahadat
+91 75578 44222
Burdwan, West Bengal
CT SCAN AND MRI</t>
  </si>
  <si>
    <t>Name: Hitesh kumar
Phone: 7827848622
Email: hitesh722001@gmail.com
City: New Delhi
Hospital/Clinic: Diagnostic centre
Enquiry: MRI machine</t>
  </si>
  <si>
    <t>Khalid Dar
9055599955
Srinagar, J&amp;K
Service</t>
  </si>
  <si>
    <t>Naveed 
+91 98496 51516
Hyderabad 
Telangana
MRI and CT</t>
  </si>
  <si>
    <t>sathiyag bharathi
+91 94430 40082
Madurai
Tamil nadu
dealers</t>
  </si>
  <si>
    <t>Venkatesh R
+91 89190 47163
Andhra Pradesh and Telangana
Dealer</t>
  </si>
  <si>
    <t>Name: Dr Lalit Nirwan
Phone: 9422440440
Email: lalitnirwan@gmail.com
City: Nagpur
Enquiry: 1.5 essenza siemens 16 channel</t>
  </si>
  <si>
    <t>Priyanshu Enterprises
+91 84558 59259
Hyderabad
dealer</t>
  </si>
  <si>
    <t>Iqbal Ahmed Khan
+91 98280 74786
jaipur, Rajasthan
Dealer</t>
  </si>
  <si>
    <t>Dada Khalander
+91 88920 34001</t>
  </si>
  <si>
    <t>Dhirendra Kumar Bhatt
+91 88400 76574</t>
  </si>
  <si>
    <t>Name: Yogesh Yeskar
Nuber: 9867142034
Need: Wants to sell GE CT Scan Machine (64 Slice)
Location: Fortis hospital raigarh chhattisgar</t>
  </si>
  <si>
    <t>Jamshid
+91 81789 37736
CT</t>
  </si>
  <si>
    <t>Samir Gorai
+91 94343 59221
Lifeline diagnostic centre Sanctoria bazar. P.o.Dishergarh
Paschim bardhaman, west Bengal
Ge ct scan machine 16 slice</t>
  </si>
  <si>
    <t>Dr Manish Kumar
Doctor , MBBS, DMRD ( SU ) Prem diagnostic and imaging Rosera Samastipur
+91 6200 996 860
manishrahulraj18@gmail.com
Samastipur,Bihar</t>
  </si>
  <si>
    <t>Sadiq Banday
7006325445
need ct tube for seimens
Handwara, J&amp;K</t>
  </si>
  <si>
    <t>Bablu Dubey
+91 91016 41178
New puja diagonastic centre
Dhubri assam
PET-CT</t>
  </si>
  <si>
    <t>Reka Sanjay
+91 72070 11011</t>
  </si>
  <si>
    <t>Name: Abu zahid
Phone: 9717131545
Email: abuzahid0707@gmail.com
City: Mumbai
Hospital/Clinic:
Enquiry: Want to sell CT scanner</t>
  </si>
  <si>
    <t>Rajesh Das
+91 96743 33406
Kolkata, West Bengal
cathlab</t>
  </si>
  <si>
    <t>Dr J.A Siddiqui
+91 76072 22786
Planning for ct
Bahraich, U.P</t>
  </si>
  <si>
    <t>Debasis Rana
Octaus Medical
+91 97497 25501
Kolkata, West Bengal</t>
  </si>
  <si>
    <t>Sathish M
+91 75750 26477
CT scan 128 / 256 Slice required</t>
  </si>
  <si>
    <t>Name: Varun Gupta 
Number: 7404926923
profile: Doctor</t>
  </si>
  <si>
    <t>Name: Dr Thejaswini
Phone: 9845079399
Email: thejaswinimu@gmail.com
City: Bangalore
Hospital/Clinic: Spectrum diagnostics , Bangalore
Enquiry: 1.5 T Mri required</t>
  </si>
  <si>
    <t>Rahul Kumar Sharma
+91 80841 88721
Ct scan</t>
  </si>
  <si>
    <t>Dr Wasif Reza
+91 96359 34933
dr.wasifreza669@gmail.com</t>
  </si>
  <si>
    <t>Aaa Service C
+91 87775 29032
West Midnapur, west bengal
ct machine 32 slice Siemens brand</t>
  </si>
  <si>
    <t>Deepraj Singh
7828350223
( Thakur Madhuban Hospital )</t>
  </si>
  <si>
    <t>Manohar reddy
+91 98858 00016
We need CT scan and 
Cath lab</t>
  </si>
  <si>
    <t>Manju
+91 86498 07058
west bengal</t>
  </si>
  <si>
    <t>Suhrid Ghosh
Kolkata, West Bengal
Kindly email at magxmedi@gmail.com</t>
  </si>
  <si>
    <t>Rajballabh Sharma
+91 72063 37027</t>
  </si>
  <si>
    <t>Mithun 
Mishika Nursing Home
+91 6201 859 197
Giridih, Jharkhand</t>
  </si>
  <si>
    <t>~Yuvraj Gupta
+91 6395 234 746
Dist. Udham Singh nagar, Uttarakhand</t>
  </si>
  <si>
    <t>Name: Dr Vivek Khandelwal
Phone: 8433856925
City: Guna, Madhya Pradesh</t>
  </si>
  <si>
    <t>Abid Ali
7889395550
Baramulla, J&amp;K
CT</t>
  </si>
  <si>
    <t>Dr Aditya Dev
+91 82925 07726
Patna, Bihar
Mri and ct</t>
  </si>
  <si>
    <t xml:space="preserve">Sudhakar Shukla
+91 91616 15160
Siddharthnagar district(Basti), U.P </t>
  </si>
  <si>
    <t>Bipin Jain
+91 98226 55653
Pune, Maharashtra</t>
  </si>
  <si>
    <t>Dinesh Verma
+91 98967 44968
Dinesh scientific 
Ambala cantt, Harayna
delaer</t>
  </si>
  <si>
    <t>Tarique Aziz Win India
7703887563
dealer</t>
  </si>
  <si>
    <t>Name: Gurdeep Singh
Number: 95820 78543
Need: PET-CT (re-seller)
Source: Fb
dealer</t>
  </si>
  <si>
    <t>Mt Mostafa
+91 93394 28101
Malda Dist, (Murshidabad, Dakshin dinajpur, Itahar etc)
West Bengal 
Dealer</t>
  </si>
  <si>
    <t>Name: Varalaxmi
Phone: +916302779470
Email: uvaralakshmi357@gmail.com
City: Ongole
Ongole Prakasam district
Andhra Pradesh
Hospital/Clinic: Lucky diagnostics
Enquiry: I have ct scan mission</t>
  </si>
  <si>
    <t>Name: Dr Saurabh Nath Tripathi
Phone: 7376664218
Email: saurabhnathtripathi@gmail.com
Country: India
City: Gorakhpur
Hospital/Clinic: Diagnodrugs diagnostics, Mugalaha, Medical college road, Gorakhpur
Enquiry: Hi there, we are currently do business in the field of Pathology and ultrasound. Planning to expand our horizon in radiology sector. I want quotation for options and quotation for refurbished CT scan machine. Can you send any representative to meet us.</t>
  </si>
  <si>
    <t>Name: Jayaprakash R
Phone: 9788270762
Email: jaypeembbs@gmail.com
Country: India
City: Cuddalore (Tamil Nadu)
Hospital/Clinic:
Enquiry: Looking for refurbished siemens go now 32 slice ct machine xray tube having less 1 scan seconds</t>
  </si>
  <si>
    <t>Name: Kamini Masul
Phone: 08551869968
Email: kammasul@gmail.com
Country: India
City: Khopoli  (Maharashtra)
Hospital/Clinic: sonoview diagnostics
Enquiry: require 32 slice ct</t>
  </si>
  <si>
    <t>Sayan Das
6295617682
daspswapna2002@gmail.com</t>
  </si>
  <si>
    <t>Jivan Singh
+91 91192 39952
Rajasthan</t>
  </si>
  <si>
    <t>Afan Baghwan
+91 79727 55235
Pune, Maharashtra</t>
  </si>
  <si>
    <t>Mukesh Kumar Sharma
Dr Insomnia
+91 78894 10298</t>
  </si>
  <si>
    <t>Dr Abhishek Tiwari
+91 91999 99053</t>
  </si>
  <si>
    <t>Sheikh Umar
+91 60052 44006
Kulgam, J&amp;K
CT Scanner</t>
  </si>
  <si>
    <t>Toshith K V
+91 78929 48397
Mediclive Diagnostics 
(Bangalore Mysore Tumkur)
Karnataka</t>
  </si>
  <si>
    <t>Tejwant Singh
+91 79862 18180
MRI or CT</t>
  </si>
  <si>
    <t>Partha Barman
+91 74319 95101
Assam</t>
  </si>
  <si>
    <t>Dr Tahir Ali
+91 93291 82659
green city hospital
Bhopal , M.P</t>
  </si>
  <si>
    <t>Elias Ahmed
+91 70023 56471
Al Shifa Diagnostics 
Bilasipara,Dhubri - Assam
Ct scan</t>
  </si>
  <si>
    <t>Ram Murat
+91 95993 05442
~avyansh diagnostic</t>
  </si>
  <si>
    <t>Name: chakrapaniinala
Phone: 9652228537
Email: chakrapaniinala@gmail.com
City: Khammam, Telangana</t>
  </si>
  <si>
    <t>Rakesh Das 
+91 97745 18940
31 October 2025
CEO
Agartala Diagnostic 
Agartala, Tripura
Last 12 yrs experience in this diagnostic Field.
Dealer</t>
  </si>
  <si>
    <t>Dr Azam Ayaz
+91 97941 45224
azam.ayaz61@gmail.com</t>
  </si>
  <si>
    <t>Prakadeesh Kumar S
+91 99429 88888
CT 160 sclice</t>
  </si>
  <si>
    <t xml:space="preserve">Vivek Bhardwaj
+91 92296 64282
~RAMAYAN ULTRASOUND AND JANCH GHAR TARARI
Bhojpur, Bihar
CT </t>
  </si>
  <si>
    <t>~Dr Amit Singh - Gmch - Gastrosurgery
Dungarpur Rajasthan
+91 94616 01113
Need refurb ct 32 slice</t>
  </si>
  <si>
    <t>Kota Narasimha Murthy
8247214979
Kota education and charitable trust 
Visakhapatnam 
Andhra Pradesh 
India</t>
  </si>
  <si>
    <t>Sumit Tanaji Honrao
8805700781
Barshi, Solapur, Maharashtra</t>
  </si>
  <si>
    <t>Name: Sivasankar K V
Phone: 9865532388
tamilnadu
Enquiry: wnat price availability and features of refurbished gamma camera and petct</t>
  </si>
  <si>
    <t>Dr Sumit Pol
+91 95958 36063
MRI n Ct scanner</t>
  </si>
  <si>
    <t>Name: Ahmad Zaheer
Phone: 7300571640
City: Hapur
Enquiry: GE MRI CMC</t>
  </si>
  <si>
    <t>Name: Adhikari Surya
advancescan@gmail.com
Number: +9779845965135 
Need: CT Scan Machine (16 slice)
Profile: Enginner (re-seller)
Country: Nepal</t>
  </si>
  <si>
    <t>Swastik Panda
6372625005
Bhubaneswar Odisha,</t>
  </si>
  <si>
    <t>Ashu Srivastwa
8114559798  (Call on this)
+91 97981 81606  (Whatsapp)
Ranchi jharkhand</t>
  </si>
  <si>
    <t>Dr Vaishali Agrawal
+919024935998
Wants to sell machines
Delhi</t>
  </si>
  <si>
    <t>Sanchalan Sen Gupta
9674932281
Kolakata
CT</t>
  </si>
  <si>
    <t>kalli
+91 89390 52289
MRI
Chennai</t>
  </si>
  <si>
    <t xml:space="preserve">Name: Dr Sahil Mehla 
Number: 9548990005
karnal, Haryana
Need: 3.0 Tesla MRI machine 750w
Profile: MD PHYSICIAN at Shree Ram Hospital </t>
  </si>
  <si>
    <t>Name:Manish Tiwari 
Number: 7007868673
Need: CT machine
location: Muzaffarpur Bihar </t>
  </si>
  <si>
    <t>Yogesh
6364658310
Bannur, narasipura talok,  mysore district (Karnataka)</t>
  </si>
  <si>
    <t>Abhishek Mishra
+91 98072 02167</t>
  </si>
  <si>
    <t>Dr Reetu Dogra
+91 99069 05386
Jammu &amp; Kashmir,</t>
  </si>
  <si>
    <t>New Prince Enterprises
+91 98487 38258
Bidar Karnataka
Dealer</t>
  </si>
  <si>
    <t>Name: Muhammad Fasil Malik 
Number: 9541734962
Need: MRI Machine ( asking price)
Profile: Junior Resident doctor at Chief Executive Officer (CEO) &amp; Founder
Location: Awantipur, Jammu And Kashmir, India</t>
  </si>
  <si>
    <t>Name: Siddhant Joshi
Phone: 9665267498
Email: siddhantjoshi984@gmail.com
City: udaipur (Rajasthan)
Enquiry: all diagnostic machines information</t>
  </si>
  <si>
    <t>Mahtab Alam
+91 96615 03131
C. T scan machine</t>
  </si>
  <si>
    <t>Prince Raj
+91 6399 025 892</t>
  </si>
  <si>
    <t>Asif Saif
+91 99271 26379
Umang x ray center gadarpur
Udham Singh Nagar, Uttarakand</t>
  </si>
  <si>
    <t>~Khurshid Ansari
+91 93249 00567
Mumbai</t>
  </si>
  <si>
    <t>Jitendra Singh
+91 85868 60252
PET CT Price
Dealer</t>
  </si>
  <si>
    <t>Dr Saurabh Jaiswal  (interventional Radiologist)
+918180818017
Nagpur, Maharashtra</t>
  </si>
  <si>
    <t>Name: Dr Savar veer singh
Phone: 9878425140
Punjab</t>
  </si>
  <si>
    <t>Name: Somesh ware
Phone: 7769076171
Email: someshwarware143@gmail.com
City: Latur , Maharashtra
Hospital/Clinic: Lifneo
Enquiry: Ge CT scan 64 slice price</t>
  </si>
  <si>
    <t>Name: Abhinandan Hospital Tamkuhi Raj 
Need: CT Machine
Number: 9559067923</t>
  </si>
  <si>
    <t>Name: MAYANK GOYAL
Phone: 09713586177
Email: manky2106@gmail.com
City: Dhamtari, Chhattisgarh
Hospital/Clinic: Mayank Sonography
Enquiry: I would like to sell my Siemens CT 16slice Emotion.</t>
  </si>
  <si>
    <t>Name: Endomaxis surgicals pvt ltd
Phone: 8800971901
Email: endomaxis@gmail.com
City: New Delhi
Hospital/Clinic: Dealer
Enquiry: Citiscan and petscan composite</t>
  </si>
  <si>
    <t>BISHWAJEET   (Jeet Mishra)     
bkm.hzb17@gmail.com                
9835943584                
India</t>
  </si>
  <si>
    <t>Dr Susanta maity
+91 98744 56914
Ideal Green Hospital</t>
  </si>
  <si>
    <t>Dr Shakil Kumar Singh
+91 94310 62718
Patna, Bihar
CT scan</t>
  </si>
  <si>
    <t>Satish Jagtap
+91 80804 33197
Pune, Maharashtra
CT</t>
  </si>
  <si>
    <t>Askar Ali
9895095558
Kannur, Kerela</t>
  </si>
  <si>
    <t>Name: KK Chakravarthi
Phone: +91 9949666337
Email: chakravarthi.koduru@vijayadiagnostic.in
Vijaya Diagnostic Centre
City: Hyderabad
Enquiry: CMC for Toshiba CT</t>
  </si>
  <si>
    <t>Name: Tejinder
Phone: 9779231676
Email: tejimalhi@gmail.com
City: Bathinda
Hospital/Clinic:
Enquiry: Details of fd 10 with quotation (Cath Lab)</t>
  </si>
  <si>
    <t>~Abhijeet Pandey
+91 79058 32627</t>
  </si>
  <si>
    <t>~Priyanka Tripura
+91 6909 699 646
PET CT</t>
  </si>
  <si>
    <t>~Deepika Singh
+91 79866 08033
Punjab
Dexa</t>
  </si>
  <si>
    <t>~Nana Madhukar Gaikwad
+91 90115 09494
CT 
Cath lab</t>
  </si>
  <si>
    <t>Dr Siddharta Saxena
+91 98102 83846
Ct scan 16 slice specifications and cost ?</t>
  </si>
  <si>
    <t>Phaneender Goud
7780161662</t>
  </si>
  <si>
    <t>sandeep bhandari
+91 75056 01794
Uttarkashi, Uttarakhand
Wants to open new center and enquires about prices of all machines</t>
  </si>
  <si>
    <t>Yashpal Singh
+91 98718 46421</t>
  </si>
  <si>
    <t>Name: Nikky kumar
Phone: 7678191362
Email: nikkygn.fv@gmail.com
Country: India
City: delhi
Enquiry: Requesting for quotation of GE SIGNA 1.5T HDXT MRI SCANNER (8 Channel) 23X</t>
  </si>
  <si>
    <t>Naresh Sharma (Dr Yashraj Sharma)
+91 98374 82597
Sikandrabad town,bulandshahar , U.P</t>
  </si>
  <si>
    <t>~Ganesh Pawar
+91 91587 46264
Dealer
Maharashtra</t>
  </si>
  <si>
    <t>Syed Wasla (Musahib)
7006260243
Kashmir
Need MRI 1.5T</t>
  </si>
  <si>
    <t>Amar Gupta / Dr Ankit Yadav
+91 94251 70444
Narsinghpur, M.P
MRI</t>
  </si>
  <si>
    <t>Name: Shyamala R
Phone: 09585528493
Email: purchase@smvmch.ac.in
Sri Manakula Vinayagar Medical College and Hospital
City: PUDUCHERRY, Tamil Nadu</t>
  </si>
  <si>
    <t>~Ritesh Singh
+91 73238 04369
MRI</t>
  </si>
  <si>
    <t>~Amit Kumar Upadhyay
+91 98398 85085</t>
  </si>
  <si>
    <t>Jotaram
+91 94054 26125</t>
  </si>
  <si>
    <t>Name: Bioengineer Pro 
Number: ‪+447404784800‬
Need: MRI or CT Machine , 
Country: UK, but need machine Gabon Central Africa</t>
  </si>
  <si>
    <t>Name: Rajeev Rj 
Number:  9446440140
Need: GE Dexa Lunar Machine
Profile: Director at Polaris Diagnostics Pvt.Ltd.
Location:  Trivandrum, India</t>
  </si>
  <si>
    <t>Name: Advik A --  Anand Bhaduji Hiwrale
Number: ‪+91 9769104176‬
Need: GE Dexa Lunar Machine</t>
  </si>
  <si>
    <t>GOPAL
8897889250
Indur Cancer Hospital
Nizamabad, Telangana</t>
  </si>
  <si>
    <t>Name: KK Chakravarthi
Phone: 8121090948
Email: chakri047@gmail.com
City: Hyderabad
Enquiry: Looking for a CT Scan</t>
  </si>
  <si>
    <t>Surebiomed - Chetan
8087806246
Dealer</t>
  </si>
  <si>
    <t>~Sai Diagnostic and Healthcare
Akhsay Kale
+91 97674 92812</t>
  </si>
  <si>
    <t>Name: Dr. Arijit Ghosh
Phone: 9902583692
Email: dr.arijitghosh89@gmail.com
Country: India
City: Durgapur, West Bengal
Hospital/Clinic: Avishkar Diagnostics Durgapur
Enquiry: Looking to upgrade to 128 slice CT scanner.</t>
  </si>
  <si>
    <t>Sujoy Chakraborty
+91 80131 46115</t>
  </si>
  <si>
    <t>Name: Trident surgical Enterprises
Phone: 9799031169
Email: tridentsurgical.enterprises24@gmail.com
City: Jaipur
Hospital/Clinic: Medical equipment reseller
Enquiry: We need philips fd 10 can you share me details
Dealer</t>
  </si>
  <si>
    <t>~Asim Mahfooz
+91 73074 92952   (Contact on whatsapp only)
Manjhanpur, Kaushambi, U.P
CT scanner</t>
  </si>
  <si>
    <t>~Dr.Ravi Singh
Sai diagnostic centre
+91 73557 27778
Barabanki, U.P</t>
  </si>
  <si>
    <t>Name: Dr Mark Sheldon , Radiologist
Dr. Lawrence Healthcare &amp; Diagnostic Centre (Rupesh Kengar)
Phone: 9702335577
Email: marksheldon73@gmail.com
City: Neyyattinkara, Thiruvananthapuram district (Trivandrum)
Kerala</t>
  </si>
  <si>
    <t>~D℞ Sayan Khan
+91 74787 82866
Bidhan Patho Lab
Durgapur West Bengal 
Ct scan</t>
  </si>
  <si>
    <t>~praveen bhushan
+91 96795 77777
port blair, Andaman and Nicobar
cath lab</t>
  </si>
  <si>
    <t>Sonu Mandal
9546565401
CT</t>
  </si>
  <si>
    <t>~DR.MANOJ YADAV
+91 88087 62469</t>
  </si>
  <si>
    <t>Sunil Gautam
+91 97203 44305</t>
  </si>
  <si>
    <t>Medicart
+91 82504 24423
Haldia west bengal</t>
  </si>
  <si>
    <t>Name: Sakthi SK 
Number: ‪+91 6369064775‬
Need: Imaging Equipment 
(re-sellers)</t>
  </si>
  <si>
    <t xml:space="preserve">Sajal Varshney
8094981435                 
dr.sajalvarshney@gmail.com        
Om Multispeciality Hospital And Trauma Centre 
Achalpur Chandausi Road Bahjoi 
Sambhal, U.P         
8094981435        
MRI 1.5 Tesla and CT Scan 16 Slice </t>
  </si>
  <si>
    <t>Name: Vikas Patel 
Need: MRI Machine
Number: 8968630016</t>
  </si>
  <si>
    <t>Dr Tushar Anand
+91 70500 77771
Ambika Sonography Diagnostic and Intervention Clinic
Ambikapur, Chattisgarh</t>
  </si>
  <si>
    <t>Biju Hazarika
+91 96137 23990
Guwahati, Assam</t>
  </si>
  <si>
    <t>Utkarsh Verma
+91 74880 75733
CT Scan</t>
  </si>
  <si>
    <t>Katkuri Chandrashekhar
+91 80086 00070</t>
  </si>
  <si>
    <t>Suraj Singh
+91 87299 29305</t>
  </si>
  <si>
    <t>Name: Dilip Kumar 
Jai Mata Di Hospital 
Number: 7992416361
Need: Imaging Equiment</t>
  </si>
  <si>
    <t>Lala
+91 85830 73107
DExa</t>
  </si>
  <si>
    <t>Dr Shashank Verma
+91 92367 00333</t>
  </si>
  <si>
    <t>Tincy K Mariam        
quality@cyrix.in                
9072522041</t>
  </si>
  <si>
    <t>~Dr Sagar Gandhi
+91 84698 31303</t>
  </si>
  <si>
    <t>~DR.Rasheed Khan
+91 94608 41406
Oxford hospital
Jhunjhunu
Rajasthan</t>
  </si>
  <si>
    <t>Name: Dr.SIBI M C
Phone: 8129621231
Email: sibimc79@gmail.com
Country: India
City: Kozhikode
Hospital/Clinic: Paramedical Institution</t>
  </si>
  <si>
    <t>Name: Rahul birla
Phone: 9970846413
Email: rahulbirla46@yahoo.in
Country: India
City: Nashik
Hospital/Clinic: Diagnostic
Enquiry: Refurbished ct 32 slice</t>
  </si>
  <si>
    <t>Karthick                         
9043410906                
India</t>
  </si>
  <si>
    <t>Name: Mayur Pramod Dhoklae
Phone: 9923710317
Email: dhokalemayur@gmail.com
Country: india
City: Malegaon
Hospital/Clinic: Unity Healthcare Malegaon
Enquiry: MRI 1.5 T</t>
  </si>
  <si>
    <t>Name:Rida Diagnostic
Number: 7499283012
Need: GE Dexa Lunar</t>
  </si>
  <si>
    <t>Name: Suraj Nagori
Phone: 9830005032
Email: suraj.nagori@gmail.com
City: Kolkata
Enquiry: tube (6.3 mhu) of my brightspeed has gone. can you provide used one ?</t>
  </si>
  <si>
    <t>Rohit Saha
+91 80163 92400
CT Scan</t>
  </si>
  <si>
    <t>Name: Kangkiram Moyong
Phone: +91 6909740713
Email: Kangmoyong55@gmail.com
City: Pasighat
East Siang district,
Arunachal Pradesh
Enquiry: “Hello, I want to set up a 1.5 Tesla MRI Centre in Pasighat, Arunachal Pradesh, under a revenue-sharing or turnkey model. I will provide the building, 3-phase electricity and DG backup. Nearest MRI is 200 km away, and 3–4 big hospitals + nearby district hospitals will refer patients. Please contact me with your proposal, technical requirements, installation timeline, and site visit details. This is a high-demand catchment area. My contact: 6909740713</t>
  </si>
  <si>
    <t>Ubaid Rahbar Polyclinic And Diagnostic Centre
+91 70065 68194
Harthrath, Singhpora
Baramulla district, Jammu and Kashmir</t>
  </si>
  <si>
    <t>~Dr Ankit Chandra
+91 87093 00890
Jamui, Bihar</t>
  </si>
  <si>
    <t>Eswaran Eswar
+91 81222 82350
~Lifecare
Tamil Nadu</t>
  </si>
  <si>
    <t>Ratnadeep Dutta (Jeevandeep)
JEEVANDEEP MEDICARE AND PATHOLOGY FROM AGARTALA
+91 93661 56616
AGARTALA,Tripura</t>
  </si>
  <si>
    <t>Abin Babu  
9995309754   (Text on whattspp)
Kerela</t>
  </si>
  <si>
    <t>Anil Mansukhani
9664081618
Mumbai
Let you send some latest or old pet dexa cath lab gamma spect mri some idea of pricing and setting, I might get some cath lab pet ct establish at Kalyan or ambernath near Mumbai.</t>
  </si>
  <si>
    <t>Nasrullah Khan 
8881928334
Lucknow, Uttar Pradesh
Need MRI</t>
  </si>
  <si>
    <t>Name: Sagar Khairnar 
Number:7744893156
Need: CT Machine
Profile: Re-selle
dealer</t>
  </si>
  <si>
    <t>Name: Kumar Vijayakanth Thamotharan
Phone: 6382632347
Email: mail3viji.niral@gmail.com
Country: India
City: Bangalore
Hospital/Clinic:
Enquiry: We want to sell flex coil GE 1.5T</t>
  </si>
  <si>
    <t>Ravindra singh rawat        
rrawat884@gmail.com                
8755390579        
Downloaded Brochure Just reading purpose         
India</t>
  </si>
  <si>
    <t>Name: ABHISHEK DHAMIJA
Phone: 8879488644
Email: dhamija.abhishek@gmail.com
City: MUMBAI
Enquiry: LOOKING FORWARD TO BUY EQUIPMENT - RADIATION &amp; DIAGNOISTICS (PET - CT)</t>
  </si>
  <si>
    <t>Name: DEVENDRA YADAV
Phone: 08005740642
Email: devendra1616yy@gmail.com
Hospital/Clinic: B D diagnostic centre kaman Rajasthan</t>
  </si>
  <si>
    <t>Ram Bhushan Rai
9793934411</t>
  </si>
  <si>
    <t>Shubham Singh
+91 85168 92337</t>
  </si>
  <si>
    <t>~DR.PRIYARANJAN. KR (GOLU)
+91 93346 37998
PATNA</t>
  </si>
  <si>
    <t>Alakha Niranjan Kumar
~Akash Health Care Clinic
Sitamarhi, Bihar</t>
  </si>
  <si>
    <t>~Ram Lohith
+91 81212 48208
Kadapa, Andhra Pradesh</t>
  </si>
  <si>
    <t>Birjees Mushtaq
6006317217
Ct and pet machine price</t>
  </si>
  <si>
    <t>~Dr Muniessh Mangla Hospital
+91 91153 53707</t>
  </si>
  <si>
    <t>Pawan Kumar Sharma
7014937648
Bharat Hospital</t>
  </si>
  <si>
    <t>Dr Pravin Patil
+91 98811 56639
Sant nagari Multi-speciality Hospital 
Shegaon , 
District -Buldhana, Maharashtra</t>
  </si>
  <si>
    <t>Name: Khan Riju
Number: 8089592555</t>
  </si>
  <si>
    <t>Name: Kumar Sami Kashapaka 
Number: 7995045065 ( dealer )
Need: 16 slice CT scan</t>
  </si>
  <si>
    <t>Name: Anurag
Phone: 9359300007
Email: anuragaggarwal18@gmail.com
City: Moga
Punjab</t>
  </si>
  <si>
    <t>Name: Priyank Singh
Phone: 9589298474
Email: priyanksingh10@gmail.com
City: Agra
Hospital/Clinic: Prabha hospital
Enquiry: Need ct machine at 110 bed hospital</t>
  </si>
  <si>
    <t>~Chandan
+91 62001 17935
MRI and CT Scan</t>
  </si>
  <si>
    <t>Sonu Mandal
9546565401  
+977 982-0364975 (whatsapp if not reachable) - Lives in border area of Bihar-Nepal
Forbesganj 
Araria district 
Bihar</t>
  </si>
  <si>
    <t>Name: Sayikrishna Raju
Phone: 7331139589
Email: SKRAJU66@GMAIL.COM
City: BHIMAVARAM, Andhra Pradesh
Enquiry: Request for price quote for refurbished BMD machine(DEXA)</t>
  </si>
  <si>
    <t>Shekh Vashim
8827535186
Cath LAB</t>
  </si>
  <si>
    <t>Dr Tahir Mir
9596304544
MRI machine</t>
  </si>
  <si>
    <t>Govinda Kumar Yadav
+91 96314 66360
Siemens Go now CT</t>
  </si>
  <si>
    <t>Name: Eesha Rajput
Phone: 08900936018
Email: eesharajput84@gmail.com
Country: India
City: Mumbai
Hospital/Clinic:
Enquiry: Refurbished CT scan for installation at Delhi in govt hospital</t>
  </si>
  <si>
    <t>chetan kumar
+91 93377 19181
Angul, Odisha
PET CT Machine</t>
  </si>
  <si>
    <t>Guru Prasad Semwal
+91 95579 16378
Rudraprayag Uttarakhand
Please send 1.5 t machine detail</t>
  </si>
  <si>
    <t>Name: Pulaparthi Rambabu
Phone: 9483622229
Email: raam.pulaparthi@gmail.com
City: Siruguppa
Karnataka
Hospital/Clinic: Sudhiksha hospital
Enquiry: looking radiology solutions</t>
  </si>
  <si>
    <t>Name: Dr Niteen More
Phone: 9866321254
Email: niteen.more@iosplcancer.com
City: Pune
Maharashtra
Hospital/Clinic: International Oncology Cancer Institute
Enquiry: Dear Sir/ Madam, we are looking to add PET-CT and Gamma Camerato our Nuclear Medicine facility at Pune. I would highly appreciate if get information on the available products. Thank you</t>
  </si>
  <si>
    <t>AA Resellers
9055225590
Srinagar, J&amp;K</t>
  </si>
  <si>
    <t>𝗠𝗨𝗛𝗔𝗠𝗠𝗔𝗗 𝗢𝗪𝗔𝗜𝗦 (Radiographer)
8115198788
want to start a new MRI center</t>
  </si>
  <si>
    <t>Jay
+91 79866 58686
diagnostic lab</t>
  </si>
  <si>
    <t>Farman Ali
+91 7414 828 218
MRI
bikaner , Rajasthan</t>
  </si>
  <si>
    <t xml:space="preserve">Ali Mohammad Ganie
9622100077
J&amp;K
Wanted to talk with Brijesh Sir or Muzzafar sir - Old client </t>
  </si>
  <si>
    <t>In touch with Muzaffer Sir</t>
  </si>
  <si>
    <t>Name: Waseem Ahmad 
Number: +923084472362
Need: Cath Lab
Location: Pakistan</t>
  </si>
  <si>
    <t>ignore -</t>
  </si>
  <si>
    <t>Neha Shriya
7737696582</t>
  </si>
  <si>
    <t>Sanjay
+91 94244 07025
CT Scan</t>
  </si>
  <si>
    <t>Praful Nanda
+91 98250 91108
Wants to sell Cathlab
Gujrat</t>
  </si>
  <si>
    <t>Sanjay  -- same as above ---
+91 94244 07025----  6260431534(to be called on this number not the other one)
CT Scan</t>
  </si>
  <si>
    <t>Jitendra Kumar Saini
sainij034@gmail.com
BMC         
6350048390        
DEXA</t>
  </si>
  <si>
    <t>Praakash Shivapur
Spandan Clinic
+918971395152
Mudalgi, Belgavi, Karnataka</t>
  </si>
  <si>
    <t>Shubhodeep Roy
+91 88251 38395
Dhanbad, Jharkhand
under construction hospital
All machine pcices</t>
  </si>
  <si>
    <t>~Tapas Kumar Bera
+91 94347 03971
EAST MIDNAPORE, WEST BENGAL
CT and Cath Lab</t>
  </si>
  <si>
    <t>Sandeep Mengi Maharishi
+91 94191 82314
Jammu, J&amp;K
CT</t>
  </si>
  <si>
    <t>Gontu Mohana Aravinda Reddy
aravindar667@gmail.com
8143822918</t>
  </si>
  <si>
    <t>Suvomay Ghosh
+91 93306 43280
Aarti hospital,
Kolkata West bengal
Price of a cath lab refurbished</t>
  </si>
  <si>
    <t>Dr Pushttoom Tiwaari
+91 94794 92992
Jabalpur, Madhya Pradesh</t>
  </si>
  <si>
    <t>Continued in next sheet of 2026 year--------------------------------------------------</t>
  </si>
  <si>
    <t>Name- Dr Rajanish Singh
Location- Uttar Pradesh
Number- 8173843350
need- CT Scan Machine
Source- Fb</t>
  </si>
  <si>
    <t xml:space="preserve"> 9994400936
What'sapp call preferred
Language Tamil/ English only
 Nirmal Ratna Kumar
 From Ambur, Tamil Nadu
Requirment - CathLab Machine</t>
  </si>
  <si>
    <t>Dr. Rajesh Palani 8095100007   needs cathlab</t>
  </si>
  <si>
    <t>Name- Mohammed Tauseef
Need- MRI &amp; CT (for new opening hospital)
Number- 9319099177
Location- Saharanpur
Source- Fb</t>
  </si>
  <si>
    <t>Name- Kedar Yadav
Contact - 009779869999908
Need- Part (5337137-8) Mega Switch ASSY_16 Channel
Location-Janakpur Nepal
Source-fb</t>
  </si>
  <si>
    <t>Name- MD Khalaf Saba
Contact:  8791204854
Need: 1.5T MRI machine
Location- Aligarh
Source- Linkedin</t>
  </si>
  <si>
    <t>Name- Rahul Kumar
Number- 7766873782
Need- CT Scan
Profile - J.C.S Hospital Multi Speciality
Location: Bihar</t>
  </si>
  <si>
    <t>Name- Rakesh Vishwakarma 
Profile: Hetauda City Hospital
Location: Bihar/Nepal
Source- FB
Need- CT Scan
Numer- 9973029379</t>
  </si>
  <si>
    <t>Name- S.A Mir
Phone Number- 9797282236
Location: Jammu kasmir
Need : 1.5T MRI Machine
Source- FB</t>
  </si>
  <si>
    <t>Name-Carlos Lucky
Number- +213672616931 (what up number)
Need- CT Scanner
Location- Constantine, Algeria</t>
  </si>
  <si>
    <t>Name- Rajat Dhahiya
Number: 8600090262
Location- Delhi
Need- CT Machine
Profile - Radilogist Doctor</t>
  </si>
  <si>
    <t>Name- Yousuf Patwary
Number: 01855902555
Need- 32/64 Slice  CT Machine
Location: Noakhali, Chittagong, Bangladesh
Source - FB</t>
  </si>
  <si>
    <t>Name- Abhay Somani  
Number: 9921688551
Need: Cath Lab
Source- LinkedIn
Location: Pune</t>
  </si>
  <si>
    <t>Name- AL-Madina Diagnostic Center
country: yemen
Number-711185750
need- imaging equipment
source- fb</t>
  </si>
  <si>
    <t>Name- Caspian Diagnostic Centre 
Number-8978454547
Need- CT, PET-CT &amp; MRI
Source- Fb (https://www.facebook.com/CDCHyderabad/)
Location-Opp. Post Office, Vijaynagar Colony, Hyderabad, India, Telangana</t>
  </si>
  <si>
    <t>Name- Aditya Goel
Profile- ORTHOPAEDIC SURGEON
Email id - Adityagoel75@gmail.com
Need- Share company catalogue with price list 
Source- Linkedin</t>
  </si>
  <si>
    <t>Name- Dr Stavan Amin
Number: 9601725319
Need- MRI /CT Machine
Source- Linkedin
Location: Mumbai, Maharashtra, India</t>
  </si>
  <si>
    <t>Payal Kalwar
"Installation and commissioning of Biplane Cathlab machine "
"support@invimeds.com"
9004107219</t>
  </si>
  <si>
    <t>Name- Majit Bhatt
Location:Srinagar
Number:7006278411
Need- Ultrasound Machine
Source: FB</t>
  </si>
  <si>
    <t>Name- Naveed Younas Randhawa
Number:+923215555443
Location: Pakistan
Need- MRI Machine
Source: Fb</t>
  </si>
  <si>
    <t>Dr Ashish        Yadav        yadavashish2834@gmail.com        +91 78971 48346</t>
  </si>
  <si>
    <t>Name- Biswadip Saha
Location: Kolkata  )B.S. Diagnostic Centre)
Number: +91 91236 99401
Need: CT Scan 16 Slice
Source: FB</t>
  </si>
  <si>
    <t>Name- Irfan Kareem Ahmad
Number: 7017212828
Need: planning MRI
Source: Fb
Location: najibabad (bijnor) UP</t>
  </si>
  <si>
    <t>Name- Mahantesh Mirji
Number: 8147836641
Location: Karnataka bidar
Source: Fb
Need- (Imging Equipment) for hospital)</t>
  </si>
  <si>
    <t>Name- Drsp Sudram
Number: 7004845867
Need -CT Scan Machine
Source: FB</t>
  </si>
  <si>
    <t>Name- Dr Narendra Surya
Number: 8897811663
Need-CT
Source:Linkedin</t>
  </si>
  <si>
    <t>Name- DrSaleh Amer
Number: +967777899965
Need- Cath Lab
Source- Fb
Country -Sanaa, Yemen</t>
  </si>
  <si>
    <t>Name- Dipak Parikshit Deshmuk
Number: 9822695611
Need: Helium in MRI
Source- Fb</t>
  </si>
  <si>
    <t>77380 60356
Dr.GABRIEL R H
Mumbai
He is building 3 hospitals in Mumbai</t>
  </si>
  <si>
    <t>84049 97233
Vikas kumar 
Gorkhapur U.P
CT</t>
  </si>
  <si>
    <t>Imdadul khan 
6000515539
Gowhati assam</t>
  </si>
  <si>
    <t>87679 95186
Avinash dodamani
Pune</t>
  </si>
  <si>
    <t>80764 13532
Hrithik</t>
  </si>
  <si>
    <t>74990 17297
Amol
Pune
(But he is a dealer)</t>
  </si>
  <si>
    <t>97405 15498
Akshay thorat 
Pune</t>
  </si>
  <si>
    <t>93762 11111
Mayur Patel 
Surat
(But he is a dealer)</t>
  </si>
  <si>
    <t>90364 35424
Vinodkumar from bangalore , trustandhope,pvt ltd</t>
  </si>
  <si>
    <t>94176 31728
Haris
Malekotla scan centre 
Bhawanigarh</t>
  </si>
  <si>
    <t>Danish Qadir Wani
+91 96826 78162
Kupwara
Jammu &amp; Kashmir</t>
  </si>
  <si>
    <t>98888 71619
Dr Ripin Heera
Kangra
Himachal Pradesh</t>
  </si>
  <si>
    <t>99896 56473
Dr Ramesh 
Karmanghat, Hyderabad 
Needs CT</t>
  </si>
  <si>
    <t>Wants to sell his 
CT scanner - GE Revolution 4 slice machines 
+91 70310 06705
Sanchik
Siliguri West Bengal</t>
  </si>
  <si>
    <t>93955 41575
Trishan</t>
  </si>
  <si>
    <t>89228 46065
S. Alam</t>
  </si>
  <si>
    <t>95412 94054
Junaid Faarroq</t>
  </si>
  <si>
    <t>90697 71980
Kaushal Kumar</t>
  </si>
  <si>
    <t>89759 95125
Shivam 
Nasik Maharashtra 
Need 1.5 t hdxt MRI</t>
  </si>
  <si>
    <t>72405 19668
Name-Lucky
Jaipur Rajasthan 
Expert imaging center
Needs CT 128 slices</t>
  </si>
  <si>
    <t>93434 34824
Sumit sahu
Surajpur Chhattisgarh 
Shyam diagnostics and clinics</t>
  </si>
  <si>
    <t>99050 99312
Dr Adnan Hussain 
Gopalganj Bihar 
Patna clinic and surgical center 
Needs CT</t>
  </si>
  <si>
    <t>70300 00503
Prasanna Phalak 
Pune
Omkar Multispeciality Hospital,
Prime Multispeciality Hospital</t>
  </si>
  <si>
    <t>82658 22692
Sarthak Kashyap Rajput</t>
  </si>
  <si>
    <t>86019 69930
Ankur Chauhan
Muhammabad Gohna, Mau(U.P)
Super Life diagnostic centre</t>
  </si>
  <si>
    <t>99995 92987
Mridula Health 
Noida (U.p)</t>
  </si>
  <si>
    <t>7374920540
Manish
Sikar Rajasthan</t>
  </si>
  <si>
    <t>79800 06965
Manjushree Diagnostic 
Haldia West Benga</t>
  </si>
  <si>
    <t>62008 87199
Aman shandilya 
Patna</t>
  </si>
  <si>
    <t>96651 11648
Praveen</t>
  </si>
  <si>
    <t>60063 06754
Hamid lone
Bandipore, Jammu &amp; Kashmir 
What'sapp him only don't make call</t>
  </si>
  <si>
    <t>95103 26738
Kirtan kayasth
Kosamba Gujrat</t>
  </si>
  <si>
    <t>74397 35531
Dr Amit sarkar 
Kolkata West Bengal</t>
  </si>
  <si>
    <t>99963 37963
Naseeb
Hisar Haryana 
Radrays healthcare</t>
  </si>
  <si>
    <t>95039 37777
Dr snehal badjate</t>
  </si>
  <si>
    <t>94594 96625
Vyasan medimpex
Una Himachal Pradesh</t>
  </si>
  <si>
    <t>94601 78499
Chandrabhan Singh Panwar
Beawar Rajasthan 
MRI</t>
  </si>
  <si>
    <t>63766 72791
Shiv Pratap Singh rajpoot 
Jaipur Rajasthan</t>
  </si>
  <si>
    <t>89291 28813
Mohammad Shaikh 
Delhi</t>
  </si>
  <si>
    <t>76050 05526
Zahoor Ahmad Sofi
Srinagar Jammu and Kashmir</t>
  </si>
  <si>
    <t>70067 37396
~Aadil Dar
Pulwama Jammu and Kashmir
Dar pharma</t>
  </si>
  <si>
    <t>Pawan Goswami
9993612231
Hi
I'm R.R.Medical system 
gwalior mp
32 sice  ct new/refurb</t>
  </si>
  <si>
    <t>70709 23222
~Mòhàmmád Śíddíqùéi
Motihari, Bihar
I need 
32Slice CT scan 
Ultrasound machine 
1 Dr 
1 mammography machine</t>
  </si>
  <si>
    <t>Mohd Faraz 
Location Gaya-Bihar 
Pharmaceutical distributor
9315022705</t>
  </si>
  <si>
    <t>~~Amit Yadav
+91 94543 26555
Gopalganj bihar
MRI Price</t>
  </si>
  <si>
    <t xml:space="preserve">~Dr Biraballa
+91 98440 40477
Davanagere, Karnataka
Ct scanner price
</t>
  </si>
  <si>
    <t>Omkar m toppagi
Taluk:- Rabakavi banhatti , Bagalkot, Karnatka
Hospital :- Dr. Metri's OrthoCare CT SCAN&amp;DIAGNOSTIC CENTER
CT Scanner price</t>
  </si>
  <si>
    <t>Dr srinivas
SGR diagnostic Hyderabad
+91 70931 46759
MRI and CT both</t>
  </si>
  <si>
    <t>Roshan Jameer Khan
Nautanwa, Maharajganj, U.P
Maa hospital
need CT and MRI both
+91 86011 68191</t>
  </si>
  <si>
    <t xml:space="preserve">Rajesh Kumar saxena. 
Bareilly U.P
+91 70175 03310
Need CT Scanner
</t>
  </si>
  <si>
    <t xml:space="preserve">Vishu Pal
Saharanpur
+91 75338 61580
need all CT , MRI, Cath LAb, </t>
  </si>
  <si>
    <t>~Poonam Chand Bishnoi
+91 78510 89129
Bikaner rajasthan</t>
  </si>
  <si>
    <t>Need MRI and CT
satyajit clinic sambar
+91 88220 49719</t>
  </si>
  <si>
    <t xml:space="preserve">~Aaquib Khan Pathan
+91 96028 28987
Bhilwara Rajasthan
CT </t>
  </si>
  <si>
    <t>Maroof 
Mumbai 
+91 98332 84368</t>
  </si>
  <si>
    <t>Sani
City guwahati and hospital GNRC
+91 97071 14794
needs CT
whatsapp him only</t>
  </si>
  <si>
    <t>Nadeem
Uma super speciality hospital
Jamshedpur
+91 70044 60931</t>
  </si>
  <si>
    <t>~Harish Aziz
+91 70040 10710
Aziz nursing home
bhagalpur bihar
need cathlab</t>
  </si>
  <si>
    <t>~Dr.Suraj Kumar
+91 6200 123 981
St - jharkhand district -deoghar. 
clinic name Suraj pathology and x-ray clinic
need CT and MRI</t>
  </si>
  <si>
    <t xml:space="preserve">Manu kumar
Santoshi lab and Diagnostic center Basantpur
Bihar
+91 87973 48405
Needs CT </t>
  </si>
  <si>
    <t>Chandra kanth
Nandyal, Andhra Pradesh
+91 6304 483 349</t>
  </si>
  <si>
    <t>~Ajay Chavan
+91 97672 79767
Shraddha Multi Speciality Hospital 
Daund -Pune 413801
32 slice CT
Cathlab FD 10</t>
  </si>
  <si>
    <t>~Ujagar Singh
+91 94141 85055
Kota Rajasthan
16 slice CT Bright Speed</t>
  </si>
  <si>
    <t>~Chandan Chaudhari
+91 90292 93636
Mumbai</t>
  </si>
  <si>
    <t>~Kuldeep Kumar
+91 80093 04437
Fatehpur, U.P</t>
  </si>
  <si>
    <t>~Ishwari Dwivedi
+91 98392 33333
Gomti diagnostic 
Indiranagar Lucknow
need MRI</t>
  </si>
  <si>
    <t>Prabhat Nagar
+91 78281 71588
Ct scan</t>
  </si>
  <si>
    <t>~Dhannjay Sahu
+91 84629 09006
CT Machine 32 slice</t>
  </si>
  <si>
    <t>~Yasir Irfaq Thikeriya
+91 95411 64880
MRI And CT scan</t>
  </si>
  <si>
    <t>~Akshay Gaidhane
+91 88579 26095
(But he is a dealer)</t>
  </si>
  <si>
    <t>Jasmin Davda
+91 93280 12988</t>
  </si>
  <si>
    <t>Ravi Shankar Singh
अपोलो जॉच घर ECG डिजिटल एक्सरे &amp; अल्ट्रासाउंड महजिद रोड बेलसंड
Sitamadi, Bihar
+91 98358 60455</t>
  </si>
  <si>
    <t>Santosh murade
Sai Enterprises
Ahamednagar, Maharashtra
+91 88051 93915
(But He is a dealer)</t>
  </si>
  <si>
    <t>Ajoy Behera
Aditya Finance and Machinery
(West Bengal and Orrissa Region)
+91 73195 47703
(But he is a dealer)</t>
  </si>
  <si>
    <t>~Adil Saghir
adil.saghir2@gmail.com
+91 98865 93268
(He is a dealer)</t>
  </si>
  <si>
    <t>~Shàhúrâj sàbàlè
+91 89837 67343
CT scanner</t>
  </si>
  <si>
    <t>~Dr. Prithvee Raj
+91 70916 15766</t>
  </si>
  <si>
    <t>Appu
+91 84891 76582
CT scanner price</t>
  </si>
  <si>
    <t>Azhar Shafi Bhat
+91 70068 88349
pet ct machine</t>
  </si>
  <si>
    <t>~Shubham Shukla
+91 83185 03414
(But he is a deealer)</t>
  </si>
  <si>
    <t>Dr. Amit Sharma, ~Medical Superintendent
+91 99997 37582</t>
  </si>
  <si>
    <t>Ishfaq ahmad dar
ishfaqahmaddar89762@gmail
+91 70069 78942</t>
  </si>
  <si>
    <t>Dr Snehal Badjate
+91 95039 37777</t>
  </si>
  <si>
    <t>Hospi Homecare
+91 73070 11622
(he is a dealer)</t>
  </si>
  <si>
    <t>~Amaresh Hiremath
+91 82969 36270
looking for MRI machine ..
India make 
It's for Govt project---------------- may be we dont participate in government projects</t>
  </si>
  <si>
    <t>~Manjushree Diagnostic Centre
+91 79800 06965
wants to do AERB of his CT</t>
  </si>
  <si>
    <t>Pradeep Meher
+91 85998 16007
MRI
Odisha</t>
  </si>
  <si>
    <t>manikanta gupta
+91 80745 45698
ANdhra pradesh and Telangna Region
But he is a dealer</t>
  </si>
  <si>
    <t>Ranjith Babu Nandukuru
+91 94913 33235
But he is a dealer</t>
  </si>
  <si>
    <t>~SARTHAK KASHYAP RAJPUT
+91 82658 22692</t>
  </si>
  <si>
    <t>Monalisa Chakra
+91 78490 65565
CT Scanner</t>
  </si>
  <si>
    <t>~Sanjeev Tripathi
+91 93726 17269
(But he is a dealer)</t>
  </si>
  <si>
    <t>Bhoomi
+91 72405 19668
CT 128 slice</t>
  </si>
  <si>
    <t>harendra sutaria
ahmedabad, Gujrat
+91 89808 57852
But he is a dealer</t>
  </si>
  <si>
    <t>KAITHEPALLI SRINIVASULU
+91 94927 95934
nellore 
He will need in future</t>
  </si>
  <si>
    <t>Amol Chinchgavankar
Nasik and Pune
+91 74990 17297
(But he is a dealer)</t>
  </si>
  <si>
    <t>~Ahmad Rahmani
+91 99531 50795
Delhi
(But he is dealer)</t>
  </si>
  <si>
    <t>Ravi
+91 79038 86651
Needs PET CT</t>
  </si>
  <si>
    <t>Surender Singh
+91 93124 47061
Bareilly Uttar Pradesh
(But he is dealer)</t>
  </si>
  <si>
    <t>Mukesh Kumar Jha
+91 97082 20544
Samastipur Bihar
Open new diagnostic center</t>
  </si>
  <si>
    <t>Bhanu Pratap Singh
+91 73884 29205
Farrukhabad, Uttar Pradesh
banke bihari hospital
needs MRI</t>
  </si>
  <si>
    <t>Hem Hit
+91 89053 61794
Needs CT Scan</t>
  </si>
  <si>
    <t>Salman Kadri/Saba Anjum
+91 96615 43410
Patna, Bihar
CT scan
want to open his new diagnostic center</t>
  </si>
  <si>
    <t>~Utkarsh Awasthi
+91 70072 08304
Bajranga diagnostic banda uttar pradesh
All machines rate enquiery</t>
  </si>
  <si>
    <t>Rahul Raj
~Scientific Zoom
+91 74883 40578
Saharsa, Bihar
32slice GE CT scanner</t>
  </si>
  <si>
    <t>Dr. Pritam Kumar Sinha
~Dr. PKS veterinary surgical Clinic
+91 70447 79812
MRI enquiry
Hoogly, West bengal
(Whatsapp chat him only, do no call)</t>
  </si>
  <si>
    <t>~Sk Rahed Hossain Mia
9932775868
Unique Diagnostic Centre, Contai, Purba Medinipur, West Bengal
MRI 1.5 Tesla price please</t>
  </si>
  <si>
    <t>Nazim siddiqui
+91 6395 228 520
Bareilly, U.P
Needs CT
Open new center</t>
  </si>
  <si>
    <t>~Partha Sarthy Nanda
+91 98160 68959
Please quote me the price of ct scan , mri , pet</t>
  </si>
  <si>
    <t>~Hello Vet Animal Health Care
+91 91428 00700
City: Meerut, Uttar Pradesh
Refurbished ct scan price ??</t>
  </si>
  <si>
    <t>Aminul Islam
+91 60091 32414
Dharmanagar ,Tripura
Apollo Clinic
CT Scanner</t>
  </si>
  <si>
    <t>Name- Divesh Chellani
Number: +639660310802
country: Philippines
Need: 16 or 64 slice ct scan</t>
  </si>
  <si>
    <t>JAYESH_THAKOR
+91 99043 19473
Palanpur Gujarat
CT Scan Machine</t>
  </si>
  <si>
    <t>Ajay Puri
+91 95877 16999
Ganesham diagnostic centre
Falna, Pali, Rajasthan
CT scan and MRI</t>
  </si>
  <si>
    <t>~Raj Bioraay
+91 86818 12264
(Wants to sell)
Siemens artis one fixed cathlab for sale 
2021 installation
Kovilpati(Nearby airport Madurai and Thoothukudi)</t>
  </si>
  <si>
    <t xml:space="preserve">Lammingthang 
Churachandpur, Manipur
~Faith Clinic
+91 70857 82710
Mri cost how much
</t>
  </si>
  <si>
    <t>Name- Saurabh Rai 
Number: 094510 30480
Location:  Jaunpur, Uttar Pradesh
Need: Cath lab FD-20
Source: Fb</t>
  </si>
  <si>
    <t>Ayush
+91 75675 61984
Wants MRI Installation in UAE</t>
  </si>
  <si>
    <t>डॉ महेश चन्द्र(सौरभ सिंह)
स्वास्थ आयाम प्रमुख गंगा समग्र कानपुर प्रांत
Kanpur U.P
+91 74996 26818
Wants Cath Lab</t>
  </si>
  <si>
    <t>Sagar Lahase
+91 91112 50458
BURHANPUR M.P
New setup
CT SCAN</t>
  </si>
  <si>
    <t>Name- Adil Wani
Number: 7006138505
Need: Cath Lab &amp; Pet CT
Location: anantnag Kashmir
Source : fb</t>
  </si>
  <si>
    <t>satyam anandrao kangule
+91 76202 66360
Needs CT</t>
  </si>
  <si>
    <t>~Dr Brijesh Gupta
+91 95381 60047
Shri Ram Krishna hospital Shahjahanpur up
Ct Scan machine</t>
  </si>
  <si>
    <t>Ankush Kardkar
+91 95799 42919
Shirur, Pune, Maharashtra
Spandan hospital
Price of CT scan?</t>
  </si>
  <si>
    <t>Gaurav Sakre
+91 81032 54415
Bhopal , M.P
(But He is a dealer)</t>
  </si>
  <si>
    <t>khundrakpam ongbi sandhya ranin devi
+91 79081 17258
Samaton Diagnostic Center
 Imaphal, Manipur
Needs MRI</t>
  </si>
  <si>
    <t>Monu Saini
+91 88993 49606
Jhunjhunu wala hospital
Ayodhya, U.P</t>
  </si>
  <si>
    <t>~Junaid Khan
+91 6397 648 455
but he is a dealer</t>
  </si>
  <si>
    <t>Name - Shashank Mishra
Number: 8299194850
Need: PET-CT
Location: Allahabad, India</t>
  </si>
  <si>
    <t xml:space="preserve">Prashant/ Bipul Kumar
+91 6200 362 626
Hilsa bihar
CT </t>
  </si>
  <si>
    <t>North End Hospital
Baramulla, Kashmir
+91 96224 63281
CT and PET CT</t>
  </si>
  <si>
    <t>Shailendra Kumar Mishra/sakhideep
+91 97524 54736
CT scanner 32 slice</t>
  </si>
  <si>
    <t>~Indra Singh Adhikari
+91 81713 57844
उत्तराखंड हल्द्वानी
Ct 32 slice</t>
  </si>
  <si>
    <t>Devu
+91 70255 09558
Kerala/ UAE-Dubai
(Dealer Agency)</t>
  </si>
  <si>
    <t>~Sunil Gupta
+91 94340 26991
Asansol, West Bengal (Hospital)</t>
  </si>
  <si>
    <t>~Niraj Bavadia
+91 93274 48703
Surat Gujarat
(But he is a dealer)</t>
  </si>
  <si>
    <t>Shiv Thikane
+91 86240 24404
Kolhapur  Maharashtra
But he is a dealer</t>
  </si>
  <si>
    <t xml:space="preserve">Country- Yemen
+967780885000
Needs Catalogue </t>
  </si>
  <si>
    <t>Rajan Raj
CT scan machine price
+91 90651 82104</t>
  </si>
  <si>
    <t>~Shaikh Shadab
+91 86230 13609
I need CT scanner</t>
  </si>
  <si>
    <t>Mohammad Samsuzzaman Sk
~Murshidabad Pathlabs
+91 81456 79447
Murshidabad, West Bengal
CT</t>
  </si>
  <si>
    <t>Golu Prasad Sahu
+91 93400 45862
CT</t>
  </si>
  <si>
    <t>Shri Datta Bahuudesh
+91 85520 53003
CT</t>
  </si>
  <si>
    <t>Manav Jindal
+91 99712 83119
MRI and CT</t>
  </si>
  <si>
    <t>Pitysh Nayak
+91 70035 39045
purbamedinpur, egra, Westbengal 
CT Scanner</t>
  </si>
  <si>
    <t>Shailesh Kumar
+91 6205 997 643</t>
  </si>
  <si>
    <t>~Abid Mohideen
+91 70065 24245
Srinagar ,Kashmir 190011
Clinic name yet to be decided
need PET CT</t>
  </si>
  <si>
    <t>~Danish Ibraheem
+91 89488 95889
Tulsipur 271208, Balrampur, Uttar Pradesh
CT Scan Machine Price</t>
  </si>
  <si>
    <t xml:space="preserve">Mohhamad Jalees
+91 75008 00665
Rampur, Uttar Pradesh
CT scan </t>
  </si>
  <si>
    <t>~Dr Deepanshu Gupta
+91 86305 07902
Farrukhabad, Uttar Pradesh</t>
  </si>
  <si>
    <t>Mohamed Shibily CP
+91 89217 81815</t>
  </si>
  <si>
    <t>~Joy Alappat
+91 6282 585 853</t>
  </si>
  <si>
    <t>~Yogendra Paramanik
+91 82717 64951
CT Scanner</t>
  </si>
  <si>
    <t>Shoaib Chaudhary
+91 88688 57312
Shamli, U.P
MRI</t>
  </si>
  <si>
    <t>Neeraj Kumar Bharti
+91 87072 94798
Brd hospital
lakhimpur kheri, Uttar Pradesh
CT Scanner</t>
  </si>
  <si>
    <t>Shubham
Sidhant Xray Raut
+91 85910 86114
Marathwada, Maharashtra
 MRI and CT scanner</t>
  </si>
  <si>
    <t>~Pankaj Kushwaha
+91 88253 46720
ct scan</t>
  </si>
  <si>
    <t>~Baryon Swain
+91 83739 69429
Bhubaneswar
 multispeciality hospital</t>
  </si>
  <si>
    <t>~Dr Raj Kumar Srivastava
+91 98395 14753
Amanraj diagnostic centre
BAHRAICH 
UP
CT</t>
  </si>
  <si>
    <t>Rk, Chintapurwa
+91 99354 45455
R. V hospital
Lakhimpur kheri, UP
CT</t>
  </si>
  <si>
    <t>Shahid
+91 6200 481 715
Harpur Pipara, Katihar, Bihar
Need catalogue</t>
  </si>
  <si>
    <t>Ujma Khan
7905496287  or  +91 6307 391 200
wants to talk</t>
  </si>
  <si>
    <t>~dr omprakash kumar bhagat
+91 74886 34506
CT Scan</t>
  </si>
  <si>
    <t>Dr Subham Kumar Arya
+91 83929 96046
Dhan Devi physiotherapy and rehabilitation center, Neuro and ortho expert
Puranpur Uttar Pradesh
MRI</t>
  </si>
  <si>
    <t>Abul Kalam
+91 99541 89724
Guwahati, Assam
MRI</t>
  </si>
  <si>
    <t>Anoop Kumar SM
+91 98470 21111
He is Dealer from Kerela</t>
  </si>
  <si>
    <t>~Kuldeep Singh
+91 98888 73009
Kapoor Hospital
Amritsar, Punjab
refurbish ct scan and mri</t>
  </si>
  <si>
    <t>Athukuri Ravi Teja
+91 90001 60610
~InterventionalRadiologist
Hyderabad..
CT</t>
  </si>
  <si>
    <t>Hemendra singh solanki
~Dourth Healthcare
Bhopal
+91 78692 48315</t>
  </si>
  <si>
    <t>Irshad Ali
Advance diagnostic, Avmc Arogya
+91 78000 55575
Basti, UP
CT</t>
  </si>
  <si>
    <t>~Dr Pradip Kumar Tiwari
+91 70026 05234
Om Sai Diagnostic
Dhanbad, Jharkhand
CT</t>
  </si>
  <si>
    <t>Hari Om Radiology
+91 70542 51463
Balrampur district uttar pradesh
CT</t>
  </si>
  <si>
    <t>Sachin Modwell
+91 90275 88186
CT</t>
  </si>
  <si>
    <t>Meer Fazal Ali
+91 76010 28002
~Family Care Diagnostic🔬
Hyderabad</t>
  </si>
  <si>
    <t>Haritosham Buildcon
+91 86027 57272
Philips  MX 16 tube required</t>
  </si>
  <si>
    <t>Umashankar. Purulia
+91 90838 16172
Avishkar Diagnostic.
Durgapur..West Bengal</t>
  </si>
  <si>
    <t>Bhargav
+91 94614 48853
128 slice machine how much it costs</t>
  </si>
  <si>
    <t>~UTKARSH SINGH UTA
+91 74560 24140</t>
  </si>
  <si>
    <t>Faiyaz Ahmad
+91 82109 51118
Ranchi, Jharkhand
Wants to become dealer</t>
  </si>
  <si>
    <t>Atif Manzoor Khan
+91 78899 37274
MRI</t>
  </si>
  <si>
    <t>Venkat Ramudu
+91 77802 01416
Nandyal, Andhra Pradesh
CT</t>
  </si>
  <si>
    <t>Sarthak
+91 79784 70064
Sspero medical solutions pvt ltd
Odisha 
Bhubaneswar
They are dealers</t>
  </si>
  <si>
    <t>~surendra raghuwanshi
+91 75072 15485
Vidisha M.P. sarvodaya Hospital
 need to buy 16 slice CT</t>
  </si>
  <si>
    <t>Utsav Yadav
+91 87956 23132</t>
  </si>
  <si>
    <t>Name- Zakir Siddiqui
Need- CT Scan Machine
Number: 9990683069
Location: Noida, India
Source: Fb</t>
  </si>
  <si>
    <t>Name- Shivam Raina
Need- CT Scan Machine
Number: 9519042713
Source: Fb</t>
  </si>
  <si>
    <t>~Sandeep Aggarwal
+91 81263 42412
Panipat Haryana
CT and Cathlab</t>
  </si>
  <si>
    <t>Sudhir Kumar
+91 79924 08848
Aurangabad, Bihar
He is a dealer</t>
  </si>
  <si>
    <t>~Divyanshu Keshari
+91 93690 74720
Varanasi
Medanta labs</t>
  </si>
  <si>
    <t>Lal Chand Saini
+91 70236 67603
Ahmedabad
Shaleen cancer centre</t>
  </si>
  <si>
    <t>Robin Kumar
+91 82798 75996
Uttar Pradesh West Region
But he is a dealer</t>
  </si>
  <si>
    <t>Raju Kumar Yadav
+91 94555 57260
Om ultrasound centre bhore
Gopalganj Bihar 841426
CT Scan</t>
  </si>
  <si>
    <t>Mohammad Asad Uzzaman
+91 96358 83349
Unique Medical Centre/AR Vision Centre
West Bengal
MRI</t>
  </si>
  <si>
    <t>sandeep kumar saxena
+91 78762 62686
Delhi
PET CT</t>
  </si>
  <si>
    <t>Saswat Kumar Sahoo
+91 89175 18077
CT scan machine price</t>
  </si>
  <si>
    <t>Tabrez Alam
+91 96211 45013
Shifa hospital  maharaganj  up
CT</t>
  </si>
  <si>
    <t>Nadendla Lakshmi
+91 93925 11830
A -Z CLINICS
Ongole and Vijayawada
Mri and ct</t>
  </si>
  <si>
    <t>Panjak Jadaun 
+91 6398 970 801</t>
  </si>
  <si>
    <t>Ali Hasan Katara
+91 74550 76373
Amar Clinic 
Agra, UP
Mri</t>
  </si>
  <si>
    <t>Dr Shubham Parihar
+91 70004 74109
Betul, Madhya Pradesh
MRI</t>
  </si>
  <si>
    <t>Rupesh Kumar Ray
+91 91995 64019
PET CT price</t>
  </si>
  <si>
    <t>Name- Pawan Swami
Number- 7568389042
Need: CT scan machine 16 slice</t>
  </si>
  <si>
    <t>Rohan Kumar Ray
+91 75198 15895
Motihari, Bihar
Ct scanner</t>
  </si>
  <si>
    <t>Mohammad Slaman Khan
+91 60068 01784
CT</t>
  </si>
  <si>
    <t>Deepak Kumar Dwivedi
8755050554
He is a dealer</t>
  </si>
  <si>
    <t>Hkicksind SNEAKERS
+91 81041 25437</t>
  </si>
  <si>
    <t>Mohd Islaam
+91 94142 85718
MH HOSPITAL malsisar 
Jhunjhunu Rajasthan ----
call after 5pm
for MRI</t>
  </si>
  <si>
    <t>Dr Vineet Singhal
+91 79886 00537
Panipat, Haryana
CT 128 slice</t>
  </si>
  <si>
    <t>~Arjun Singh
+91 70175 47436
aarogm hospital,
Saharanpur, U.P
CT Scanner</t>
  </si>
  <si>
    <t>Mohd Salman Khan
+91 98345 51742
CT scan cost</t>
  </si>
  <si>
    <t>~Vinitt Sengarr
+91 96690 11811
CDC-Multispeciality Diagnostic 
Near new bus stand Rewa, Rewa, Madhya Pradesh
CT needed</t>
  </si>
  <si>
    <t>Nishkam
+91 78811 66960
Neowise hospital
Khairthal alwar Rajasthan
MRI and CT</t>
  </si>
  <si>
    <t xml:space="preserve">~Natha Patil/ eknath madhukar gavhane
+91 96890 30825
</t>
  </si>
  <si>
    <t>BV Ramsinghani
+91 97691 58733
Mumbai
Dealer and investor</t>
  </si>
  <si>
    <t>~Lead India News
+91 94718 04862
Araria Bihar
GE CT Scan 16 slice</t>
  </si>
  <si>
    <t>dipti bhanu pahadsing
+91 80937 96605
need catalogue of all products</t>
  </si>
  <si>
    <t xml:space="preserve">dr hadi rizvi
+91 96222 81410
ct sacn </t>
  </si>
  <si>
    <t>~K.S. Jotheeswaran
+91 99621 27464
Chennai
He is a dealer</t>
  </si>
  <si>
    <t>somyadip
+91 96749 64234
Satabdi diagnostic
Kolkata , West Bengal
MRI price</t>
  </si>
  <si>
    <t>Shashikant Tiwari
+91 80024 35503
~BioQem Diagnostics
Gopalganj, Bihar</t>
  </si>
  <si>
    <t>~Dr. Nitin Naik
+91 96794 30640
Care n cure hospital . Siliguri
West Bengal,
CT scan machine</t>
  </si>
  <si>
    <t>Mohamamd Ubed Mirza
~MS DIAGNOSTIC TRADERS AND SURGICAL
+91 74678 58404
Dealer</t>
  </si>
  <si>
    <t>Mr. Gabriel Ranglong Halam
+91 6909 030 356</t>
  </si>
  <si>
    <t>~Vikas Chaudhary
+91 73004 87234
Dealer</t>
  </si>
  <si>
    <t>Rahul Kumar Sharma
+91 89468 16881</t>
  </si>
  <si>
    <t>abdullah
+91 6387 799 118
Azad hospital
Lucknow, UP, 
Catalogue of products</t>
  </si>
  <si>
    <t>~Rahul
+91 72928 10708
Koderma,Jharkhand</t>
  </si>
  <si>
    <t>~Pradum  Kashyap
+91 80906 18537
Bahraich, UP
MRI Price</t>
  </si>
  <si>
    <t>dr ram prakash singh rajput ,kgmc
+91 96342 33011
Luckhnow
Petct</t>
  </si>
  <si>
    <t>Jay Kumar Pal
+91 6394 838 690
New Hospital Opening Plan
Nighasan  road near Dhakherawa
Lakhimpur Kheri Uttar pradesh pin,262903</t>
  </si>
  <si>
    <t>~Dr Rajesh Patel
+91 99814 12208
Open new diagnostic center
Jabalpur, MP</t>
  </si>
  <si>
    <t>~Deepak Raj
+91 93890 59485
Bulandshahr, UP
CT and MRI</t>
  </si>
  <si>
    <t>Vikash Babu
+91 80778 39449
MRI and CT Price</t>
  </si>
  <si>
    <t>~Bashir Ahmed Laskar
+91 88763 03310
MRI</t>
  </si>
  <si>
    <t>Karthick
+91 70106 79176
Tirunelveli,Tamilnadu
He needs Seimens 32 slice CT not ready to take GE CT scanner</t>
  </si>
  <si>
    <t>~Pronoy Mondol
+91 91631 02585
Solution pet pathology
Kolkata , West Bengal</t>
  </si>
  <si>
    <t>~Mahipal sonigra Chouhan/Shiv
+91 96491 70010
barmer Rajasthan
open new hospital
PET CT and CATH lab</t>
  </si>
  <si>
    <t>Dr tejashwi hosmani
+91 80959 58899
Navajeevan hospital
gokak, karnataka
Cath lab</t>
  </si>
  <si>
    <t>~Amit Beniwal
+91 99900 07009
Ashakiran Hospital, Jhajjar, Haryana
Ct</t>
  </si>
  <si>
    <t xml:space="preserve">hasnat Khan
+91 84920 11922
jammu &amp; kashmir
16 slice ct </t>
  </si>
  <si>
    <t>DR A.K.MITTAL 
+91 98963 31197
MITTAL SURGICAL AND maternity hospital 
Ambala road 
Kaithal Haryana
64 slice CT</t>
  </si>
  <si>
    <t>Rohit
+91 95078 40184
Sitamarhi, Bihar
MRI and CT</t>
  </si>
  <si>
    <t>Anil mittal
+91 81686 41326
CT scan</t>
  </si>
  <si>
    <t>Mahmoodur Rahman
+91 88629 12098
Salman health care clinic
Birpur,  Supaul , Bihar 854340 
MRI and cath lab</t>
  </si>
  <si>
    <t>Sushil
+91 97979 09087
CT, MRI</t>
  </si>
  <si>
    <t>Sohel
+91 97497 30314
Mri ct</t>
  </si>
  <si>
    <t>~Dr Tejpratap Singh Tomar
+91 93997 42521
Bhopal, M.P
Cath lab</t>
  </si>
  <si>
    <t>Nagesh Kumar
+62 878-7563-5823
Nagesh Kumar clinic and dignostic
Hyderabad
MRI</t>
  </si>
  <si>
    <t>~Faheed Farooq Qureshi
+91 60061 94731
jammu and Kashmir
Mri 
(whatsapp only dont call him)</t>
  </si>
  <si>
    <t>vision eye care centre
+91 96388 14120
Vision Eye care center 
Rajpipla -393145
Dist:- Narmada 
Gujarat</t>
  </si>
  <si>
    <t>Muneer
+91 95962 50093
Near smhs hospital, Srinagar, Kashmir
ct</t>
  </si>
  <si>
    <t>~Abdul Salim
+91 60031 41015
Cath lab</t>
  </si>
  <si>
    <t>Dr Shankar
+91 96419 91989
Kolkata, West Bengal
MRI</t>
  </si>
  <si>
    <t>~Shubham Chattopadhyay
+91 93825 28707
Best cure Clinic
Kolkata West Bengal
Ct scanner</t>
  </si>
  <si>
    <t>Rishi
+91 89789 68181
Location: Kurnool , Andhra Pradesh
Hospital Name: Brain and spine center
Needs CT Scanner</t>
  </si>
  <si>
    <t>Tejas HC
+91 79755 20568
Location-sakaleshpura, Hassan, kanataka
ct and cath lab</t>
  </si>
  <si>
    <t>~Musheer Shafat
+91 82670 14515
City Hospital 
Amroha up
CT Scannner</t>
  </si>
  <si>
    <t>Khageshwar Sahoo
+91 73816 25652
CT</t>
  </si>
  <si>
    <t>Puspak Karna
+91 81441 43489
Gupta nursing home 
burla, sambalpur, Odisha
Mri . Ct scanner prices</t>
  </si>
  <si>
    <t>Hitendra Daiya
+91 98205 46393
Cardio Beat LLP
Goregaon West, Mumbai, Maharashtra
CAth Lab</t>
  </si>
  <si>
    <t>Shadanshu Shekahr Chaudhuri
+91 79786 03795
Private Clinic
Odisha
MRI and CT</t>
  </si>
  <si>
    <t>~Mahendra Saran
+91 75689 06724
Nagaur &amp; jodhpur, Rajasthan
MRI Machine</t>
  </si>
  <si>
    <t>Paul Rafson Jani
+91 95001 44229
Hospital under construction
Chennai, Tamil Nadu</t>
  </si>
  <si>
    <t>Bansal Chahal
+91 60052 79281
Jammu City
Needs pricing of all machines</t>
  </si>
  <si>
    <t>DHIREN
+91 95830 27728
Bhadrak, Odisha
MRI MACHINE</t>
  </si>
  <si>
    <t>Ayush Dwivedi
+91 80090 66674
Gangotri Paramedical
Nirwana Medicity
Raebareli Uttar Pradesh 
Needs MRI and CT</t>
  </si>
  <si>
    <t>Neeraj Gohri
+91 95182 06979
(He is a dealer)</t>
  </si>
  <si>
    <t>~swati pandey
+91 78007 07141
Needs Information</t>
  </si>
  <si>
    <t>~junaid khan
+91 70202 14926
Cost of MRI</t>
  </si>
  <si>
    <t>~Dr Pratik Rane
+91 98338 96774
Mumbai, Maharashtra
Wants to work as dealer</t>
  </si>
  <si>
    <t>Ratnesh Kumar
+91 88877 15962
gayatri clinic
sultanpur, uttar pradesh
MRI</t>
  </si>
  <si>
    <t>Sandeep PD
+91 73377 97254
price ct scanner</t>
  </si>
  <si>
    <t>Manash Majumdar
+91 90026 38880
MRI</t>
  </si>
  <si>
    <t>~Piyush Mundada
+91 95112 99192
refurbished mri</t>
  </si>
  <si>
    <t>shakil ahmed razaa
+91 94245 12652
Gwalior mp
Mri 7 tesla or 64 slice ct</t>
  </si>
  <si>
    <t>~Ankit Chauhan
+91 70653 18120
ct</t>
  </si>
  <si>
    <t>Debashri Narayan Deka
+91 60010 69970
send me the all machine price list</t>
  </si>
  <si>
    <t>Rahul Jain
+91 70076 03094
Paras diagnostic  center
Mahoba uttar pradesh 210427
CT</t>
  </si>
  <si>
    <t>~Dr Jagjit Singh Dandiwal
+91 80544 60065
dr jagjit eye hospital 
patiala, Punjab
16 slice Refub CT scan</t>
  </si>
  <si>
    <t>~Yash Singhal
+91 96356 13987</t>
  </si>
  <si>
    <t>~LANDLIGT GULD PVT Ltd
+91 76665 35701
Solapur, Maharashtra
CT</t>
  </si>
  <si>
    <t>Firu BAideow
+91 99546 87202
MRI</t>
  </si>
  <si>
    <t>~Muzamil Abdullah
+91 70066 91056
AL-HURR DIAGNOSTIC CENTRE
Anantnag, Kashmir</t>
  </si>
  <si>
    <t>~Aman Neyazi
+91 91179 47854
Town Diagnostics
Samastipur, Bihar
MRI</t>
  </si>
  <si>
    <t>~Dr. M. SarjeeL ALi
+91 91996 62277
Gaya, Bihar</t>
  </si>
  <si>
    <t>Safikul Ali
06001851977
Assam
MRI</t>
  </si>
  <si>
    <t>Faiz Amm
+91 75590 81677
Kochi
Mri &amp; ct</t>
  </si>
  <si>
    <t>Vishal Nagar
+91 73003 90648
kota, rajasthan
CT and MRI</t>
  </si>
  <si>
    <t>H Lal Ramchullova
+91 84140 49006
Med Aim Hospital 
Champhai , Mizoram
CT scanner and MRI</t>
  </si>
  <si>
    <t>Goutam Panda
+91 96925 80373
Berhampur, Odisha
Cath Lab</t>
  </si>
  <si>
    <t>Premjeet Kumar
+91 70151 53749
Bhagalpur, Bihar
CT Scanner</t>
  </si>
  <si>
    <t>~SKCC, Sansar
+91 96256 65855
Taranagar, Churu, Rajasthan
Details of all machines</t>
  </si>
  <si>
    <t>~Dr Vasii
+91 87004 61211
Prakash Ultrasound
CT</t>
  </si>
  <si>
    <t>Name-Ankur Mittal
Number: 8395358819
Need: CT scan ge 64 or 128
Source: FB</t>
  </si>
  <si>
    <t>~Dr Abhay Sharma
+91 70307 30150
Nautanwa/maharajganj 
Ùttar pradesh
CT Repair work needed</t>
  </si>
  <si>
    <t>Rudransh
+91 99298 99297
Chandra Ratan mri
Jaipur, Rajasthan
MRI 
Ct 
Cath lab</t>
  </si>
  <si>
    <t>SHYAMALENDU MANDAL
Satabdi diagnostic centre
+91 98369 10280
Kolkata, West Bengal
MRI</t>
  </si>
  <si>
    <t>~Krishna Diagnostics
+91 99971 04093
MS Hospital
Hapur 245101
CT MRI</t>
  </si>
  <si>
    <t xml:space="preserve">Gourab
+91 75508 79429
</t>
  </si>
  <si>
    <t>Mir Adil Rasool
+91 94190 03202
Anantang , Kashmir
CT</t>
  </si>
  <si>
    <t>~AKASH ROTE
+91 91581 58792</t>
  </si>
  <si>
    <t>~Meer Qayoom
+91 70065 76529
MRI</t>
  </si>
  <si>
    <t>KRISHNA 
+91 95893 30510</t>
  </si>
  <si>
    <t>~Himanshu Raj
+91 90651 94426</t>
  </si>
  <si>
    <t>~SARFARAZ HUSSAIN
+91 91177 86212
Sitamarhi, Bihar
CT</t>
  </si>
  <si>
    <t>Chaithanya 
+91 75696 37667
Tirupati, Andhra Pradesh
MRI and ct</t>
  </si>
  <si>
    <t>jay singh rajput
+91 93990 45242
CT scanner</t>
  </si>
  <si>
    <t>~Dr.O.P..MEENA
+91 94626 45530
Kota, Rajasthan
All machines</t>
  </si>
  <si>
    <t>~Mutaseen Rehman
+91 70065 37754
Budgam, Kashmir
Mri ct, N dexa scan</t>
  </si>
  <si>
    <t xml:space="preserve">~nihal dwivedi
+91 93356 83755
</t>
  </si>
  <si>
    <t xml:space="preserve">~बाबा सोना सिंह नर्सिंग पैरामेडिकल संस्थान सह अस्पताल परानपुर दिनारा रोहतास
+91 94302 11852
Rohtas, Bihar
CT scan machine </t>
  </si>
  <si>
    <t>Dr Sunil dutt 
+91 90195 51950
magadi road Bangalore
Cath lab, ct scanner, MRI</t>
  </si>
  <si>
    <t>~Dr. ABHINAV RASTOGI
+91 93503 00035
Meerut, uttar pradesh
cath lab</t>
  </si>
  <si>
    <t>~Dnyanesh Mundhe
+91 74996 15933
Sanjivani hospital Deesa Gujrat and Life care hospital junnar Pune
Pune Maharashtra and Deesa Gujrat</t>
  </si>
  <si>
    <t>amit verma
+91 84467 27781
Pet scan price</t>
  </si>
  <si>
    <t>shadab
+91 89546 59602
CT SCAN</t>
  </si>
  <si>
    <t>Jaydeep Yogeshbhai Dhandhiya
+91 99096 95200</t>
  </si>
  <si>
    <t>Devendra Ubale
+91 73505 72233
Max Neuro Hospital
Pune
He is a dealer</t>
  </si>
  <si>
    <t>~Jayachandran M
+91 96558 55558
New scan Center
Tirupur (Tamil Nadu)
Ooty (tamil Nadu)
Ct and mri</t>
  </si>
  <si>
    <t>~Kundan Verma
+91 99266 87637</t>
  </si>
  <si>
    <t>~sajad sultan lone
+91 94692 18309
Residential Polyclinic, Regipora 
Kupwara, Kashmir 193222
Refurbished CT</t>
  </si>
  <si>
    <t>H S Prabhu
+91 88802 18197
Bangalore
He is a dealer</t>
  </si>
  <si>
    <t>Rekha Jha
+91 91232 39643
~प्रधानमंत्री जन औषधि केंद्र ,प्राथमिक स्वास्थ्य केंद्र बासोपट्टी
Basopatti, Madhubani, Bihar
CT Scan Price</t>
  </si>
  <si>
    <t>C Manoj
+91 97425 07281
Chetana Multi Speciality Hospital
Kadur, Karnataka - 577548</t>
  </si>
  <si>
    <t>Rizwan Shaikh Bashir
+91 92252 44313
~Lucky Enterprises
Dhule Maharashtra
he is a dealer</t>
  </si>
  <si>
    <t>~Satish Sharma
+91 99114 24022
RAMRATI hospital kanjhawala 
Delhi - 81
Ct scan</t>
  </si>
  <si>
    <t>~Dr. Mohammad Rashid Siddiqui
+91 82527 98666
Cath Lab price</t>
  </si>
  <si>
    <t>Subir Samal
+91 82808 49909
9337984472
~VAIHNODEVI HEALTHCARE PVT LTD
Bhubneshwar, Orrisa
He is a dealer</t>
  </si>
  <si>
    <t>~Vineet
+91 97955 54065</t>
  </si>
  <si>
    <t>Prashant Dubey
+91 86304 50389
MRI</t>
  </si>
  <si>
    <t>Dr. AK Gupta and Dr. Alka Gupta
+91 70786 64242
~Shivam Global Hospital 
Etawah, Uttar Pradesh</t>
  </si>
  <si>
    <t>~Ankit Kumar Agrawal
+91 94505 01240
Agrawal pharma 
gorakhpur, Uttar Pradesh
MRI CT scanner</t>
  </si>
  <si>
    <t>Didige Karthik
+91 97000 05848
Hyderabad
CT scan and cath lab</t>
  </si>
  <si>
    <t>~Muthuraj Durai
+91 81109 52610
CT</t>
  </si>
  <si>
    <t>Suryansh Pratap Singh
+91 91206 31620
Maya diagnostic center, Chakia 
Chandauli (Varanasi) Uttar Pradesh
Ct scan machine</t>
  </si>
  <si>
    <t>Dr. Kuldeep Singh / Pnakaj Kumar
+91 70870 15813
AIIMS Sanjivani Hospital and Trauma Center
(Ankur Intensivecare Institute of Medical Science)
Jalandhar, Punjab</t>
  </si>
  <si>
    <t>~Somya Ranjan
+91 82606 78478
 open a new diagnostic centre
Ganjam, Odihsa
CT</t>
  </si>
  <si>
    <t>~Dr Rahul Mishra
+91 89725 07377
AG hospital
Pathalgaon, Jashpur, Chhastisgarh
Ct scan
(Call after 2pm)</t>
  </si>
  <si>
    <t>~Kunal Gandhi
+91 95032 01021
Unique hospital
Phaltan City
Maharashtra
philips fd 10 cath lab</t>
  </si>
  <si>
    <t>~Sanjeev Kumar
+91 99349 95525
Bhagalpur, Bihar
GE CT scanner</t>
  </si>
  <si>
    <t>~Vivek M
+91 93450 03030
BMCH speciality hospital</t>
  </si>
  <si>
    <t>~Sanatan Dash
+91 94372 50566
Ramadevi nursing home
Medical road ,Ghasipura, keonjhar ,Odisha
Ct 16 slice</t>
  </si>
  <si>
    <t>~Dr Bimal Subash
+91 94463 73920
Kozhikode, Kerela
Prices of all equipments</t>
  </si>
  <si>
    <t>~Dr. Rakesh Raushan
+91 84028 08584
Jehanabad bihar
refurbished Mri cost</t>
  </si>
  <si>
    <t>~YASH JANGID
+91 78498 81990
Mri and ct</t>
  </si>
  <si>
    <t>~Abdullah Sekh
+91 6289 964 402
Uluberia diagnostic center
Bazarpara, Uluberia 
Howrah, 711316 West Bengal
MRI &amp; CT</t>
  </si>
  <si>
    <t>Jeherul , JD
+91 70023 85350
Jalkara, Assam, 781352
Price of all machines</t>
  </si>
  <si>
    <t>Ankalesh Gopal Kamble
+91 74980 50626
Information of cath lab</t>
  </si>
  <si>
    <t>~Prabhat Sahu
+91 88406 44267
Kanpur nagar, Uttar Pradesh
Open new diagnostic center</t>
  </si>
  <si>
    <t>karan dharwe
+91 82849 77070
Prices of all machine</t>
  </si>
  <si>
    <t>Shaym Yadav
7240162356</t>
  </si>
  <si>
    <t>Abdul Hadi
+91 70518 05919
Kargil, Ladakh
 ct scanner</t>
  </si>
  <si>
    <t>~Dr Vinay Singh 
+91 99567 51296</t>
  </si>
  <si>
    <t>Name- Xrayctmri Trading Hub
Number:7045891914
Need: Essenza MRI
Source:Fb
(He is a dealer)</t>
  </si>
  <si>
    <t>Md Aves
~MTS MEDICAL AGENCY
+91 6202 310 052
Sahara Hospital Team
Line bazar purnia
Purnia Bihar
CT</t>
  </si>
  <si>
    <t>~Uzair Yaseen
+91 88990 90206
Baramulla , Kashmir
Cath lab</t>
  </si>
  <si>
    <t>Anup Bhakta
9051209150
Peerless Hospital
Kolkata, West Bengal</t>
  </si>
  <si>
    <t>Anup De
+91 90733 50907
AIM Healthcare
CT scan machine required</t>
  </si>
  <si>
    <t>~Deep Kamboj
+91 79734 04574
Sirsa haryana
16 slice Ct machine required</t>
  </si>
  <si>
    <t>~Sk Chakravarty
+91 99279 03813
Saifai, Etawah Uttar Pradesh</t>
  </si>
  <si>
    <t>Arun Malviya
+91 91317 34565
A R Enterprises 
indore, M.P
CT scan</t>
  </si>
  <si>
    <r>
      <rPr>
        <rFont val="Arial"/>
        <color theme="1"/>
      </rPr>
      <t xml:space="preserve">~Rajesh Prasad
+91 90063 12730
A R medical solution, Patna
machine needed in </t>
    </r>
    <r>
      <rPr>
        <rFont val="Arial"/>
        <b/>
        <color theme="1"/>
        <sz val="12.0"/>
      </rPr>
      <t xml:space="preserve">nepal
</t>
    </r>
    <r>
      <rPr>
        <rFont val="Arial"/>
        <color theme="1"/>
      </rPr>
      <t xml:space="preserve">16 slice ct </t>
    </r>
  </si>
  <si>
    <t>~RAVI KUMAR Singh
+91 94309 91316
 region--Bihar, Jharkhand and Udisha
(He wants to become dealer)</t>
  </si>
  <si>
    <t>Sandip Narayan Deb
+91 88370 03614
Agartala, Tripura
Need to know prices of all machines</t>
  </si>
  <si>
    <t>~Aaqib Nazir
+91 60062 94250
Doda, Kashmir
 jammu  and  kashmir
Needs Ct Scanner</t>
  </si>
  <si>
    <t>~S RAVICHANDRAN
+91 6380 907 249
Tamilnadu 
Wants to work as dealer in Tamil Nadu Region</t>
  </si>
  <si>
    <t>~sathish katkoori
+91 85018 19796
Aarogya Hospital
Hyderabad
Ct Scanner</t>
  </si>
  <si>
    <t>Ram Raghuwanshi
+91 78038 75022
Bhopal M.P
Call after 3 pm</t>
  </si>
  <si>
    <t>~Prashant Das
+91 96617 90777
Ranchi Jharkhand
Need cath lab</t>
  </si>
  <si>
    <t>Tabish
+91 91494 24575
need CT</t>
  </si>
  <si>
    <t>Name- Anan Al-Tell
Number: 00970592196761
Need: CT Scan Machine
Country: Palestinian</t>
  </si>
  <si>
    <t>Asim Amitabh Swain
+91 72058 56278
Premasheela diagnostic
Sonepur odisha
Pet ct</t>
  </si>
  <si>
    <t>Shiva
+91 6305 285 221
Required MRI and CT</t>
  </si>
  <si>
    <t>Sharad
+91 95991 96762
Savvy Biotechnol
Delhi -NCR - Noida
savvybiotechnol@gmail.com </t>
  </si>
  <si>
    <t>Binu R
+91 99944 30307
~JAMYS CARE PRODUCTS
CBH HOSPITALKANYAKUMARI
ct machine</t>
  </si>
  <si>
    <t>~Sudhanshu Tiwari
+91 79055 16775</t>
  </si>
  <si>
    <t>Sivasankar K V
9865532388
New Delhi,
PET CT</t>
  </si>
  <si>
    <t>Akash prasad
+91 86049 03584
Aastha diagnostic Banaras
Varanasi, Uttar Pradesh
MRI</t>
  </si>
  <si>
    <t>Arun Kumar
+91 78690 36056
~Shivay Hospital
Ct scan 32slice</t>
  </si>
  <si>
    <t>Vikash Yadav
+91 6205 617 347
J.n digital xray
Kotwa, motihari, Bihar
CT</t>
  </si>
  <si>
    <t>~DHEENA.M
+91 73389 09078
Chennai, tamil nadu</t>
  </si>
  <si>
    <t>Pradhyuman Mansare
+91 97536 93768
~Lupin Diagnostic</t>
  </si>
  <si>
    <t>~Budha hang Subba
+91 93826 12717
open new clinic
Namchi,sikkim
CT scan machine</t>
  </si>
  <si>
    <t>Krihsna Solanki
+91 96446 92159
Shree balaji hospital
Thikari, Indore
Ct price</t>
  </si>
  <si>
    <t>~Adil(Ammar)
+91 92796 95609
Kishanganj Bihar
CT SCAN</t>
  </si>
  <si>
    <t>~pradip vekariya
+91 97244 53056
Gujarat</t>
  </si>
  <si>
    <t>M Sanjeev Kumar
+91 73825 06808
Kuppam
Chittoor,Andhra Pradesh
MRI</t>
  </si>
  <si>
    <t>~Heart Centre
+91 81715 48836
Maa Savitri hospital
Mathura uttar pradesh
CT scan</t>
  </si>
  <si>
    <t>~Syed Muqtadeer
+91 78939 58408
MRI</t>
  </si>
  <si>
    <t>jay singh rajput
+91 6262 890 194
CT Scan</t>
  </si>
  <si>
    <t>Unknown
+91 76030 59306
PET Scan, Gamma Camera</t>
  </si>
  <si>
    <t>~Gagan DhiMan
+91 97291 64321
catalogue of products</t>
  </si>
  <si>
    <t>Aravind
+91 90877 69144
Chennai
CT</t>
  </si>
  <si>
    <t>Ananta Gouda / Rinku
+91 81440 27379
Narayani fetal medicine center
Bhubaneswar, Odisha
CT scanner</t>
  </si>
  <si>
    <t>Mithun Kumar Jena
Micro Diagnostics
Talcher, Angul, Odisha-759103</t>
  </si>
  <si>
    <t>Amir Rsahid
+91 99061 61093
Jammu &amp; Kashmir
pet scan machine price</t>
  </si>
  <si>
    <t>~Dr Aakash Karamta
+91 94082 56967
Rajkot, Gujarat
Ct scanner</t>
  </si>
  <si>
    <t>Sanju Lata Dash
8328907552
CT</t>
  </si>
  <si>
    <t>Shailendra Chauhan
9506437206
ct</t>
  </si>
  <si>
    <t>mohammad umar khanday
+91 96229 60188
Accurate diagnostic center
Anantnag, Jammu and Kashmir
Mri rate</t>
  </si>
  <si>
    <t>Arjun
+91 95064 37205
Shubham hospital and diagnostic centre
Azamgarh up
CT machine</t>
  </si>
  <si>
    <t>~Dr.rahul Mehra
+91 79736 06993
Rahul healthcare clinic
Amritsar , Punjab</t>
  </si>
  <si>
    <t>Rahul Biswas
+91 95318 43345</t>
  </si>
  <si>
    <t>Gaurav Mittu
+91 90561 47668
YL Pharma
Baddi, Himachal Pradesh
send pics with price i need ct/mr/cath lab</t>
  </si>
  <si>
    <t>Manzoor Bhat
+91 99066 42740
Jammu and kashmir</t>
  </si>
  <si>
    <t>Alfajuddin Ahmed
+91 74788 52442
Dhuliyan
District:Murshidabad
West Bengal,
CT and MRI machine</t>
  </si>
  <si>
    <t>Suresh Kumar Vyas
+91 89288 98366
Mumbai 
They are dealer</t>
  </si>
  <si>
    <t>~Vikiy Choudhary
+91 78777 25249
Cath Lab</t>
  </si>
  <si>
    <t>Mohd. Asif
+91 82926 23996
Cath Lab</t>
  </si>
  <si>
    <t>Siddeshwar
+91 99600 56322
need lead apron</t>
  </si>
  <si>
    <t>~sakshi saini
+91 95281 18761</t>
  </si>
  <si>
    <t>Srikanth
+91 90300 78878
Hyderabad
(Wants to work as a dealer)</t>
  </si>
  <si>
    <t>Shaik RAHAMATH Basha
+91 91001 62015
Kurnool, Andhra Pradesh
needs AMC/CMC service packages</t>
  </si>
  <si>
    <t>Dipak Shelar
+91 78220 80311
MRI machine</t>
  </si>
  <si>
    <t>Tufazzal Hoque
+91 98646 17021
MRI</t>
  </si>
  <si>
    <t>R. Khan
+91 80527 81364
 CT scan</t>
  </si>
  <si>
    <t>~SHAKTI SHEKHAWAT
+91 89494 64931
Marudhara hospital 
Nagaur, Rajasthan
CT</t>
  </si>
  <si>
    <t>~Nikhil Tomar
+91 90847 59484
choudhary clinic
Bijnor, Uttar Pradesh
Ct scan</t>
  </si>
  <si>
    <t>Faizan Ansari
+91 73484 73347
CT scan</t>
  </si>
  <si>
    <t>Suresh Kumar
8872321567 (call on this number)
+91 83609 20338
Mohali, Punjab</t>
  </si>
  <si>
    <t>Abdul Vahid K P
+91 79073 43011
kannur kerala
Ct scanner</t>
  </si>
  <si>
    <t>Babban Chauhan
+91 73984 20121
all machine price</t>
  </si>
  <si>
    <t>uday bhan yadav
+91 80102 38111
Deoria, up
64 CT machine</t>
  </si>
  <si>
    <t>~Ashish sharma
+91 99815 42300
Raipur, Chhatisgarh
Mri 1.5 t price</t>
  </si>
  <si>
    <t>Sajid Ali Mansoori
+91 82358 69117
all machine prices</t>
  </si>
  <si>
    <t>Dr Vishal Jaiswal 
TEC BAMS
+91 90058 51297
Jabalpur , Madhya Pradesh
Send cotation 16 slice and 32 slice machine</t>
  </si>
  <si>
    <t>~Partha Chakraborty
+91 98510 03789
Kolkata, West Bengal
Need catalogue of all products</t>
  </si>
  <si>
    <t>~Dr.Arpit Pal
+91 97200 36331
MRI and CT scanner</t>
  </si>
  <si>
    <t>Midhun A
+91 90720 00021
Doctors Hospital
Kasargod, Kerala
ct and Cathlab</t>
  </si>
  <si>
    <t>sahil
+91 6283 638 081
Kumar super scan centre,
Hardochanni road, Gurdaspur(143521), Punjab
32 slice ct or-1.5 Tesla mri</t>
  </si>
  <si>
    <t>~Arif sheikh
+91 88569 37550
Nagpur, Maharashtra
ct scan</t>
  </si>
  <si>
    <t>Rakesh Saini
+91 99276 11184
Ares medical solutions
Meerut, UP
Pet and mri</t>
  </si>
  <si>
    <t>Golam Mostafa
+91 89007 64391
malda, west bengal
Want to work as dealer</t>
  </si>
  <si>
    <t>~Prafull Patel
+91 72689 27630
modern pathology &amp; x ray
Bindki Fatehpur  UP 212635
Query for DEXA and CT</t>
  </si>
  <si>
    <t>~Balraj Singh Goraya
+91 95016 05333
Ct</t>
  </si>
  <si>
    <t>Viksit Singh
+91 78273 14085
Diagnostic Center
Mainpuri Uttar Pradesh 
Refurbished CT scan</t>
  </si>
  <si>
    <t>Sharmila T
+91 93609 36100
Chennai</t>
  </si>
  <si>
    <t>~Yash Mukati
+91 70240 47008
need a bronchure with all of products and their prices</t>
  </si>
  <si>
    <t>Adil Saghir
+91 96933 53225
~Sagman Health Pvt Ltd
Bangalore, Karnataka</t>
  </si>
  <si>
    <t>Manoj Kumar
+91 81028 44295
CT-SCAN, AND MRI MACHINE
Bangalore</t>
  </si>
  <si>
    <t>suhas gaikwad
+91 77579 71035
Shree.Siddhivinayak Diagnostic Centre,Rashin
Ahmednagar, Maharashtra</t>
  </si>
  <si>
    <t>~AAKASH SURGICAL &amp; PHARMA
+91 76001 04048</t>
  </si>
  <si>
    <t>𝓡𝓪𝓿𝓲 𝓟𝓪𝓻𝓪𝓽𝓪𝓹 𝓜𝓪𝓾𝓻𝔂𝓪
+91 84629 98802
Manager and Coordinater In Shalby cancer Surgical, Radiation and Medical Department ♋</t>
  </si>
  <si>
    <t>Chetan
8446756452
Source-- Website/google Forms</t>
  </si>
  <si>
    <t>Name- Narendra singh
Need: 1.5T MRI Machine
Number: 86027 57272 
Source:fb</t>
  </si>
  <si>
    <t>Gopi Nath
+91 70761 08108
Sulur, Coimbatore, Tamil Nadu
Cath lab</t>
  </si>
  <si>
    <t>Devanatan Moorthy
+91 96008 79733
esha biomedical services</t>
  </si>
  <si>
    <t xml:space="preserve">Rajesh Goud/ Ridhi
+91 96033 42941
Hyderabad
MRI, CT machine Price, </t>
  </si>
  <si>
    <t>Mohammad Masoom Ashraf
+91 97085 60032
Motihari bihar
want all pics with quotation</t>
  </si>
  <si>
    <t>~Mohit Dabariya
+91 86960 49727
Ajmer rajasthan
Ct machine</t>
  </si>
  <si>
    <t>~Dr.VK Yadav
+91 79859 88003</t>
  </si>
  <si>
    <t>~Dr. Naveen Taxak
+91 70569 09909</t>
  </si>
  <si>
    <t>S.K Najrul
+91 79089 78011
8918115154
Annapurna Nursing Home
Purba Bardhaman- West Bengal</t>
  </si>
  <si>
    <t>Sachin
+91 95343 49182</t>
  </si>
  <si>
    <t>~Abhay Patel
+91 99988 57466
Ahmadabad, Gujarat
Pet CT</t>
  </si>
  <si>
    <t>Divya Mohan Dwivedi
+91 87369 30382
Prayagraj u.p
multiplt machine required</t>
  </si>
  <si>
    <t>Harsh Sabharwal
+91 75030 16600
All products</t>
  </si>
  <si>
    <t>~Lovepreet Sandhu
+91 6280 932 309
Ct and mri</t>
  </si>
  <si>
    <t>~Dr Sushil
+91 88033 71165
Jammu, J&amp;K</t>
  </si>
  <si>
    <t>Tara Ram
+91 99292 58444
Jodhpur Rajasthan
CT and MRI</t>
  </si>
  <si>
    <t>Mali Ram Nitharwal
+91 87697 71777
~Shekhawati hospital khandela 
sikar, Rajasthan</t>
  </si>
  <si>
    <t>~Pradeep Kumar Verma
+91 90765 02873</t>
  </si>
  <si>
    <t>~Chandra shekhar
+91 88517 44503</t>
  </si>
  <si>
    <t>Ravi
+91 99344 50273
He wants to sell his CT - GE Brivo</t>
  </si>
  <si>
    <t>~Prashant Chavan
+91 99607 99809
Surat - gujrat
Siliguri- west bengal
Cath Lab</t>
  </si>
  <si>
    <t>~Sunny
+91 99036 57291
Refurbished ct mri cath lab</t>
  </si>
  <si>
    <t>op goswami
+91 6260 027 709
Rajasthan and New Delhi (Rohini)
CT scan machine</t>
  </si>
  <si>
    <t>~Dr Aditya Raushan
+91 87894 21475</t>
  </si>
  <si>
    <t>~prince Tripathi
+91 6391 896 168
Ct scanner</t>
  </si>
  <si>
    <t>~HARPREET SINGH MINHAS
+91 98675 61313
Mumbai Bandra East
MRI</t>
  </si>
  <si>
    <t>Kamlesh
+91 77427 98472
Apex hospital
Churu, Rajasthan
Full daignosis centre --Xray 500 ma---Ctscan 64 slice ---Mri 3T-----USG colour Doppler</t>
  </si>
  <si>
    <t>~Qayoum
+91 70064 41238
M R I needed</t>
  </si>
  <si>
    <t>Unknown
+91 89609 47742
MRI &amp; PET CT</t>
  </si>
  <si>
    <t>~Mohinder Viswanath
+91 98409 52301
MRI</t>
  </si>
  <si>
    <t>Amit Kumar Tiwari
+91 81479 11443
Maa mundeshwari clinic
Sasaram
Bihar</t>
  </si>
  <si>
    <t>kamal
+91 98250 79224
Rajkot gujarat
refurb 1.5 tesla mri</t>
  </si>
  <si>
    <t>New Leads will be added in 2025 ------Worksheet--- Switch to that sheet</t>
  </si>
  <si>
    <t xml:space="preserve">Date </t>
  </si>
  <si>
    <t>facebook - 9960486644</t>
  </si>
  <si>
    <t>Name- Md Yunus
Source- FB Query
Mobile +8801614757307
Need- Cath lab or PET CT
Profile- Director Media and Publications at Tour Operators Association of Bangladesh TOAB</t>
  </si>
  <si>
    <t>Name- Jeevan Shrestha
Gmail- gbanstha@gmail.com
Location- Former Medical Officer in the Medical oncology department at Nepal Cancer Hospital &amp; Research Center
Requirement- PET CT
Source- FB Queery
Want brochure/quotations on email first.
Then he'll share contact detail</t>
  </si>
  <si>
    <t>Name- Sakham jain
Number- 9041768058
Need- CT Scan
Source- FB
Profile- Consultant Neurologist at Park Group of Hospitals</t>
  </si>
  <si>
    <t>Name- Sanjeevani CBCC USA Cancer Hospital-SCCH
Number- 9827198129
Need- MRI Machine
Source- FB
Profile- Sanjeevani CBCC USA Cancer Hospital-SCCH
Location- Pachpedi Naka,, Raipur, India, Chhattisgarh</t>
  </si>
  <si>
    <t>Name- Naman Sharma
Number- 9928365484
Requirement- CT Scan
Location-Jaipur, Rajasthan (Apex Ranthambore Sevika Hospital)</t>
  </si>
  <si>
    <t>Name- Puspender
Phone- 8696598283
Need- Refurbished ACT Revolution CT Machine
Source- FB
Location- Palwal</t>
  </si>
  <si>
    <t>Name- Dedarul Alam Rubel
location- Bangladesh (Chittagong)
Phone Number- +8801818782205
Sell - 2 (Quantity) GE Dead CT Scan Machine
Source - FB
wants to sell his CT</t>
  </si>
  <si>
    <t>Name- Jitendra Mehta
Number- 7050780569
profile- MBBS,MD ( general physician )
Need- MRI Machine
Source- Fb</t>
  </si>
  <si>
    <t>Name- Ajit Sihag
Location- Tohana (Haryana)
Need- CT Scan
Number- 9467947575
Source- Fb</t>
  </si>
  <si>
    <t>Name- Anmol Sethi
Mobile- 9871371100
Need - MRI &amp; CT
Location- Gurgaon, Haryana
Profile Reference- dranmolsethi.com
Source- Fb</t>
  </si>
  <si>
    <t>Name- Ranjit Bhandari
Phone -9284838792
location- Batala Punjab
Profile- Owner and MD Bhandari hospital Batala Punjab India
Need- MRI OR CT
Source- FB</t>
  </si>
  <si>
    <t>Name- Dipendra Yadav 
Need- CT Machine
Location- Nepal (Janakpur)
Mobile- +9779817867666
source- Fb</t>
  </si>
  <si>
    <t>Name- Ismail Yagoub Ismail
Number -+917330980229
Location- Africa
Need- MRI OR CT</t>
  </si>
  <si>
    <t>Name- Sureshkumar chandran DRM,DNB,FEBNM
Location- Tamilnadu
Need- PET CT
Number- 9747709995</t>
  </si>
  <si>
    <t>Name -Drparash
Number- 9033320713
Location -Gujarat, India
Need- CT Machine
Profile -Morbi Civil Hospital</t>
  </si>
  <si>
    <t>Name- Vincent Oduong 
Number-+254720448714        
Need - 1.5T MRI Machine        
Location- Kenya        
Source- Fb</t>
  </si>
  <si>
    <t>Name- Professor Dr. Khaled (Zayed) Alawneh                
Profile - Professor of interventional neuroradiology                
Number  +962795314555                
Need - MRI Machine                
Location- Irbid, Jordan                
Email- khaledalawneh@yahoo.com                
Source-Fb</t>
  </si>
  <si>
    <t>Name- Dr Madan Mohan Gupta DM Neurointerventionalist
Number- 9726717964
Need- Imaging equipment
Location- Jaipur
(Not clear about his requirement)</t>
  </si>
  <si>
    <t>Name- Muhammad Hassan Raza 
Number- +923076546048
Need- 1.5 T MRI Machine
Location- Pakistan</t>
  </si>
  <si>
    <t>Name- Gagandeep Chauhan
Location- Delhi
Profile- Radiologist
8587998808
Need- CT Machine &amp; MRI (want quotation)
Gmail Id- gagan.chauhan93@gmail.com
Source- LinkedIn</t>
  </si>
  <si>
    <t>Name- Fahed Amer
Location-  Dubai, United Arab Emirates
Number- 00971555287667
Need-  GE 64 CT tube</t>
  </si>
  <si>
    <t>Name- Tsetse Vinyo 
Location- Nigeria
Need- MRI magnet
number -+233598258173
source- fb</t>
  </si>
  <si>
    <t>Name- MD Anamul Haque Munir 
Number- 01714564398
Location- Gopalganj, Dhaka, Bangladesh
Need- CT machine 64 Slice
Source- Fb</t>
  </si>
  <si>
    <t>Name- Umesh Kumar
Location- Delhi
Number- 9917088887
Need- MRI Machine
Source- Fb
Profile- surgica</t>
  </si>
  <si>
    <t>Name- Dr. Rishabh Kadam
Need- MRI (Asking Price)
Numbwe-9657398448 
Location- Kolhapur, Maharashtra, India
Profile -MS Orthopaedic (JR3)
Source- Linkedin</t>
  </si>
  <si>
    <t>Name- Pradeep Raksha
Number-9168912663
Need- Helium
Location- Pune
Source- Fb</t>
  </si>
  <si>
    <t>Name- Dr.Sandeep Chude
Number- 9021084155 
Location- MD Radiologist
Need- MRI Machine
Source- Linkedin</t>
  </si>
  <si>
    <t>Name- Prashant Gupta 
Location-Jaipur, Rajasthan, India  
Number- 9414043747
Need- PET-CT
Profile- Founder &amp; Managing Director 
Source- Linkedin</t>
  </si>
  <si>
    <t>Name- General care_medico
Gmail- info@generalcaremedico.com
need- Catlog GE MRI Machine
Source- Fb</t>
  </si>
  <si>
    <t>Name- Jitu Kuamar
Number- 8851066291
Location- Delhi
Selling- Damaged MRI Machine (GE &amp; Siemens)
Source- Fb</t>
  </si>
  <si>
    <t xml:space="preserve"> Date</t>
  </si>
  <si>
    <t>Source of Lead</t>
  </si>
  <si>
    <t>Requirement</t>
  </si>
  <si>
    <t xml:space="preserve">City </t>
  </si>
  <si>
    <t xml:space="preserve"> STATE </t>
  </si>
  <si>
    <t xml:space="preserve">CENTER/ Hospital NAME </t>
  </si>
  <si>
    <t xml:space="preserve">CENTER ADDRESS </t>
  </si>
  <si>
    <t xml:space="preserve">Pincode </t>
  </si>
  <si>
    <t xml:space="preserve">CONTACT PERSON DETAIL </t>
  </si>
  <si>
    <t xml:space="preserve">E-MAIL ID </t>
  </si>
  <si>
    <t xml:space="preserve">Contact No </t>
  </si>
  <si>
    <t>REMARKS</t>
  </si>
  <si>
    <t xml:space="preserve">Lead Type </t>
  </si>
  <si>
    <t>Remark</t>
  </si>
  <si>
    <t>LinkedIn</t>
  </si>
  <si>
    <t>CT Scan</t>
  </si>
  <si>
    <t xml:space="preserve">Bhubaneswar, </t>
  </si>
  <si>
    <t>Orrisa</t>
  </si>
  <si>
    <t>Kalinga Institute of Industrial Technology,</t>
  </si>
  <si>
    <t>KIIT, Bhubaneshwar</t>
  </si>
  <si>
    <t xml:space="preserve">DR Mayank Goyal
</t>
  </si>
  <si>
    <t>https://www.linkedin.com/in/dr-mayank-g-a9a395243/</t>
  </si>
  <si>
    <t>Facebook</t>
  </si>
  <si>
    <t>MRI 3.0T</t>
  </si>
  <si>
    <t>Dhangadhi</t>
  </si>
  <si>
    <t>Nepal</t>
  </si>
  <si>
    <t>Saroj Bhatta</t>
  </si>
  <si>
    <t xml:space="preserve">jaipur </t>
  </si>
  <si>
    <t xml:space="preserve">Rajasthan </t>
  </si>
  <si>
    <t xml:space="preserve">jay ct scan </t>
  </si>
  <si>
    <t xml:space="preserve">Naman sharma
</t>
  </si>
  <si>
    <t>naman198811@gmail.com</t>
  </si>
  <si>
    <t>Required Helium gas and machine</t>
  </si>
  <si>
    <t>Baroda</t>
  </si>
  <si>
    <t xml:space="preserve">gujarat </t>
  </si>
  <si>
    <t xml:space="preserve">Vikas Patel
</t>
  </si>
  <si>
    <t>vpvp21340@gmail.com</t>
  </si>
  <si>
    <t>Requriement 1.5T MRI</t>
  </si>
  <si>
    <t>Bangladesh</t>
  </si>
  <si>
    <t xml:space="preserve">MD Shamin Reza
</t>
  </si>
  <si>
    <t>vpvp42182@gmail.com</t>
  </si>
  <si>
    <t>Want- 1.5 MRI &amp; Services</t>
  </si>
  <si>
    <t xml:space="preserve">kozhikode
</t>
  </si>
  <si>
    <t>kerela</t>
  </si>
  <si>
    <t xml:space="preserve">medicare diagnostic </t>
  </si>
  <si>
    <t>FCC Building, Mavoor Rd, near Federal Bank Tower, Arayidathupalam, Kozhikode, Kerala 673016</t>
  </si>
  <si>
    <t>Dileeps Raj</t>
  </si>
  <si>
    <t xml:space="preserve">91 8943193513 Mr. Shahul Shoukkagh ( marketing person )
</t>
  </si>
  <si>
    <t>dileep.raj.janardhan@gmail.com</t>
  </si>
  <si>
    <t>Imaging Equipment</t>
  </si>
  <si>
    <t>Jodhpur</t>
  </si>
  <si>
    <t>Rajasthan</t>
  </si>
  <si>
    <t xml:space="preserve">Jain Nursing Home
</t>
  </si>
  <si>
    <t>H-2/3, 3rd St, Adarsh Colony, Neelpur, Rajpura, Punjab 140401</t>
  </si>
  <si>
    <t>Dr. Saksham Jain</t>
  </si>
  <si>
    <t>saksham60@gmail.com</t>
  </si>
  <si>
    <t>PNDT</t>
  </si>
  <si>
    <t>MRI</t>
  </si>
  <si>
    <t>Kabul</t>
  </si>
  <si>
    <t>Afghanistan</t>
  </si>
  <si>
    <t>Pamir Limited</t>
  </si>
  <si>
    <t>Mudasir / Mujibullah Alamyar</t>
  </si>
  <si>
    <t>1.5T HDXT MRI</t>
  </si>
  <si>
    <t>Deesa</t>
  </si>
  <si>
    <t>Gujarat</t>
  </si>
  <si>
    <t>Popularimaging Ct Scan</t>
  </si>
  <si>
    <t>ahamadanagar</t>
  </si>
  <si>
    <t>Yoges thorat</t>
  </si>
  <si>
    <t xml:space="preserve"> MRI Machine</t>
  </si>
  <si>
    <t>delhi</t>
  </si>
  <si>
    <t>Delhi</t>
  </si>
  <si>
    <t>Sumit Suneja</t>
  </si>
  <si>
    <t>LinkedIN</t>
  </si>
  <si>
    <t>South Delhi</t>
  </si>
  <si>
    <t>Dharmshila Hospital, Delhi</t>
  </si>
  <si>
    <t>Anup Kumar</t>
  </si>
  <si>
    <t>He is a radiotechnologist</t>
  </si>
  <si>
    <t>new center in Mathura</t>
  </si>
  <si>
    <t>1.5T MRI</t>
  </si>
  <si>
    <t>Vikram Singh</t>
  </si>
  <si>
    <t>MRI MACHINE</t>
  </si>
  <si>
    <t>Hapur/Delhi</t>
  </si>
  <si>
    <t>Uttar Pradesh / DELHI</t>
  </si>
  <si>
    <t>Jahid Khan</t>
  </si>
  <si>
    <t>khanjhaid281@gmail.com</t>
  </si>
  <si>
    <t>want- CT Machine</t>
  </si>
  <si>
    <t>jaipur</t>
  </si>
  <si>
    <t xml:space="preserve">Nitesh choudhary
</t>
  </si>
  <si>
    <t>Want ct &amp; Mri both</t>
  </si>
  <si>
    <t>PUNE</t>
  </si>
  <si>
    <t>Maharashtra</t>
  </si>
  <si>
    <t>New setup</t>
  </si>
  <si>
    <t xml:space="preserve">Mr. Yogesh Thorat </t>
  </si>
  <si>
    <t>MRI &amp; CT scan</t>
  </si>
  <si>
    <t xml:space="preserve">Shahid Khan </t>
  </si>
  <si>
    <t>Dr Kapil Saoji</t>
  </si>
  <si>
    <t xml:space="preserve">    Need A CT Scan Machine</t>
  </si>
  <si>
    <t xml:space="preserve">Dr Shah </t>
  </si>
  <si>
    <t xml:space="preserve">Need A CT Scan Machine
</t>
  </si>
  <si>
    <t xml:space="preserve">Devendra Rahangadae  </t>
  </si>
  <si>
    <t>Need- CT Scan</t>
  </si>
  <si>
    <t>Rampur, U.P</t>
  </si>
  <si>
    <t>Uttar Pradesh</t>
  </si>
  <si>
    <t>Director at Ganga hospital,</t>
  </si>
  <si>
    <t>Dr Muhammad Azeem</t>
  </si>
  <si>
    <t>want to sell his cath lab to us</t>
  </si>
  <si>
    <t>Vadodara</t>
  </si>
  <si>
    <t>Gujrat</t>
  </si>
  <si>
    <t xml:space="preserve">
Sarv multispeciality hospital
</t>
  </si>
  <si>
    <t>Mr. Devang bhatt</t>
  </si>
  <si>
    <t xml:space="preserve">
+91 99984 99696
and
+91 6353 379 828</t>
  </si>
  <si>
    <t xml:space="preserve">Upgrade CT Machine of slice
</t>
  </si>
  <si>
    <t>Gobara Ghati</t>
  </si>
  <si>
    <t>Odisha</t>
  </si>
  <si>
    <t xml:space="preserve">CENTER HEAD AT TATA STEEL MEDICA HOSPITAL
</t>
  </si>
  <si>
    <t>XX8Q+8HG, Kalinga Nagar, PO: Madhuban, Gobara Ghati, Odisha 755026</t>
  </si>
  <si>
    <t xml:space="preserve">Biswajit Dehury
</t>
  </si>
  <si>
    <t xml:space="preserve">biswajit.dehury@medicasynergie.in
</t>
  </si>
  <si>
    <t xml:space="preserve">Phone number- 09936832907
</t>
  </si>
  <si>
    <t>need cath lab</t>
  </si>
  <si>
    <t>Chennai</t>
  </si>
  <si>
    <t>Tamil Nadu</t>
  </si>
  <si>
    <t>Dibin Mohammed
Cardiac Surgeon</t>
  </si>
  <si>
    <t>Twitter</t>
  </si>
  <si>
    <t>sell seiemens cath lab</t>
  </si>
  <si>
    <t xml:space="preserve">Aurangabad </t>
  </si>
  <si>
    <t xml:space="preserve">Pulse care medicine
</t>
  </si>
  <si>
    <t>Khan Amer</t>
  </si>
  <si>
    <t>New Delhi</t>
  </si>
  <si>
    <t xml:space="preserve">Name- Dr (Capt) Sandeep Sharma 
</t>
  </si>
  <si>
    <t>sharma.sandeep1270@gmail.com</t>
  </si>
  <si>
    <t>: imaging eqiupment</t>
  </si>
  <si>
    <t xml:space="preserve"> Jaipur</t>
  </si>
  <si>
    <t xml:space="preserve">Amar Jain Hospital 
</t>
  </si>
  <si>
    <t xml:space="preserve">Dr Dharmendra Dudi </t>
  </si>
  <si>
    <t>email</t>
  </si>
  <si>
    <t>amc for ct scan machine</t>
  </si>
  <si>
    <t>amroha</t>
  </si>
  <si>
    <t>uttar Pradesh</t>
  </si>
  <si>
    <t xml:space="preserve">alpha diagnostic and imaging Centre </t>
  </si>
  <si>
    <t>Qamrul</t>
  </si>
  <si>
    <t>alphadiagnosticamroha@gmail.com</t>
  </si>
  <si>
    <t>Date</t>
  </si>
  <si>
    <t xml:space="preserve">CENTER NAME </t>
  </si>
  <si>
    <t>Follow-up 3</t>
  </si>
  <si>
    <t>Facebook ads</t>
  </si>
  <si>
    <t>Changuvetty, Kottakkal,
Malappuram,"</t>
  </si>
  <si>
    <t>Kerela</t>
  </si>
  <si>
    <t>ALMAS hospital kottakkal  Kerela</t>
  </si>
  <si>
    <r>
      <rPr>
        <rFont val="Calibri"/>
        <b/>
        <color rgb="FF000000"/>
        <sz val="11.0"/>
      </rPr>
      <t xml:space="preserve">kottakkal Kerela,
</t>
    </r>
    <r>
      <rPr>
        <rFont val="Calibri"/>
        <b/>
        <color rgb="FF6AA84F"/>
        <sz val="11.0"/>
      </rPr>
      <t>((Planning for new centre in Karnataka))</t>
    </r>
  </si>
  <si>
    <t>DR. ADIL AHMED KARNUL
NEUROSURGEON</t>
  </si>
  <si>
    <t>Mr Adil is planning for CT scan Machine going to open new centre in Karnataka this lead takes time of 4 months to close. But he want a call from Senior to know about site planning ,He is saying that as of now plan is cancel  14-April-2022</t>
  </si>
  <si>
    <t>in touch on whatsapp</t>
  </si>
  <si>
    <t xml:space="preserve">Bharshi </t>
  </si>
  <si>
    <t>Pushpan Imaging Centre</t>
  </si>
  <si>
    <t>Siddheshwar Nagar, Barshi, Maharashtra</t>
  </si>
  <si>
    <t>Shirish Managolikar</t>
  </si>
  <si>
    <t>shirishmanagolikar@gmail.com</t>
  </si>
  <si>
    <t>He is planning for 3.0T MRI already have brand new 1.5T toshiba machine ,  he is a technician  of the centre wants a call from manager and need every quotation of 3.0T, Not Connected 14-April-2022, He is saying there is not as such plan 06-April-2022</t>
  </si>
  <si>
    <t xml:space="preserve">Followup </t>
  </si>
  <si>
    <t>Kolkata</t>
  </si>
  <si>
    <t>West Bengal</t>
  </si>
  <si>
    <t xml:space="preserve">Shantanu Mukherjee </t>
  </si>
  <si>
    <t xml:space="preserve">He is planning for CT scan But after 3 month he will ready to install MRI Machine , Not picked 14-April-2022, Not picked 06-April-2022, Wright now he is planning for anither machnie </t>
  </si>
  <si>
    <t xml:space="preserve">Jhasi </t>
  </si>
  <si>
    <t>U.P</t>
  </si>
  <si>
    <t xml:space="preserve">Janta CT MRI centre </t>
  </si>
  <si>
    <t xml:space="preserve">CEO Ravi </t>
  </si>
  <si>
    <t>narangpreeti1109@gmail.com</t>
  </si>
  <si>
    <t xml:space="preserve">Planning for 1.5T MRI and want to install machine in jhashi  Not picked 14-April-2022  </t>
  </si>
  <si>
    <t xml:space="preserve">Dr Aditya </t>
  </si>
  <si>
    <t xml:space="preserve"> Not picked 14-April-2022</t>
  </si>
  <si>
    <t>Halol</t>
  </si>
  <si>
    <t>Gujrat Diagnostic Centre</t>
  </si>
  <si>
    <t>halol</t>
  </si>
  <si>
    <t>Shivang</t>
  </si>
  <si>
    <t>whatsappp</t>
  </si>
  <si>
    <t>planning for 1.5 Tesla, meeting fixed for January at gujrat, halol.</t>
  </si>
  <si>
    <t xml:space="preserve">LEAD </t>
  </si>
  <si>
    <t>Ashok Kumar Purohit</t>
  </si>
  <si>
    <t>ashok.nivari@gmail.com</t>
  </si>
  <si>
    <t>has diagnostic centre but not sure if he should expand his business in MRI/CT</t>
  </si>
  <si>
    <t>Andhra Pradesh</t>
  </si>
  <si>
    <t>Vinay Kumar Reddy</t>
  </si>
  <si>
    <t>Vinayreddy353@gmail.com</t>
  </si>
  <si>
    <t>not interested, first he told about his planning, but 2nd time he disconnected the call</t>
  </si>
  <si>
    <t>Kota</t>
  </si>
  <si>
    <t>Krishna Diagnostics</t>
  </si>
  <si>
    <t>Ankesh Sharma</t>
  </si>
  <si>
    <t>shreea.k.balaji@gmail.com</t>
  </si>
  <si>
    <t>9983336701 / 8005949830</t>
  </si>
  <si>
    <t>In touch with Siemens</t>
  </si>
  <si>
    <t>Jamshedpur</t>
  </si>
  <si>
    <t>Jharkhand</t>
  </si>
  <si>
    <t>NGO</t>
  </si>
  <si>
    <t>Md.  SHAHNAWAZ</t>
  </si>
  <si>
    <t>mdshahnawaz8031@gmail.com</t>
  </si>
  <si>
    <t>He and his brother has a NGO which works for social service and community medical help in rural areas,-- not planning now, but shown some interst in coming months.</t>
  </si>
  <si>
    <t>Cohin</t>
  </si>
  <si>
    <t>--</t>
  </si>
  <si>
    <t>nandha bharathi</t>
  </si>
  <si>
    <t>nbharathi511@gmail.com</t>
  </si>
  <si>
    <t xml:space="preserve">his senior doctor needs it, he is medical sale and purchase executive and related with multiple hospitals and medical centres, He will not give doctors number becoz doctor did not want to talk </t>
  </si>
  <si>
    <t>dr Gaurav kashyap</t>
  </si>
  <si>
    <t xml:space="preserve"> I want ct scan machine Can you help me Gaurav Kashyap </t>
  </si>
  <si>
    <t>Imphal</t>
  </si>
  <si>
    <t>Manipur</t>
  </si>
  <si>
    <t>Rakib Yumakh</t>
  </si>
  <si>
    <t>did not pick up the call</t>
  </si>
  <si>
    <t>Ayodhya</t>
  </si>
  <si>
    <t>Dr Sandeep Singh (Shyam Pharmacy)</t>
  </si>
  <si>
    <t>Apurv Rajey</t>
  </si>
  <si>
    <t>want to install MRI and is in Intial phase of discussion and comparing brochure from various dealers, Disconnected call 14-April-2022</t>
  </si>
  <si>
    <t xml:space="preserve">DECEMBER </t>
  </si>
  <si>
    <t>Lukhnow</t>
  </si>
  <si>
    <t>---</t>
  </si>
  <si>
    <t>Dr parwaz ahmad khan</t>
  </si>
  <si>
    <t>khan1parwaz@yahoo.com</t>
  </si>
  <si>
    <t xml:space="preserve">he has an old ge x-ray machine and want to exchnage it for CT </t>
  </si>
  <si>
    <t>Sakoli</t>
  </si>
  <si>
    <t xml:space="preserve">Maharastra </t>
  </si>
  <si>
    <t>Dr Kapgate's dental clinic</t>
  </si>
  <si>
    <t>Dr Dhananjay Kapgate's</t>
  </si>
  <si>
    <t xml:space="preserve">he is planning for 4 slice CT scans machine </t>
  </si>
  <si>
    <t>Srinagar</t>
  </si>
  <si>
    <t>Jammu Kashmir</t>
  </si>
  <si>
    <t>Firdous Ahmad Wani</t>
  </si>
  <si>
    <t>Very active plan for CT or MRI both He want all ddetails from us after that call again , He is saying he is busy so call after sometime 14-April-2022</t>
  </si>
  <si>
    <t>Hyderabad</t>
  </si>
  <si>
    <t>Chiluvari Nagesh</t>
  </si>
  <si>
    <t>1.5 MRI, meeting scheduled, not picked 10/12/2021, there is no plan 14-Aril-2022</t>
  </si>
  <si>
    <t xml:space="preserve">        
saharanpur</t>
  </si>
  <si>
    <t>Rao Amir Ali</t>
  </si>
  <si>
    <t>He is planning but conform after second call for the meeting , he is going to hospital tommorow and will beconnect call with the director Dr salman - 10/12/2021, He is saying therre is no plan14-April-2022</t>
  </si>
  <si>
    <t>/</t>
  </si>
  <si>
    <t>GBNR</t>
  </si>
  <si>
    <t xml:space="preserve">Majur ansari </t>
  </si>
  <si>
    <t xml:space="preserve">Md Jabbar Ansari  </t>
  </si>
  <si>
    <t>He is planning for 1.5T Mri and want meeting , not picked 10/12/2021, He is saying that plan is there but there is a meeting after10 days where we decde we have install or not and director name is Majur ansari so call after15 days 14-April-2022</t>
  </si>
  <si>
    <t>belgavi</t>
  </si>
  <si>
    <t>Karnataka</t>
  </si>
  <si>
    <t>NCTs Nisarga Multispeciality</t>
  </si>
  <si>
    <t>Allam Prabhu</t>
  </si>
  <si>
    <t>He is planning for 1.5T Mri and 128 Slice and also prefer brand new machine but i told her that our machine is good an all he want all details and client list on whastapp then call after 2 days for the meeting shedule , not picked 10/12/2021, Not picked call i drop masg on whatsapp 14-April-2022</t>
  </si>
  <si>
    <t>sardar sheher</t>
  </si>
  <si>
    <t>geetanjali diagnostis</t>
  </si>
  <si>
    <t>Ashkaran Soni</t>
  </si>
  <si>
    <t xml:space="preserve">Planning for Ct scan only </t>
  </si>
  <si>
    <t xml:space="preserve">pratapgarh </t>
  </si>
  <si>
    <t xml:space="preserve">prayag nursing home </t>
  </si>
  <si>
    <t xml:space="preserve">Arun Kumar Dwivedi </t>
  </si>
  <si>
    <t xml:space="preserve">He isplanning for MRI and Ct both But conformation after second call , he is planning for low than 16 slice machine budget is too low , Budget is low for machine14-April-2022 </t>
  </si>
  <si>
    <t>Rahi Fayaz</t>
  </si>
  <si>
    <t>need brochure and quotation</t>
  </si>
  <si>
    <t>morena</t>
  </si>
  <si>
    <t>M.P</t>
  </si>
  <si>
    <t>bandil nursing home</t>
  </si>
  <si>
    <t>Sanjeev Bandil</t>
  </si>
  <si>
    <t>need 1.5/3 T mri in coming months-- follow up in few days, plan is cancel 14-April-2022</t>
  </si>
  <si>
    <t>Lalitpur</t>
  </si>
  <si>
    <t>u.p</t>
  </si>
  <si>
    <t>homesize ram clinic 
medical collage k pass</t>
  </si>
  <si>
    <t>Dr Rohit Sahu</t>
  </si>
  <si>
    <t>He is planning to  start new setup in laltipur near medical collage there are more than one partner in this planning , this plan takes time so thats why call after 25 dec to take a followup 
, He is saying their is no plan 14-April-2022</t>
  </si>
  <si>
    <t xml:space="preserve">Dr Kamlesh Tripathi </t>
  </si>
  <si>
    <t>64 slice CT 1 year, Not picked call 14-April-2022</t>
  </si>
  <si>
    <t>Aurangabad</t>
  </si>
  <si>
    <t>Sunshine hospital</t>
  </si>
  <si>
    <t>Nadeem Sheikh</t>
  </si>
  <si>
    <t>CT Scan 32 slice, planning in 3-4 months, He is saying he insstall the machine from pune centre 14-April-2022</t>
  </si>
  <si>
    <t>bangalore</t>
  </si>
  <si>
    <t>karnataka</t>
  </si>
  <si>
    <t>plasma medinostics</t>
  </si>
  <si>
    <t>Anekal Main Road, Chandapura, Bommasandra, Karnataka 560099</t>
  </si>
  <si>
    <t>-Jay Kumar</t>
  </si>
  <si>
    <t>planning for Ct scan and mri both, whatsapp him, Not picked 14-April-2022</t>
  </si>
  <si>
    <t>FOLLOWUP</t>
  </si>
  <si>
    <t>instagram</t>
  </si>
  <si>
    <t xml:space="preserve">Srinagar </t>
  </si>
  <si>
    <t>J&amp;K</t>
  </si>
  <si>
    <t>Owais Khursheed</t>
  </si>
  <si>
    <t>plannig for ct and mri, but wants to disscuss price and details first , He is saying that call after sometime he is in market 14-April-2022</t>
  </si>
  <si>
    <t>Aaqib Sheikh</t>
  </si>
  <si>
    <t>on - 5 - jan dialed no. is currently busy ,</t>
  </si>
  <si>
    <t>pratapgarh</t>
  </si>
  <si>
    <t xml:space="preserve">Plama diagnostics </t>
  </si>
  <si>
    <t>Prabhat Pandey</t>
  </si>
  <si>
    <r>
      <rPr>
        <rFont val="Calibri"/>
        <b/>
        <color theme="1"/>
        <sz val="11.0"/>
      </rPr>
      <t xml:space="preserve">plannig for ct and mri, but wants to disscuss price and details first , He is saying that planning is pospond for sometime call after2 months </t>
    </r>
    <r>
      <rPr>
        <rFont val="Calibri"/>
        <b/>
        <color rgb="FFEA4335"/>
        <sz val="11.0"/>
      </rPr>
      <t>14-April-2022</t>
    </r>
  </si>
  <si>
    <t xml:space="preserve">FOLLOWUP JUNE </t>
  </si>
  <si>
    <t>rajahmundi</t>
  </si>
  <si>
    <t>a.p</t>
  </si>
  <si>
    <t xml:space="preserve">tejendra diagnostic and x ray </t>
  </si>
  <si>
    <t xml:space="preserve"> Kiran Kumar</t>
  </si>
  <si>
    <t>planning for CT only, in 2 months and wants details on whatsapp, He is saying that yes their a plan but i will call you after sometime14-April-2022</t>
  </si>
  <si>
    <t xml:space="preserve">Uma Shanker
</t>
  </si>
  <si>
    <t>on - 5 - Jan Not answred the call</t>
  </si>
  <si>
    <t xml:space="preserve"> Chennai</t>
  </si>
  <si>
    <t>tamil nadu</t>
  </si>
  <si>
    <t>Gibran Fazal,</t>
  </si>
  <si>
    <t>looking for single or dual slice ct only</t>
  </si>
  <si>
    <t xml:space="preserve"> </t>
  </si>
  <si>
    <t xml:space="preserve">Sushil Arora
</t>
  </si>
  <si>
    <t xml:space="preserve">
sushilarora2003@gmail.com</t>
  </si>
  <si>
    <t>on - 5 - jan - He want to install 3 Tesla machine in  kashmir , he said he had worked with GE company it self for around 12 years as a dealer now he want to install him self he want the price range &amp; clint details of north on his whats ap said he want to meet and talk firstabout the   viability  of machine asked about the finance ,he said he had teh site ready said site will be done after talking about the price &amp; all .he said the are is  shalara road . &amp; he did not told me about  the channels .Person is fake he is saying that what is MRI Suspense call throgh another call 14-April-2022</t>
  </si>
  <si>
    <t xml:space="preserve">naded </t>
  </si>
  <si>
    <t xml:space="preserve">Vishwaroop Hospital </t>
  </si>
  <si>
    <t xml:space="preserve">Ajabrao Kalbande </t>
  </si>
  <si>
    <t xml:space="preserve">ajabraokalbande@gmail.com
</t>
  </si>
  <si>
    <t>on 5 - jan He said that there site is Under cunstruction &amp; they will take around 1 yr to  take MRI &amp; CT scan Scan/ He also told his center workin under a private health care , But he did not dissclose full name of hospital. he wants branden , is busy as some work may be cause ther many noice of back ground he said he want only brand new But do not have any idia about machines he said he is thie one who is handeling the del &amp; details he want brocchure &amp; machines details on his mail id &amp; whats ap also then he will talk he said . &amp; his mail id is  ajabraokalbande@gmail.com, he is saying send me all details on whatsapp then i ill confrom he is looking like fake but for verification call tommorow 14-April-2022</t>
  </si>
  <si>
    <t>lukhnow</t>
  </si>
  <si>
    <t>Asif Ahmad</t>
  </si>
  <si>
    <t>wants to discuss with regional salesperson</t>
  </si>
  <si>
    <t>Mohit Mehmi</t>
  </si>
  <si>
    <t xml:space="preserve">On 5  jan  He is busy right know call back after some time he said </t>
  </si>
  <si>
    <t>jammu kashmir</t>
  </si>
  <si>
    <t>Ahmad Manzoor</t>
  </si>
  <si>
    <t>9797983277      7006706982</t>
  </si>
  <si>
    <t xml:space="preserve">Did not answred the call </t>
  </si>
  <si>
    <t>Dipanjan Debanjana</t>
  </si>
  <si>
    <t>Not answred the call</t>
  </si>
  <si>
    <t>dharamnagar</t>
  </si>
  <si>
    <t xml:space="preserve">tripura </t>
  </si>
  <si>
    <t xml:space="preserve">apollo clinic </t>
  </si>
  <si>
    <t xml:space="preserve">- </t>
  </si>
  <si>
    <t>Panna Acharjee</t>
  </si>
  <si>
    <t xml:space="preserve"> on 5 jan he Give ous the quary through his freind rajat chaterjee &amp; he said he want refurb machine But in 16 slices in around 60 - 65 lakhs  &amp; he is not agreeing on the price of 90 lakhs as he said he want it for busniess pursoses &amp; want to low the investment as much as possible . &amp; also he want contacted through minray company which offred him in aroun 80 - 85 lakhs , Due to price he is not intrested  14-April-2022</t>
  </si>
  <si>
    <t xml:space="preserve">bhopal </t>
  </si>
  <si>
    <t xml:space="preserve">Dot health care </t>
  </si>
  <si>
    <t>Hemendra Singh Solanki</t>
  </si>
  <si>
    <t>on - 5 - jan Not answred  , on - 5 - jan Hemendra singh firstly asked about 2dual slices CT scanner Then he asked asked about  brand new philips CT scanner he want call back after half hour to talk properly  after 4 pm i have call him . He want details &amp; brochhure of CT scanner in refurb &amp; brand new on whatsap &amp; he aslo told me tahat he previously had some what of an know company for MRI &amp; CT scan now there are not geeting along &amp; have some price issue , He is a dealer 14-April-2022</t>
  </si>
  <si>
    <t xml:space="preserve">anantnag </t>
  </si>
  <si>
    <t xml:space="preserve">Jammu kashmir </t>
  </si>
  <si>
    <t>Bone &amp; Joint Critical  Care Centre</t>
  </si>
  <si>
    <t>Malik Khalid Amin</t>
  </si>
  <si>
    <t>on - 5 - Jan - 21 He said he is planning for MRI &amp; CT scan both then he asked bou the finance details , he actually bt confuse seems to instrested in CT scanner only  then he asked about the prices &amp; then he again asked renting  Then he said he will take time like around march  - april to install he is very much scared &amp; confuse about the price &amp; told me to share the details of Refurb 16 slices CT scanner first then he told me to like give him some time to think &amp;  wnat me to call him back after 1 week, This Lead is from JAMMU &amp; KASHMIR 14-April-2022</t>
  </si>
  <si>
    <t>Greater Noida</t>
  </si>
  <si>
    <t>U.P (Delhi-NCR)</t>
  </si>
  <si>
    <t>-</t>
  </si>
  <si>
    <t>Umesh Sharma</t>
  </si>
  <si>
    <t xml:space="preserve">on - 5 jan - No. is not connecting </t>
  </si>
  <si>
    <t xml:space="preserve">chakan, pune </t>
  </si>
  <si>
    <t>on - 5 jan - Dialed no. is busy</t>
  </si>
  <si>
    <t>Vikram Shewale</t>
  </si>
  <si>
    <t>calicut</t>
  </si>
  <si>
    <t>Not dissclosed</t>
  </si>
  <si>
    <t xml:space="preserve">kerela  - CPT Calicut </t>
  </si>
  <si>
    <t xml:space="preserve">Ahmed Shafi </t>
  </si>
  <si>
    <t>on - 5 - jan ahmed sir said he is planning for Both MRI &amp; CT scan but he have some language issue he said it will tak around  3 months he want brochure for MRI &amp; CT scanner on his whats ap now. he also did not share his hospital or center name . for full details we have  to talk in his language / he also aked for any repesentative in kerela .He is totaly ignoring and disconnected my call at mid 2 times 14-April-2022</t>
  </si>
  <si>
    <t xml:space="preserve">west bengal rampur - lohapur </t>
  </si>
  <si>
    <t>west bengal</t>
  </si>
  <si>
    <t>universal medical center</t>
  </si>
  <si>
    <t>rakibul islam</t>
  </si>
  <si>
    <t>on - 5 - jan he told me they are new setup &amp; they are trying to start xray only but then he asked me about the products &amp; there payment method then he asked me if we could arrange loan form bank for  MRI machine   so he will try to do the down payment first &amp; want the loan details on whats ap / as i told him about token money, Not picked call 14-April-2022</t>
  </si>
  <si>
    <t xml:space="preserve">JANUARY </t>
  </si>
  <si>
    <t>- aurangabad</t>
  </si>
  <si>
    <t>anandi hospital</t>
  </si>
  <si>
    <t>Maharashtra - aurangabad</t>
  </si>
  <si>
    <t xml:space="preserve">Sunil Salunke </t>
  </si>
  <si>
    <t xml:space="preserve">on - 5 - jan he said he is looking for either brand new or refurb  But then he preffered refurb in b/w 16 - 32 slices Then he said he has no isuue regarding budget &amp; want deatils on his whats ap . then he also said there no issue machine delay as his plan to install will take around 3-4 months for installation &amp; on next call we will arrange a meeting &amp; he said he also had site for CT scan &amp; MRI will take time , He is saying he has a plan for CT and MRI both but it will take time of 1 month so call after april 14-April-2021, He is saying that there is no plan </t>
  </si>
  <si>
    <t>FOLLOWUP (MAY)</t>
  </si>
  <si>
    <t>linkedIn ads</t>
  </si>
  <si>
    <t>mumbai</t>
  </si>
  <si>
    <t>Deepak Kemble,,</t>
  </si>
  <si>
    <t>deepkemble@gmail.com</t>
  </si>
  <si>
    <t>radiographer looking for job, also wants to install in future</t>
  </si>
  <si>
    <t>Bengaluru</t>
  </si>
  <si>
    <t>VS daignostics</t>
  </si>
  <si>
    <t>Nagadasari,Srinivas</t>
  </si>
  <si>
    <t>silkyboys24@gmail.com</t>
  </si>
  <si>
    <t>already has ultrasound machine,sonography, will install 1.5 mri in 1 year, Phone switch off 14-April-2022</t>
  </si>
  <si>
    <t xml:space="preserve">FOLLOWUP </t>
  </si>
  <si>
    <t>ahemdabad</t>
  </si>
  <si>
    <t>Gujrat -</t>
  </si>
  <si>
    <t>KKunjan Patel</t>
  </si>
  <si>
    <t>on - 5 - jan dr asked for cost of 16 slices of philips CT scanner &amp; 1.5T HDXT in 16 x in 16channel he said they want raw quotation on his whats ap , want to install both in this financial year &amp; said asked about the price of refurb Ct scanner But then said prices are very high then he asked me about raw quoatation  part &amp; told me  that they are taking cost &amp; seeing the market . on next call will arange meeting . He said he pospond the plan  call after one months by another number 14-April-2022</t>
  </si>
  <si>
    <t>Saksham Jain</t>
  </si>
  <si>
    <t>on - 5 jan Not answred , he gaved us a missed call &amp; then agin , he did not answred the call.</t>
  </si>
  <si>
    <t>----</t>
  </si>
  <si>
    <t xml:space="preserve">Surendra Sanathan </t>
  </si>
  <si>
    <t xml:space="preserve">on - 5 - jan - 21 He is a dealer said he shareda  quary for other details , he said he some  client over seases   &amp; he also said he work from some gothre &amp; BMEC is the company they deal in refurb MRI in philips &amp; hesaid had shared soem of the leads to also , he said he has a south africa client ready for 1.5T MRI &amp; 128 slices CT scanner . he told me to shared director no. or to talk to them first then to get back to them. </t>
  </si>
  <si>
    <t xml:space="preserve">INTERNATIONAL CLIENT </t>
  </si>
  <si>
    <t>odisha</t>
  </si>
  <si>
    <t>Kamlesh Mohanty,,</t>
  </si>
  <si>
    <t>mohantykamlesh3@gmail.com</t>
  </si>
  <si>
    <t>on 6 jan, he told about his hospital and plan but wanted to discuss with topmost person from our side, number is not reachable 14-April-2022</t>
  </si>
  <si>
    <t>angul</t>
  </si>
  <si>
    <t xml:space="preserve">Ajan multicare care </t>
  </si>
  <si>
    <t>Anjan Prasad Bhoi</t>
  </si>
  <si>
    <t>wants to install CT/MRI and Xray, also want financial assistance, He is saying he is planning for MRI and Xray but confromation call with be take after some days 14-April-2022</t>
  </si>
  <si>
    <t xml:space="preserve">Facebook Lead </t>
  </si>
  <si>
    <t xml:space="preserve"> Purnea</t>
  </si>
  <si>
    <t>Bihar</t>
  </si>
  <si>
    <t>Mediscan Diagnostic &amp; Imaging Centre</t>
  </si>
  <si>
    <t>Ajay Kumar Mehta</t>
  </si>
  <si>
    <t>ajay.mehta22@yahoo.com</t>
  </si>
  <si>
    <t xml:space="preserve">He is planning for 1.5T MRI machine wants to install soon  gautam sir is touch with the client </t>
  </si>
  <si>
    <t xml:space="preserve">Uttarpradesh </t>
  </si>
  <si>
    <t xml:space="preserve">Saroj hospital </t>
  </si>
  <si>
    <t xml:space="preserve">eri kanpur gwalior, bypass, Jhansi, Uttar Pradesh </t>
  </si>
  <si>
    <t>Dinesh Rajput</t>
  </si>
  <si>
    <t>drdin03@gmail.com</t>
  </si>
  <si>
    <t xml:space="preserve">He is planning for 1.5T MRI want to install machine in jhasi and want blue print related that aand alos want someone from ourside will meet them </t>
  </si>
  <si>
    <t>Patna,</t>
  </si>
  <si>
    <t>Navjeevan Digital X Ray</t>
  </si>
  <si>
    <t>Danapur, Patna</t>
  </si>
  <si>
    <t>Ranjan Kumar</t>
  </si>
  <si>
    <t>Future plan in a year or half, no plans as of now- discussed on 20 jan 2022</t>
  </si>
  <si>
    <t xml:space="preserve">Buldana </t>
  </si>
  <si>
    <t>City  Hospital</t>
  </si>
  <si>
    <t>Buldana Behind Bus Stand ,Jamrun Road Buldana-443001</t>
  </si>
  <si>
    <t>Nitin Sawale</t>
  </si>
  <si>
    <t xml:space="preserve">He is planning for MRI machine and CT scans machine also touch with another company also take quotation </t>
  </si>
  <si>
    <t xml:space="preserve">Bipin Kumar Singh </t>
  </si>
  <si>
    <t xml:space="preserve">Phone switch off </t>
  </si>
  <si>
    <t xml:space="preserve">Sarwoddaya hospital </t>
  </si>
  <si>
    <t xml:space="preserve">Dinesh Choudhary
</t>
  </si>
  <si>
    <t>wants to install CT in his hopsital with best price, already in touch with GE, he is saying that their is no plan as such 14-April-2022</t>
  </si>
  <si>
    <t>Bhuwaneshwar</t>
  </si>
  <si>
    <t xml:space="preserve">Subbir Sammal
</t>
  </si>
  <si>
    <t xml:space="preserve">±919337984472/8280849909
</t>
  </si>
  <si>
    <t>dealer</t>
  </si>
  <si>
    <t>Shimla</t>
  </si>
  <si>
    <t>Himachal Pradesh</t>
  </si>
  <si>
    <t xml:space="preserve"> Prem Negi</t>
  </si>
  <si>
    <t>already in touch with someone from Phantom</t>
  </si>
  <si>
    <t>Patna</t>
  </si>
  <si>
    <t xml:space="preserve">Sushil Kumar Sharma
</t>
  </si>
  <si>
    <t>Kanpur</t>
  </si>
  <si>
    <t xml:space="preserve">Mohd,Shadab </t>
  </si>
  <si>
    <t>malikansari.ansari@facebook.com</t>
  </si>
  <si>
    <t>his brother needs it in around 1 year or later</t>
  </si>
  <si>
    <t>varanasi</t>
  </si>
  <si>
    <t>U.p</t>
  </si>
  <si>
    <t>Vijay Kumar,Sharma</t>
  </si>
  <si>
    <t>vijaysharmadrt@gmail.com</t>
  </si>
  <si>
    <t>79054 63079</t>
  </si>
  <si>
    <t>needs CT, call tomorrow on 5 Feb, Already purchase CT scans machine 14-April-2022</t>
  </si>
  <si>
    <t xml:space="preserve">
http://www.oncquest.net/
070653 50350
Send message
+91 70653 50350
oncquestnet@gmail.com</t>
  </si>
  <si>
    <t>S.No</t>
  </si>
  <si>
    <t>City</t>
  </si>
  <si>
    <t>State</t>
  </si>
  <si>
    <t>Hospital/Centre</t>
  </si>
  <si>
    <t>Person</t>
  </si>
  <si>
    <t>Contact no</t>
  </si>
  <si>
    <t xml:space="preserve">E-Mail ID </t>
  </si>
  <si>
    <t>Source</t>
  </si>
  <si>
    <t>Forwarded</t>
  </si>
  <si>
    <t>Remarks</t>
  </si>
  <si>
    <t>14 september calls</t>
  </si>
  <si>
    <t>Ahmedabad</t>
  </si>
  <si>
    <t xml:space="preserve">Jitendra Parmar
</t>
  </si>
  <si>
    <t>LinkedIN message</t>
  </si>
  <si>
    <r>
      <rPr>
        <rFont val="Calibri, Arial"/>
        <color theme="1"/>
        <sz val="11.0"/>
      </rPr>
      <t xml:space="preserve">yes -to ROCHI mam, Ritika mam, and Shivani Mam </t>
    </r>
    <r>
      <rPr>
        <rFont val="Calibri, Arial"/>
        <b/>
        <color theme="1"/>
        <sz val="11.0"/>
      </rPr>
      <t>through Email</t>
    </r>
  </si>
  <si>
    <t>Already in touch as told by Shivani Mam</t>
  </si>
  <si>
    <t>PET CT Scan</t>
  </si>
  <si>
    <t>Jammu and Kashmir</t>
  </si>
  <si>
    <t xml:space="preserve">Mohammad Mustafa Bhat
 </t>
  </si>
  <si>
    <t xml:space="preserve">Find Number </t>
  </si>
  <si>
    <t>linkedin message</t>
  </si>
  <si>
    <r>
      <rPr>
        <rFont val="Calibri, Arial"/>
        <color theme="1"/>
        <sz val="11.0"/>
      </rPr>
      <t xml:space="preserve">yes -to ROCHI mam, Ritika mam, and Shivani Mam </t>
    </r>
    <r>
      <rPr>
        <rFont val="Calibri, Arial"/>
        <b/>
        <color theme="1"/>
        <sz val="11.0"/>
      </rPr>
      <t>through Email</t>
    </r>
  </si>
  <si>
    <t xml:space="preserve">his need was PET CT Scan </t>
  </si>
  <si>
    <t>Chittaranjan - Bardhaman</t>
  </si>
  <si>
    <t>Arindam Mukherjee</t>
  </si>
  <si>
    <t>Facebook message</t>
  </si>
  <si>
    <r>
      <rPr>
        <rFont val="Calibri, Arial"/>
        <color theme="1"/>
        <sz val="11.0"/>
      </rPr>
      <t xml:space="preserve">yes -to ROCHI mam, Ritika mam, and Shivani Mam </t>
    </r>
    <r>
      <rPr>
        <rFont val="Calibri, Arial"/>
        <b/>
        <color theme="1"/>
        <sz val="11.0"/>
      </rPr>
      <t>through Email</t>
    </r>
  </si>
  <si>
    <t>commission work</t>
  </si>
  <si>
    <t>job seeker</t>
  </si>
  <si>
    <t>Jyoti Sodhi Thakur</t>
  </si>
  <si>
    <t>irrelevant</t>
  </si>
  <si>
    <t>not sure</t>
  </si>
  <si>
    <t>Solapur</t>
  </si>
  <si>
    <t>Maharshtra</t>
  </si>
  <si>
    <t>Unknown Account</t>
  </si>
  <si>
    <t>Facebook comment</t>
  </si>
  <si>
    <t>Sent to ritika mam for verification</t>
  </si>
  <si>
    <t>---------</t>
  </si>
  <si>
    <t>will contact if required</t>
  </si>
  <si>
    <t>no info</t>
  </si>
  <si>
    <t xml:space="preserve">Neeraj Vashistha
</t>
  </si>
  <si>
    <r>
      <rPr>
        <rFont val="Calibri, Arial"/>
        <color theme="1"/>
        <sz val="11.0"/>
      </rPr>
      <t xml:space="preserve">yes -to ROCHI mam, Ritika mam, and Shivani Mam </t>
    </r>
    <r>
      <rPr>
        <rFont val="Calibri, Arial"/>
        <b/>
        <color theme="1"/>
        <sz val="11.0"/>
      </rPr>
      <t>through Email</t>
    </r>
  </si>
  <si>
    <t xml:space="preserve">not connected </t>
  </si>
  <si>
    <t>upgrading MRI</t>
  </si>
  <si>
    <t>Noida</t>
  </si>
  <si>
    <t>NCR- Delhi</t>
  </si>
  <si>
    <t>Dr. Navdeep</t>
  </si>
  <si>
    <t>088007 78695</t>
  </si>
  <si>
    <r>
      <rPr>
        <rFont val="Calibri, Arial"/>
        <color theme="1"/>
        <sz val="11.0"/>
      </rPr>
      <t xml:space="preserve">yes -to ROCHI mam, Ritika mam, and Shivani Mam </t>
    </r>
    <r>
      <rPr>
        <rFont val="Calibri, Arial"/>
        <b/>
        <color theme="1"/>
        <sz val="11.0"/>
      </rPr>
      <t>through Email</t>
    </r>
  </si>
  <si>
    <t>contact on wahtaapp</t>
  </si>
  <si>
    <t>kathmadu</t>
  </si>
  <si>
    <t xml:space="preserve">Kalyan Sharma
</t>
  </si>
  <si>
    <t>fb mesaage</t>
  </si>
  <si>
    <t>not in contact</t>
  </si>
  <si>
    <t>need to find contact</t>
  </si>
  <si>
    <t>Tender for multiple products</t>
  </si>
  <si>
    <t>London</t>
  </si>
  <si>
    <t>England UK</t>
  </si>
  <si>
    <t>New Look Private Hospital</t>
  </si>
  <si>
    <t>Dr Harry Wang</t>
  </si>
  <si>
    <t>harry.wang.ceo@gmail.com</t>
  </si>
  <si>
    <r>
      <rPr>
        <rFont val="Calibri, Arial"/>
        <color theme="1"/>
        <sz val="11.0"/>
      </rPr>
      <t xml:space="preserve">yes -to ROCHI mam, Ritika mam, and Shivani Mam </t>
    </r>
    <r>
      <rPr>
        <rFont val="Calibri, Arial"/>
        <b/>
        <color theme="1"/>
        <sz val="11.0"/>
      </rPr>
      <t>through Email</t>
    </r>
  </si>
  <si>
    <t>MRI and CT Both</t>
  </si>
  <si>
    <t xml:space="preserve">Dr Yudhveer 
</t>
  </si>
  <si>
    <t>twitter message</t>
  </si>
  <si>
    <r>
      <rPr>
        <rFont val="Calibri, Arial"/>
        <color theme="1"/>
        <sz val="11.0"/>
      </rPr>
      <t xml:space="preserve">yes -to ROCHI mam, Ritika mam, and Shivani Mam </t>
    </r>
    <r>
      <rPr>
        <rFont val="Calibri, Arial"/>
        <b/>
        <color theme="1"/>
        <sz val="11.0"/>
      </rPr>
      <t>through Email</t>
    </r>
  </si>
  <si>
    <t>Dr is saying yes there is a plan for 3.0T and want all details of that after that he want a followuo and want to shedule a meeting 14-April-2022, He want to connecte call on monday 15-April-2022</t>
  </si>
  <si>
    <t>aurangabad</t>
  </si>
  <si>
    <t>Future Teleradiology Solutions</t>
  </si>
  <si>
    <t xml:space="preserve">Dr. Mohammad Zeeshan </t>
  </si>
  <si>
    <r>
      <rPr>
        <rFont val="Calibri, Arial"/>
        <color theme="1"/>
        <sz val="11.0"/>
      </rPr>
      <t xml:space="preserve">yes -to ROCHI mam, Ritika mam, and Shivani Mam </t>
    </r>
    <r>
      <rPr>
        <rFont val="Calibri, Arial"/>
        <b/>
        <color theme="1"/>
        <sz val="11.0"/>
      </rPr>
      <t>through Email</t>
    </r>
  </si>
  <si>
    <t>Saksham Gupta</t>
  </si>
  <si>
    <t>fb ads</t>
  </si>
  <si>
    <r>
      <rPr>
        <rFont val="Calibri, Arial"/>
        <color theme="1"/>
        <sz val="11.0"/>
      </rPr>
      <t xml:space="preserve">yes -to ROCHI mam, Ritika mam, and Shivani Mam </t>
    </r>
    <r>
      <rPr>
        <rFont val="Calibri, Arial"/>
        <b/>
        <color theme="1"/>
        <sz val="11.0"/>
      </rPr>
      <t>through Email</t>
    </r>
  </si>
  <si>
    <t>He is saying that he is plan but call after sometime 13-April-2022</t>
  </si>
  <si>
    <t>Yusuf C. Shaik</t>
  </si>
  <si>
    <t>not required</t>
  </si>
  <si>
    <t>irrelevnt</t>
  </si>
  <si>
    <t>------</t>
  </si>
  <si>
    <t>Ghaziabad</t>
  </si>
  <si>
    <t>NCR Delhi</t>
  </si>
  <si>
    <t>SR Diagnostics</t>
  </si>
  <si>
    <t>Dr Rahul Kansal</t>
  </si>
  <si>
    <r>
      <rPr>
        <rFont val="Calibri, Arial"/>
        <color theme="1"/>
        <sz val="11.0"/>
      </rPr>
      <t xml:space="preserve">yes -to ROCHI mam, Ritika mam, and Shivani Mam </t>
    </r>
    <r>
      <rPr>
        <rFont val="Calibri, Arial"/>
        <b/>
        <color theme="1"/>
        <sz val="11.0"/>
      </rPr>
      <t>through Email</t>
    </r>
  </si>
  <si>
    <t>Not picked 13-April-2022, Not picked 14-April-2022, Rahul is saying that there is no requirement 30-April-2022</t>
  </si>
  <si>
    <t>Nashik</t>
  </si>
  <si>
    <t>Kishor Bhandari</t>
  </si>
  <si>
    <r>
      <rPr>
        <rFont val="Calibri, Arial"/>
        <color theme="1"/>
        <sz val="11.0"/>
      </rPr>
      <t xml:space="preserve">yes -to ROCHI mam, Ritika mam, and Shivani Mam </t>
    </r>
    <r>
      <rPr>
        <rFont val="Calibri, Arial"/>
        <b/>
        <color theme="1"/>
        <sz val="11.0"/>
      </rPr>
      <t>through Email</t>
    </r>
  </si>
  <si>
    <t xml:space="preserve">Done </t>
  </si>
  <si>
    <t>VR Diagnostics</t>
  </si>
  <si>
    <t>Dr. Ritesh Singh</t>
  </si>
  <si>
    <r>
      <rPr>
        <rFont val="Calibri, Arial"/>
        <color theme="1"/>
        <sz val="11.0"/>
      </rPr>
      <t xml:space="preserve">yes -to ROCHI mam, Ritika mam, and Shivani Mam </t>
    </r>
    <r>
      <rPr>
        <rFont val="Calibri, Arial"/>
        <b/>
        <color theme="1"/>
        <sz val="11.0"/>
      </rPr>
      <t>through Email</t>
    </r>
  </si>
  <si>
    <t>call after 6 pm in evening, Already in lead sheet ram sir  is following 13-April-2022</t>
  </si>
  <si>
    <t xml:space="preserve">Lead </t>
  </si>
  <si>
    <t>business collab</t>
  </si>
  <si>
    <t xml:space="preserve">Mumbai </t>
  </si>
  <si>
    <t>Sonali Shelke</t>
  </si>
  <si>
    <t xml:space="preserve">medisurgi.resources@gmail.com </t>
  </si>
  <si>
    <r>
      <rPr>
        <rFont val="Calibri, Arial"/>
        <color theme="1"/>
        <sz val="11.0"/>
      </rPr>
      <t xml:space="preserve">yes -to ROCHI mam, Ritika mam, and Shivani Mam </t>
    </r>
    <r>
      <rPr>
        <rFont val="Calibri, Arial"/>
        <b/>
        <color theme="1"/>
        <sz val="11.0"/>
      </rPr>
      <t>through Email</t>
    </r>
  </si>
  <si>
    <t>may be irrelevant</t>
  </si>
  <si>
    <t>direct wahtsapp to ritika mam</t>
  </si>
  <si>
    <t>CT Machine</t>
  </si>
  <si>
    <t xml:space="preserve">Sitamadhi </t>
  </si>
  <si>
    <t xml:space="preserve">New </t>
  </si>
  <si>
    <t>Vinit Jha</t>
  </si>
  <si>
    <t>vinitjha35@gmail.com</t>
  </si>
  <si>
    <t>yes -to ROCHI mam, Ritika mam, and Shivani Mam through Email</t>
  </si>
  <si>
    <t>He is saying that yes there is a planning for CT scans machne but for not current 30-April-2022</t>
  </si>
  <si>
    <t>MRI Machine</t>
  </si>
  <si>
    <t>Thanjavur,</t>
  </si>
  <si>
    <t>Dr.Vanchilingam Hospital</t>
  </si>
  <si>
    <t>Somesh vanchilingam</t>
  </si>
  <si>
    <t xml:space="preserve">
9843077101
9442501101
  04362226297 04362226658</t>
  </si>
  <si>
    <t>drsomesh@hotmail.com</t>
  </si>
  <si>
    <t>HE is saying yes there is a plan but in this month i will conform about the deal and also saying i saw your broucher and you all are in my mind 13-April-2022</t>
  </si>
  <si>
    <t>Nokhamandi</t>
  </si>
  <si>
    <t>Kishan Singh</t>
  </si>
  <si>
    <t>not confirmed</t>
  </si>
  <si>
    <t>Sonipat</t>
  </si>
  <si>
    <t>haryana</t>
  </si>
  <si>
    <t>Sanjeevan x ray and 3d/4d colour doppler centre</t>
  </si>
  <si>
    <t>Satya Narain Kuchhal</t>
  </si>
  <si>
    <t xml:space="preserve">He is touh with sumit for CT scans machine </t>
  </si>
  <si>
    <t>Pathanamthitta</t>
  </si>
  <si>
    <t>Saji AG</t>
  </si>
  <si>
    <t xml:space="preserve">All india institut of ayurveda sarita vihar </t>
  </si>
  <si>
    <t>Rahul Bandigi</t>
  </si>
  <si>
    <t xml:space="preserve">GE REFURB </t>
  </si>
  <si>
    <t>Warangal</t>
  </si>
  <si>
    <t>Rama Krashna</t>
  </si>
  <si>
    <t xml:space="preserve">Varsha Kour
</t>
  </si>
  <si>
    <t>not needed</t>
  </si>
  <si>
    <t>irrelevent</t>
  </si>
  <si>
    <t>Mumbai</t>
  </si>
  <si>
    <t>Vice President - OsiriX Verticle</t>
  </si>
  <si>
    <t>Shashank Gupta</t>
  </si>
  <si>
    <t>8007 360 099</t>
  </si>
  <si>
    <t>Shashank@actonindia.com</t>
  </si>
  <si>
    <t xml:space="preserve">Not picked </t>
  </si>
  <si>
    <t>Patiala</t>
  </si>
  <si>
    <t>Punjab</t>
  </si>
  <si>
    <t>Chetna Dhamija</t>
  </si>
  <si>
    <t>ELITE RADIOLOGY SERVICES</t>
  </si>
  <si>
    <t>VISHAL GOSWAMI</t>
  </si>
  <si>
    <t>Disconnected call 30-April-2022</t>
  </si>
  <si>
    <t>Collab</t>
  </si>
  <si>
    <t>Chandigarh</t>
  </si>
  <si>
    <t>Punjab &amp; haryana</t>
  </si>
  <si>
    <t>Eminence Health Solutions</t>
  </si>
  <si>
    <t>Nitin Goyal</t>
  </si>
  <si>
    <t>dr.nitin@eminencehealth.co.in</t>
  </si>
  <si>
    <t>fb</t>
  </si>
  <si>
    <t>Switch off 30-April-2022</t>
  </si>
  <si>
    <t xml:space="preserve">sl no . </t>
  </si>
  <si>
    <t xml:space="preserve">center name </t>
  </si>
  <si>
    <t>adress</t>
  </si>
  <si>
    <t>pincode</t>
  </si>
  <si>
    <t xml:space="preserve"> contact Person name </t>
  </si>
  <si>
    <t xml:space="preserve">contact no. </t>
  </si>
  <si>
    <t>email id.</t>
  </si>
  <si>
    <t xml:space="preserve">Remarks </t>
  </si>
  <si>
    <t xml:space="preserve"> ajay mehta </t>
  </si>
  <si>
    <t>on - 8 mar  dialed no. is currently busy . , on - 10 mar dialed twice , Dialed no. is busy  , Mr ajay mehta sir called us back said he is working now , so call back afround 6 - 6:30 pm. , no. is curr busy in evening , He is saying that planning will take time of 6 months 11-June-2022</t>
  </si>
  <si>
    <t xml:space="preserve">call on 28- july </t>
  </si>
  <si>
    <t>Saroj Hospital</t>
  </si>
  <si>
    <t>Medical College Gate No. 2, Near Palaria Hospital, Jhansi</t>
  </si>
  <si>
    <t>Dr Dinesh Rajput</t>
  </si>
  <si>
    <t>on - 8 mar Dr did not answered the call ., on - 10 mar Dr  rajput sir answered the call , Said they have CT scan , &amp; USG machine they are looking for an MRI machine in 1.5T  MRI machine , He is not sure about any channels But he said he want our site executive to visit his center , for this discussion . said  he will  discuss all the Details Face to face , &amp; he is also agree to share his adress if we said him hello , on whats ap . Not picked 11-June-2022</t>
  </si>
  <si>
    <t>VENNELA SCAN CENTRE &amp; DIAGNOSTICS</t>
  </si>
  <si>
    <t xml:space="preserve">Door No 29-13-91, Nakkal Road, Kaleswara Rao Road, Suryarao Pet, , Vijayawada </t>
  </si>
  <si>
    <t>Dr Sujatha Deva</t>
  </si>
  <si>
    <t>on - 8 mar dr  sujatha mam answered the call , she said  she is looking for single slices CT scanner she does not have Plan for any Model  so i told  her That we do not deal in  single slice CT , THere is no plan for MRI machine Right now.</t>
  </si>
  <si>
    <t xml:space="preserve">Dr Raj Aras </t>
  </si>
  <si>
    <t>on - 8 mar dialed no is switched off. , on - 10 mar dialed no  is curr. switched off , , on - 25 mar dialed no. is curr . switched off. , Switch off 11-June-2022</t>
  </si>
  <si>
    <t xml:space="preserve">Shabarish reddy </t>
  </si>
  <si>
    <t>shabarishreddy121@gmail.com</t>
  </si>
  <si>
    <t xml:space="preserve">on - 8 mar dialed  Dr shabarish  sir answer the call , said he is looking for either 4 slices  refurb CT scan , or 16 slices , He is agree with our Price Segment , Want Brochure Over whats ap , Said he will call us in like 15 mins .  , he called me back said he is looking for 4 slices CT scan , AS there is not much patients around his hospital . </t>
  </si>
  <si>
    <t>Gauribidanur From Gauribidanur (Karnataka)</t>
  </si>
  <si>
    <t>Nagercoil , Tamilnadu</t>
  </si>
  <si>
    <t>Dr. Sheju Jonathan</t>
  </si>
  <si>
    <t>shejujj@gmail.com</t>
  </si>
  <si>
    <t>on - 8 mar Dr said he actually  is not looking for any machines right now. it is only  a mistake he said .</t>
  </si>
  <si>
    <t>Nagaraj Raj , Synagaraj Raj</t>
  </si>
  <si>
    <t>synagarajpranav@gmail.com</t>
  </si>
  <si>
    <t>on - 8 mar did not answered  , on - 10 mar dialed no is curr .Busy .</t>
  </si>
  <si>
    <t xml:space="preserve">Keerthipati Vd Kumar </t>
  </si>
  <si>
    <t>klnsimha143@gmail.com</t>
  </si>
  <si>
    <t>on - 8 mar Dialed no. is curr. busy after ringing  , on - 10 mar dialed no. is curr . Busy after ringing .</t>
  </si>
  <si>
    <t>firojabad</t>
  </si>
  <si>
    <t xml:space="preserve">Dr B.s Yadav </t>
  </si>
  <si>
    <t>dr.bhoopendra7284@gmail.com</t>
  </si>
  <si>
    <t>on - 8 mar Dr B.s yadav said he is looking for 64 slices CT scan , center is under cunstrction , Did not confirm Much Details about timing &amp; all said ,  he want Brocchure &amp; machine details on his whats ap first . then he will contact us . , Not picked 23-Sept-2022</t>
  </si>
  <si>
    <t>Send me prices ccontact me ,</t>
  </si>
  <si>
    <t>Nitin Sawale  City   Hospital</t>
  </si>
  <si>
    <t xml:space="preserve"> Buldana Behind Bus Stand ,Jamrun Road Buldana</t>
  </si>
  <si>
    <t>Nitin Sawal</t>
  </si>
  <si>
    <t>sawalenitin633@gmail.com</t>
  </si>
  <si>
    <t>on - 8 mar Dr said they have Already done a meeting &amp; site enginer is also visited here  ,It mean he is  already in touch with our company</t>
  </si>
  <si>
    <t>we are planning to purchase MRI and CT Scan M/C</t>
  </si>
  <si>
    <t>Indeess Medical Systems Inc</t>
  </si>
  <si>
    <t>No 744/1a 3rd floor, Tiruchendur road, Palayamkottai, Tirunelveli  ,  Near Law College Opposite</t>
  </si>
  <si>
    <t xml:space="preserve">on - 10 mar  he have a center on name  of indeess medical system .  THey are actually a dealer  </t>
  </si>
  <si>
    <t>Showket Zargar</t>
  </si>
  <si>
    <t>SRL Diagnostics, Srinagar/Baramulla</t>
  </si>
  <si>
    <t xml:space="preserve">on - 10 mar dialed no. is not answering the call  </t>
  </si>
  <si>
    <t xml:space="preserve">Nirmal Patil Chetna Hospital </t>
  </si>
  <si>
    <t xml:space="preserve">
https://www.linkedin.com/in/nirmal-patil-82a715135/</t>
  </si>
  <si>
    <t xml:space="preserve">Hello, we are looking for investor to start radio diagnostic centre. 
Please call 8554990324 in evening </t>
  </si>
  <si>
    <t>Pranav hospital</t>
  </si>
  <si>
    <t xml:space="preserve">Gandhi Maidan, Near Handady Grama Panchayat, Handady, Bramavara, Karnataka </t>
  </si>
  <si>
    <t xml:space="preserve">Praveen Kumar </t>
  </si>
  <si>
    <t>on - 10 mar He said he is looking for 1.5 T he asked me the Starting price &amp; told me to call back after tuesday to talk to him , Dr is saying that he is planning for 1.5T MRI wants to meet someone from our side 12-April-2022, he is saying that no plan as such right now 23-Sept-2022</t>
  </si>
  <si>
    <t>KANNUR MEDICAL COLLEGE</t>
  </si>
  <si>
    <t xml:space="preserve"> Integrated Campus, PO, Anjarakandy, Kerala </t>
  </si>
  <si>
    <t xml:space="preserve">Dr Ilango Parthasarathy </t>
  </si>
  <si>
    <t>sp.ilangodoctor@gmail.com</t>
  </si>
  <si>
    <t>on - 10 mar Dr said they are cunstructing  there hospital , It will take september to complete there hospital , Before Then They are looking to install All the machines , execpt MRI , He said MRI will take some more Time., He said he is  looking for eithere 64 slices or 128 slices CT scan He want the Details And  tube knowledge of the machines on whats ap . Then after after 2 days he want call back to talk . , So basically he can close the Deal first Because they want to start the hopsital in October  , so he have more time to install . , Disconnected the call 23-Sept-2022</t>
  </si>
  <si>
    <t xml:space="preserve">Bhanu radiology clinic Chhindwara </t>
  </si>
  <si>
    <t xml:space="preserve">Uday Tower, Khajri Road (Nagpur Road), Chhindwara HO, Chhindwara - , Infront Of Dist.hospital Gate No 03 ,Behind City Kotwali Police Station ,Near Gourav Lodge Bhudhwari </t>
  </si>
  <si>
    <t xml:space="preserve">Dr Bhanu Pratap </t>
  </si>
  <si>
    <t>doctorbhanu14@gmail.com</t>
  </si>
  <si>
    <t>on - 10 mar Dr bhanu said he is looking for 1.5T Basic model , He said they will take around 6 - 8 months to install MRi , at Present he want the Basic 1.5 T HDE model &amp; 1.5 T creator model to compare , HE want installation list in MP , To discuss our review , &amp; then , He will Proceed to meeting ,., He has a plan but will take time of 6b months call after 1 months 19-march-2022, Dr is saying that yes their is a plan but he is confuse that he will go with brand new or refub he want to meet someone in nagpur tommorow 13-April-2022, He is sayijng tha he is facing some issue in the site thats why plan gets dealy he is telling he is touch with our engineers and feils exectiuive well so plan is take time of 2 months 22-Sept-</t>
  </si>
  <si>
    <t>Sharma Diagnostic Centre</t>
  </si>
  <si>
    <t>Ram bhavan, Dadri-Jarcha Rd, Aurangabad, Uttar Pradesh</t>
  </si>
  <si>
    <t xml:space="preserve">Umesh Sharma
</t>
  </si>
  <si>
    <t xml:space="preserve">on - 10 mar dialed no. is busy on another call , Then  he answered the call &amp; disconnected it . </t>
  </si>
  <si>
    <t xml:space="preserve">planning for CT  scans in greater noida dadli </t>
  </si>
  <si>
    <t>Hill Maxx Diagnostic Laboratory</t>
  </si>
  <si>
    <t xml:space="preserve">Jammu </t>
  </si>
  <si>
    <t>Manik Mahajan</t>
  </si>
  <si>
    <t xml:space="preserve">on - 10 mar manik  said he already speaked with rochi mam ,  &amp;  was planning for .04 T MRI , So he said now, he have taken , 0.4 T MRI machine , did not disclose the Company , But said , that if in future he is planning for a supercon , Then He will contact us . </t>
  </si>
  <si>
    <t xml:space="preserve">Not connected </t>
  </si>
  <si>
    <t>Omar Mukhtar</t>
  </si>
  <si>
    <t xml:space="preserve">on - 10 mar did not answered the call . </t>
  </si>
  <si>
    <t xml:space="preserve">Disconnect the call </t>
  </si>
  <si>
    <t>Ravinder Kalra</t>
  </si>
  <si>
    <t xml:space="preserve">on - 10 mar dialed no. is Busy on another call , then The dialed no. is busy </t>
  </si>
  <si>
    <t xml:space="preserve"> Gaurav Giri</t>
  </si>
  <si>
    <t xml:space="preserve">Busy on another call </t>
  </si>
  <si>
    <t>Santanu Kumar Ghosh</t>
  </si>
  <si>
    <t xml:space="preserve">on - 10 mar dialed no. is curr.Busy </t>
  </si>
  <si>
    <t>Dr.PrithvirajPatil</t>
  </si>
  <si>
    <t>prithvipatil777@gmail.com</t>
  </si>
  <si>
    <t>on - 10 mar  Dr pritvi raj sir answered the call , Said  he was Previously planning But Now ,  he said The pnning is not executing , so he will take time , He said he will contact us when ever there is any plan .</t>
  </si>
  <si>
    <t>Aayush Laboratory</t>
  </si>
  <si>
    <t xml:space="preserve"> Aayush Laboratory, Medical College, Calicut</t>
  </si>
  <si>
    <t>Nidheesh Pk</t>
  </si>
  <si>
    <t>on - 10 mar Dr  nideesh sir answered sid he is Planning for  CT scan machine right now He said he want know Which  machine will good for him.</t>
  </si>
  <si>
    <t xml:space="preserve">Presently I am running a laboratory
www.leaayush.com
I am planning to start a CT and usg
</t>
  </si>
  <si>
    <t xml:space="preserve"> Jitendra Kumar Mahajan</t>
  </si>
  <si>
    <t xml:space="preserve">on - 10 mar He said he busy now , want us to call back in evening , But By searching found he is  , konika minolta Business solutions .
</t>
  </si>
  <si>
    <t>Gobinda Reang</t>
  </si>
  <si>
    <t xml:space="preserve">on - 10 mar Mr. gabinda Is actually Was in inrolled in a cource &amp; that they will take  time right now. HE said at Present  there is no plan , But when ever there is any Plan he will contact us . </t>
  </si>
  <si>
    <t>not now.....but I want to know ...my... whatsapp no...   - Assam</t>
  </si>
  <si>
    <t xml:space="preserve">Parveen Gupta 
</t>
  </si>
  <si>
    <t>on - 10 mar No. is incorrect, no. is inavalid.</t>
  </si>
  <si>
    <t xml:space="preserve">
Bhat Farooq 
</t>
  </si>
  <si>
    <t xml:space="preserve">on - 10 mar Dialed no.  did not answered the call. </t>
  </si>
  <si>
    <t>Shivam Dwivedi</t>
  </si>
  <si>
    <t>77048 63074</t>
  </si>
  <si>
    <t>shivamdwivedi461@gmail.com</t>
  </si>
  <si>
    <t xml:space="preserve">on - 10 mar shivam Sir answered the call , Said at Presnt there is no plan , Previously they were  planning  But due to financial Isuue He is Presently Not planning . </t>
  </si>
  <si>
    <t xml:space="preserve">shivam is saying their is no plan due to finance </t>
  </si>
  <si>
    <t xml:space="preserve"> Dar Mansoor</t>
  </si>
  <si>
    <t xml:space="preserve">on - 10 Mar dialed no. did not answered the call , </t>
  </si>
  <si>
    <t>Amit Singh</t>
  </si>
  <si>
    <t>on - 10 Mar dialed no. did not answererd the call. , on - 19 mar dialed no is curr . busy after single bell.</t>
  </si>
  <si>
    <t>He is planning to install machine in uttrakhand in vinayak hospital 8859515194</t>
  </si>
  <si>
    <t xml:space="preserve"> Sunil Gupta</t>
  </si>
  <si>
    <t xml:space="preserve">on - 10 mar incomming call facility is not available . </t>
  </si>
  <si>
    <t xml:space="preserve">He is planning for 4 slice Ct scans machine </t>
  </si>
  <si>
    <t>Jitendra Sharma</t>
  </si>
  <si>
    <t>on - 10 mar dialed no. did not answered the call.</t>
  </si>
  <si>
    <t xml:space="preserve">Amit Thakur - MRI </t>
  </si>
  <si>
    <t>on - 10 mar dialed no. disconnected the call after answering .</t>
  </si>
  <si>
    <t>Mritunjay Raj</t>
  </si>
  <si>
    <t>on - 10 mar Mr mritunjay sir answered the call , said he is looking for single slice CT scan . only in refurb .</t>
  </si>
  <si>
    <t>Chenthil Pillai</t>
  </si>
  <si>
    <t xml:space="preserve">on - 10 mar dialed no did not answered the call  </t>
  </si>
  <si>
    <t xml:space="preserve">Lalit </t>
  </si>
  <si>
    <t>9940027564  ,8610854140</t>
  </si>
  <si>
    <t>drlalithasekar@gmail.clm</t>
  </si>
  <si>
    <t>on - 10 mar dialed no. is busy on another call ,  6slices  USG  ,  Dr lalthila mam Called us back , She said she has a cunsultancy Services  they are actually help Dr;s To open Diagnostic center , &amp; they are like a dealer in south Region , SHe said he is looking For a partner ship  ( collab ) for refurb CT scanner machines.</t>
  </si>
  <si>
    <t xml:space="preserve">Mrs lalit is the concern person here and want 32 sliceCt scans machine want broucher an all </t>
  </si>
  <si>
    <t xml:space="preserve">medity Diagnostic center  </t>
  </si>
  <si>
    <t xml:space="preserve">karnal </t>
  </si>
  <si>
    <t xml:space="preserve">  Satender Khatri</t>
  </si>
  <si>
    <t>dr.satender@yahoo.com</t>
  </si>
  <si>
    <t xml:space="preserve"> on - 10 mar dialed no.  Mr. satender sir said he is planning for Both MRI &amp; CT scan  MRi in 1.5 T 16 channels &amp; 16 slices Brand new CT scan , He wants to install with in 6 months , Now he want 1.5T Brocchure &amp; raw quotation as well as philips 16 slices CT scan quotation &amp; blue Print for MRI &amp; CT scan . he has an architecht , now, want to talk it out first .He is saying that call me after 2 months he is outside from town 07-May-2022, Disconnected the call 23-Sept-2022, He is saying that he is out of station for one month so he told me to call after one months so call on 2 nov 07-Octo-2022</t>
  </si>
  <si>
    <t>Gagan Chattrath</t>
  </si>
  <si>
    <t>on - 10 mar dialed no. is curr, Busy on another call .</t>
  </si>
  <si>
    <t>srinagar kashmir</t>
  </si>
  <si>
    <t>Saif Ul Abrar</t>
  </si>
  <si>
    <t>on - 10 mar  saif  said heworking in both gov.&amp; pvt sec So he wants first to install a ct scan  at his center , He said he is agree with our Price  now, He said that he  want the Quaotaion &amp; details on whats ap ,  &amp; then He  will share the  photos of the area , He is  saying that plan is there but they all are not decided fue things yet they are saying that please call me after 3 days to conform about the plan 07-Octo-2022</t>
  </si>
  <si>
    <t>nanded maharashtra</t>
  </si>
  <si>
    <t>Mohammed Altaf</t>
  </si>
  <si>
    <t xml:space="preserve">on - 10 mar  Mr mohammed  sir answered the call , said he is Looking for Pathology equipment Now,  he Do not have any plan , But he said  he will share our refference so if some one has plan for MR  or CT scan he will  contact us . </t>
  </si>
  <si>
    <t>need pathology equipments--- will contact if need MRI/CT in future</t>
  </si>
  <si>
    <t>Karuppiah Ananth</t>
  </si>
  <si>
    <t xml:space="preserve">on - 10 mar dialeled no. Mr. karuppiah  said his center  120 km away From   madiurai  he said he i slooking for some one who wants to install  The machine in a periferal area ,  on his centrer Beacuse he has a center &amp; do not have any Plan . </t>
  </si>
  <si>
    <t xml:space="preserve">Switch off </t>
  </si>
  <si>
    <t>chennai</t>
  </si>
  <si>
    <t>Sarath Sarath</t>
  </si>
  <si>
    <t>on - 10 mar He said he have Some  Space issue  he said in Ground floor They have full parking in second froor They have Pop walls &amp;  dr OPD room  he said if some could vist on his Center &amp; help him out with Space Then He is Ready to take Super conductive MRI machine . He is only prefer open MRI 01-April-2022</t>
  </si>
  <si>
    <t>director of hopsital</t>
  </si>
  <si>
    <t xml:space="preserve">He is looking for Open MRi machine </t>
  </si>
  <si>
    <t>Sangli, Maharashtra</t>
  </si>
  <si>
    <t>SharadPatil</t>
  </si>
  <si>
    <t>sp5095285@gmail.com</t>
  </si>
  <si>
    <t>on - 10 mar he asked me about  Pricesing for Both MRI &amp; CT scan machine  &amp; then after listining To  price   he said i will call you back .</t>
  </si>
  <si>
    <t>wants MRI</t>
  </si>
  <si>
    <t>Nagaon, Assam</t>
  </si>
  <si>
    <t>Prabin Debnath</t>
  </si>
  <si>
    <t>on - 10 mar Dialed no. did not answered the call , , He is saying that they already have simense 1.5T MRI machine and 128Slice CT they are looking for a CMC because CMC is going to expire in nov 07-Octo-2022</t>
  </si>
  <si>
    <t>we have 128slice siemens ct scan and 1.5T Mri machine. Do you provide CMC these machines ? My lab is located in Assam.</t>
  </si>
  <si>
    <t>Sai Kiran P</t>
  </si>
  <si>
    <t xml:space="preserve">on - 10 mar  Dialed no . did not answered the call  </t>
  </si>
  <si>
    <t>Muneer Hussain</t>
  </si>
  <si>
    <t>Srinagar, J&amp;K</t>
  </si>
  <si>
    <t>on - 10 mar , dialed no. is busy on another call .  , Dr called me back said he is busy with some patient told me he will call me back after some time . , He is saying there is not as such plan for any machine 07-Octo-2022</t>
  </si>
  <si>
    <t>MRI and CT</t>
  </si>
  <si>
    <t>Ashutosh Prakash</t>
  </si>
  <si>
    <t xml:space="preserve">Muzaffarpur, Bihar
</t>
  </si>
  <si>
    <t>on - 10 mar dialed no. is busy, He is saying that he stop the plan so there is no need  07-Octo-2022</t>
  </si>
  <si>
    <t>wants CT 16 slice</t>
  </si>
  <si>
    <t xml:space="preserve"> Santanu Kumar Ghosh</t>
  </si>
  <si>
    <t>nadia, west bengal</t>
  </si>
  <si>
    <t>on - 10 mar same as ls no . 25</t>
  </si>
  <si>
    <t>Madurai, (Tamil Nadu)</t>
  </si>
  <si>
    <t>on - 10 mar same as l no. 47</t>
  </si>
  <si>
    <t xml:space="preserve">Saha Shamick
</t>
  </si>
  <si>
    <t>Agartala, Tripura</t>
  </si>
  <si>
    <t xml:space="preserve">on - 10 mar Dr said he actually is planing  but as off now he is busy in opd Will call us Back , He said at Presnt there is no confirm Planning he will call us back after confirming , </t>
  </si>
  <si>
    <t>not sure but take any one CT or MRI</t>
  </si>
  <si>
    <t xml:space="preserve">kayaline bio tech diagnostic center </t>
  </si>
  <si>
    <t xml:space="preserve"> tunnur karnataka</t>
  </si>
  <si>
    <t xml:space="preserve">Mahesh Mahi
</t>
  </si>
  <si>
    <t>maheshwarappa.999@gmail.com</t>
  </si>
  <si>
    <t>on - 17 mar Mr mahesh answered said he is planning for 16 slices CT scan  basic model they are going to set up there own  diagnostic center with pathology facility also .  so it will take around 6 months to 1 yr Now he want Brochhure on whats ap for CT scan he said he will discuss the Details on, He is saying that their is no plan as such 07-Octo-2022</t>
  </si>
  <si>
    <t xml:space="preserve">Dr-Vikas Agarwal
</t>
  </si>
  <si>
    <t xml:space="preserve">on - 17 mar Dr vikas  said our price for CT scan is too high So hedon't want to go with if we Provide hism CT in 40 - 45 lkhs  then hewill install he said . </t>
  </si>
  <si>
    <t xml:space="preserve">Madhu Boddam
</t>
  </si>
  <si>
    <t>on - 17 mar Not answered the call . not connected 07-Octo-2022</t>
  </si>
  <si>
    <t xml:space="preserve">Amit Deshraj
</t>
  </si>
  <si>
    <t>on - 17 mar dialed no. is busy after single bell ., Not connecected 07-Octo-2022</t>
  </si>
  <si>
    <t>Patna Bihar</t>
  </si>
  <si>
    <t>Rajesh Singhaniya</t>
  </si>
  <si>
    <t>62007 99817</t>
  </si>
  <si>
    <t>gore79500@gmail.com</t>
  </si>
  <si>
    <t>plan for 128 slice CT after 1 year, He is saying that hospital is going to open in this 10 days and he says i will call you in 10 mins 07-Octo-2022</t>
  </si>
  <si>
    <t xml:space="preserve">dharamnagar , tripura </t>
  </si>
  <si>
    <t xml:space="preserve">Panna Acharjee
</t>
  </si>
  <si>
    <t>pannaacharjee70@gmail.com</t>
  </si>
  <si>
    <r>
      <rPr>
        <rFont val="Calibri"/>
        <b/>
        <color theme="1"/>
        <sz val="12.0"/>
      </rPr>
      <t xml:space="preserve">on - 17 marDr said  he is looking for refurb  in 16 slices he said Prices are actually high &amp;  he said  loan for his CT scan is under process  ,  he said he want Brocchure first to talk about it .  </t>
    </r>
    <r>
      <rPr>
        <rFont val="Calibri"/>
        <b/>
        <color rgb="FFFF0000"/>
        <sz val="12.0"/>
      </rPr>
      <t>07-Octo-2022</t>
    </r>
  </si>
  <si>
    <t xml:space="preserve">Rakesh Kumar
</t>
  </si>
  <si>
    <t>on - 17 mar rakesh sir answered the call he said he did not know much about any CT or MRi he said he is looking for CT scan But after hearing Price he disconnctted the call .  he want Brocchure on his mail id . , No plan as such disconnected the call  07-Octo-2022</t>
  </si>
  <si>
    <t>Tumkur</t>
  </si>
  <si>
    <t xml:space="preserve">Bhadshaa Dinesh
</t>
  </si>
  <si>
    <t xml:space="preserve">on - 17 mar No. is curr . switched off  </t>
  </si>
  <si>
    <t>Srikant Chaudhary</t>
  </si>
  <si>
    <t xml:space="preserve">on - 17 mar He said he is actually looking for a  USG machine now so at presenet there is no plan for CT or MRI he said he will call us back when required . </t>
  </si>
  <si>
    <t xml:space="preserve">modern diagnostic  center </t>
  </si>
  <si>
    <t xml:space="preserve">Nuvapada </t>
  </si>
  <si>
    <t>Amulya Khuntia</t>
  </si>
  <si>
    <t>cmdcnhospital@gmail.com</t>
  </si>
  <si>
    <t>on - 17 mar  he said he is planning for 16 slices refurb CT scanner machine   he said he will start his plan after march so at Presently he want CT scan brochure on whats ap only &amp; then he said Plan will take time as he will be applying to loan process an all , follow back later to talk . , Not picked 23-Sept-2022, Not picked  07-Octo-2022</t>
  </si>
  <si>
    <t xml:space="preserve">ranjana pheotraphy clinic </t>
  </si>
  <si>
    <t xml:space="preserve">Sr. MIG Buildings , Gr. Floor Flat No. 4, Block No. 1 , Sarswati Nagar Near, Bhadbhada Road, Shastri Nagar, Bhopal, Madhya Pradesh </t>
  </si>
  <si>
    <t xml:space="preserve">Arun Nigam
</t>
  </si>
  <si>
    <t>on - 17 mar arun nigam is actually father of  2 drs  he said there is no issue for finance no issyefor soace he want to expand his center  into proper radiology &amp; diagnostic setup he said his one daugter is neurologist &amp; other Dauther is orthopedic Dr . want meeting F2F to understand then talk . (  site  executive to talk  for Expandation )  his center is actually in bhopal  he said he have 3500 sq feet of are  to prodceed with , Not picked 01-Aril-2022, He is looking for low cost machine 20 to 25 lakh only 09-April-2022</t>
  </si>
  <si>
    <t>Parekh Dental Clinic</t>
  </si>
  <si>
    <t xml:space="preserve"> #208, Queens Rd, near Crystal Chowk, Crystal Chowk, INA Colony, Amritsar, Punjab</t>
  </si>
  <si>
    <t>Hardik Parekh</t>
  </si>
  <si>
    <t>on - 19 mar Dialed he said he want to discuss the technical details of the Machine .  &amp; now at first he want whats ap for Both MR &amp; refurb CT scan then he will confirm futher details he said basically they have plan for Both   but at first they will look for CT scan .  then They will go to MRI part . , He is saying first send me quotation then will will talk he is plannning for both the machine. 01-April-2022, Dr is busy right now call in eveniing 09-April-2022, planning idon hold for next months 13-April-2022, Not picked 23-Sept-2022</t>
  </si>
  <si>
    <t xml:space="preserve">MAY CALLING REQUIRE </t>
  </si>
  <si>
    <t>Dr.Ram pawar</t>
  </si>
  <si>
    <t>same as sl no . 44</t>
  </si>
  <si>
    <t xml:space="preserve"> dr Abdul Majeed</t>
  </si>
  <si>
    <t xml:space="preserve">on - 17 mar he is actually looking for xray &amp;eeg i there center </t>
  </si>
  <si>
    <t xml:space="preserve">interested in refurbished ct/ mri kindly contact </t>
  </si>
  <si>
    <t>Dr Vittal Shavi</t>
  </si>
  <si>
    <t>shavivittal@gmail.com</t>
  </si>
  <si>
    <t xml:space="preserve">on - 17 mar Dialed no. is busy on another call . </t>
  </si>
  <si>
    <t>Dr. Neelima Rana</t>
  </si>
  <si>
    <t xml:space="preserve">on - 17 mar Dr neelima said at Present she actually busy She told me to call back  on staurday to speak with her .  , on - 19 mar Dr mam said she is actually busy call back later to talk . </t>
  </si>
  <si>
    <t>Please connect on</t>
  </si>
  <si>
    <t>murali krishna</t>
  </si>
  <si>
    <t>gmurali.krishna1602@gmail.com</t>
  </si>
  <si>
    <t>on - 17 mar Dialed no does not exist . , on - 24 mar He said that  he is actually a dealer &amp; was Looking for CT scan machine only .  , he also said that there is actually 2 hospitals which are recently opened here planning for MRI machine . ,, He is a dealer 13-Aril-2022</t>
  </si>
  <si>
    <t>Can you call
Me on</t>
  </si>
  <si>
    <t xml:space="preserve">vijaywada </t>
  </si>
  <si>
    <t>Shubham Sharma</t>
  </si>
  <si>
    <t>on - 17 mar He said he is busy on OT .</t>
  </si>
  <si>
    <t>Aslam Perwez</t>
  </si>
  <si>
    <t xml:space="preserve">on - 17 mar dialed no. did not answered the call . </t>
  </si>
  <si>
    <t>Whatsp</t>
  </si>
  <si>
    <t>Rajesh Raj</t>
  </si>
  <si>
    <t xml:space="preserve">on - 17 mar Dialed no.  is busy . </t>
  </si>
  <si>
    <t xml:space="preserve">Sanswrang Basumatary </t>
  </si>
  <si>
    <t xml:space="preserve">on - 17 mar did not answered the call  </t>
  </si>
  <si>
    <t>Sunswrang Basumatary
I want a refurbished CT machine please contact</t>
  </si>
  <si>
    <t>Ajay Ghatwai
Riddhi Diagnostics Pvt Ltd
Bilaspur Chhattisgarh</t>
  </si>
  <si>
    <t>ajayghatwai@gmail.com</t>
  </si>
  <si>
    <t xml:space="preserve">on - 17 mar  ajay  sir said the Prices for out CT scan is very much high he said he already have  quotation formphilips for 1.15 CR to start with so at Presnet there is no plan for MRI machine . </t>
  </si>
  <si>
    <t xml:space="preserve">Please send more details
Contact no </t>
  </si>
  <si>
    <t xml:space="preserve">Rajesh Munot
</t>
  </si>
  <si>
    <t>call is busy 13-April-2022</t>
  </si>
  <si>
    <t xml:space="preserve">Chetas Mistry
</t>
  </si>
  <si>
    <t xml:space="preserve">ahinsa hopital </t>
  </si>
  <si>
    <t xml:space="preserve">maharastra dhule nashik </t>
  </si>
  <si>
    <t xml:space="preserve">Rajesh </t>
  </si>
  <si>
    <t>HE is saying he is planning for CT scans machine first he want to go with broucher after that he want to connect the call tommorow  13-April-2022, He is saying that plan is pospond till december so please call in december 24-Aug-2022</t>
  </si>
  <si>
    <t xml:space="preserve">
KN Nandakumar</t>
  </si>
  <si>
    <t>Not picekd 13-April-2022</t>
  </si>
  <si>
    <t>Joe michael
via - Google forms email lead</t>
  </si>
  <si>
    <t xml:space="preserve">joem77912@gmail.com
</t>
  </si>
  <si>
    <t>There is no need for MRI he recently join hospital for job 13-April-2022</t>
  </si>
  <si>
    <t>ILS Hospital, Howrah, Bengal</t>
  </si>
  <si>
    <t>Jamal Piyada
via - Google forms email lead</t>
  </si>
  <si>
    <t xml:space="preserve">jamalpiyada187@gmail.com
</t>
  </si>
  <si>
    <t xml:space="preserve">He is saying we have already CT scans and MRI of GE and there is no need for more </t>
  </si>
  <si>
    <t xml:space="preserve">Sub distt hospital sopore
</t>
  </si>
  <si>
    <t>Tavfeeq Ahmad lone
via - Google forms email lead</t>
  </si>
  <si>
    <t xml:space="preserve">tavfeeq07@gmail.com
</t>
  </si>
  <si>
    <t>Not availble no 23-Sept-2022</t>
  </si>
  <si>
    <t xml:space="preserve">jaipur ultrasound centre diagnostics </t>
  </si>
  <si>
    <t xml:space="preserve">hanumgarh </t>
  </si>
  <si>
    <t>Dr Sanjay Poonia c/ o Jaipur Ultrasound centre, Bhadra ( Hanumangarh district) Rajasthan 335501</t>
  </si>
  <si>
    <t>Dr Sanjay Poonia</t>
  </si>
  <si>
    <t xml:space="preserve">9549915095 for Watsapp or calls
</t>
  </si>
  <si>
    <t>He is saying that he has a plan for MRI machine also intrested in simense machine he is saying that first priority is my to do loan from bank and he is saying that if you all can help in the loan then i will proceed the plan within a month 23-Sept-2022</t>
  </si>
  <si>
    <t xml:space="preserve">shared to nasir </t>
  </si>
  <si>
    <t>Dealer</t>
  </si>
  <si>
    <t>Rahi Bilal medical agency anantnag jk already dealing with medical equipments in jk for usg,xray want to tie-up for further dealings in mri and CT.. explain further 9797845886.email bilalrahi121@gmail.com</t>
  </si>
  <si>
    <t xml:space="preserve">Avinash Pandey
9653053412
</t>
  </si>
  <si>
    <t xml:space="preserve">No there is no as such plan </t>
  </si>
  <si>
    <t>D rabdul majeed Sofi
9541103480</t>
  </si>
  <si>
    <t>He is saying that their is no plan as such if their is requirement they will call us 23-Sept-2022</t>
  </si>
  <si>
    <t>Kolkata WB</t>
  </si>
  <si>
    <t>Ramrahul Ghosh
8349350070</t>
  </si>
  <si>
    <t>Not picked 23-Sept-2022</t>
  </si>
  <si>
    <t xml:space="preserve">8628466139
Thimmaiah Seenappa Mla
</t>
  </si>
  <si>
    <t>invalid no 23-Sept-2022</t>
  </si>
  <si>
    <t>Omkar,Sawaisarje,sawaisarjeomkar@gmail.com,8999231921</t>
  </si>
  <si>
    <t>solapur maharashtra</t>
  </si>
  <si>
    <t>need within 1 months, No plan wrong query , Not Coneected 23-Sept-2022</t>
  </si>
  <si>
    <t>Shabir,Shah,Shabir786shah@gmail.com,8382970350</t>
  </si>
  <si>
    <t>radiographer with some interest------ 1 years</t>
  </si>
  <si>
    <t>Aurunangshu Ali Chaudhary</t>
  </si>
  <si>
    <t>daffodilrsby@rediffmail.com</t>
  </si>
  <si>
    <t>Asansol</t>
  </si>
  <si>
    <t>Sumit Upadhyay</t>
  </si>
  <si>
    <t xml:space="preserve">
sumantishealthcare@gmail.com
</t>
  </si>
  <si>
    <t>Naresh Narendra</t>
  </si>
  <si>
    <t xml:space="preserve">rahi Bilal medical agency anantnag jk
</t>
  </si>
  <si>
    <t xml:space="preserve">send deatsils on whatsup 9797845886
</t>
  </si>
  <si>
    <t>He is a dealer 23-Sept-2022</t>
  </si>
  <si>
    <t xml:space="preserve">Waseem Wr
</t>
  </si>
  <si>
    <t>Wrong No 23-Sept-2022</t>
  </si>
  <si>
    <t xml:space="preserve">Roshan Anand
</t>
  </si>
  <si>
    <t>He is saying that he is planning for ultrasound machine 07-Octo-2022</t>
  </si>
  <si>
    <t xml:space="preserve">Yogesh Desarda
</t>
  </si>
  <si>
    <t>Aurangabad Mahrashtra</t>
  </si>
  <si>
    <t>There is no plan as such 07-Octo-2022</t>
  </si>
  <si>
    <t xml:space="preserve">
Dinesh Kumar</t>
  </si>
  <si>
    <t>Not picked 07-Octo-2022</t>
  </si>
  <si>
    <t xml:space="preserve">9949034747 Dr Ajaykumar
</t>
  </si>
  <si>
    <t>Dr ajaay is saying that they are planning for 1.5T Machine tehy wnt to go with soimense machine i send quoattion of GE and will call after 4 days 07-Octo-2022</t>
  </si>
  <si>
    <t xml:space="preserve">Avinash Naik
</t>
  </si>
  <si>
    <t xml:space="preserve">Whatsapp 9938718229
</t>
  </si>
  <si>
    <t>He is saying that they have a plan but he is driving roght now so please call me in evening 07-Octo-2022</t>
  </si>
  <si>
    <t>Mohd Naveed,Khan,naveedkhan980@gmail.com,7051652846</t>
  </si>
  <si>
    <t>Send brochure</t>
  </si>
  <si>
    <t>Not picked , There is no plan as such 07-Octo-2022</t>
  </si>
  <si>
    <t xml:space="preserve">Anil Mohan Mehta
</t>
  </si>
  <si>
    <t xml:space="preserve">Call 9460004024
</t>
  </si>
  <si>
    <t>Not picked , Wrong number 07-Octo-2022</t>
  </si>
  <si>
    <t xml:space="preserve">Soumendra Nath Goswami
</t>
  </si>
  <si>
    <t>My Company details 
SSP Medical 
My whatsapp number 
8583829669</t>
  </si>
  <si>
    <t>Viraj Pathak</t>
  </si>
  <si>
    <t xml:space="preserve">He is a dealer in maharastra </t>
  </si>
  <si>
    <t xml:space="preserve">Zuned Vohra
</t>
  </si>
  <si>
    <t>Anand, Gujarat</t>
  </si>
  <si>
    <t>Busy on another call</t>
  </si>
  <si>
    <t xml:space="preserve">Sultanpur </t>
  </si>
  <si>
    <t xml:space="preserve">KMC Medical Centre </t>
  </si>
  <si>
    <t xml:space="preserve">Ratna Deep Pandey
</t>
  </si>
  <si>
    <t xml:space="preserve">
ratansln83@gmail.com
</t>
  </si>
  <si>
    <t xml:space="preserve">He is saying he want to install the machine in sultanpur and his budget is good to install 3.0T machine, right now he is lacknow and want to meet someone from our side  </t>
  </si>
  <si>
    <t xml:space="preserve">STRONG FOLLOWUP </t>
  </si>
  <si>
    <t xml:space="preserve">Dr virendra Yadav
</t>
  </si>
  <si>
    <t>Sagar, MP</t>
  </si>
  <si>
    <t>Alreasy touch with manita 05-May-2022</t>
  </si>
  <si>
    <t xml:space="preserve">Vikram Sankhla Saini
</t>
  </si>
  <si>
    <t>Bikaner/jaipur (Rajasthan)</t>
  </si>
  <si>
    <t>He is searching for a job in rajasthan like feild sales 05-May-2022</t>
  </si>
  <si>
    <t>9886009681 dr sambashiva 
Medical director Sree Lakshmi hospital 
Kaggadas pure Bangaloer</t>
  </si>
  <si>
    <t>He is saying he has a plan for CT scans machine in 16 Slice , He is saying that he has only 50 beded hospital thats why he wants to go with pet CT scans machine 23-June-2022</t>
  </si>
  <si>
    <t>7760076200 
Bhadshaa Dinesh
this is my whatsup number...pls share details.....I have own multispeciality hospital</t>
  </si>
  <si>
    <t>tumkur</t>
  </si>
  <si>
    <t>Not connected number , Not picked 14-Octo-2022</t>
  </si>
  <si>
    <t xml:space="preserve">7250186372
Saurav Kumar
</t>
  </si>
  <si>
    <t xml:space="preserve">He is saying call me after sometime </t>
  </si>
  <si>
    <t xml:space="preserve">8320067918
Ravi Pethani
</t>
  </si>
  <si>
    <t xml:space="preserve">Wrong query </t>
  </si>
  <si>
    <t xml:space="preserve">Sudha Hospital </t>
  </si>
  <si>
    <t xml:space="preserve">9726383909
Ghanshyam sinh 
Sodha
</t>
  </si>
  <si>
    <t>He is saying call me after 2 months my hospital is under construction , He is saying that construction will take time of march so he is saying that please share the broucher first then after i will talk 14-Octo-2022</t>
  </si>
  <si>
    <t xml:space="preserve">7906301610
Samir Malik </t>
  </si>
  <si>
    <t xml:space="preserve">8250291658
Manas Biswas
</t>
  </si>
  <si>
    <t>he told me to call on  monday 11-June-2022, He is saying that he has a plan but not shared as much of the things he told me to call after sjharing the broucher 14-Octo-2022</t>
  </si>
  <si>
    <t>8511106460
Yashesh Thakkar</t>
  </si>
  <si>
    <t>He is a dealer and doing business of import and expport 6/11/2022</t>
  </si>
  <si>
    <r>
      <rPr>
        <rFont val="Arial"/>
        <color theme="1"/>
        <sz val="12.0"/>
      </rPr>
      <t xml:space="preserve">i need ct scan machine 2 slice 2 nd hand
</t>
    </r>
    <r>
      <rPr>
        <rFont val="Arial"/>
        <b/>
        <color theme="1"/>
        <sz val="12.0"/>
      </rPr>
      <t xml:space="preserve">Pramod Prajapat
</t>
    </r>
    <r>
      <rPr>
        <rFont val="Arial"/>
        <color theme="1"/>
        <sz val="12.0"/>
      </rPr>
      <t xml:space="preserve">
</t>
    </r>
    <r>
      <rPr>
        <rFont val="Arial"/>
        <b/>
        <color theme="1"/>
        <sz val="12.0"/>
      </rPr>
      <t>whatsapp 9784385409</t>
    </r>
  </si>
  <si>
    <t>Not picked     6/11/2022</t>
  </si>
  <si>
    <t xml:space="preserve">Deepak Arora
9725582549... whatsapp number
</t>
  </si>
  <si>
    <t>6/11/2022, He is saying that he has a plan for CT 32 slice  scans machine and he wants to go with brand new machine he told me to call after a week to take followup because he is busy in somework related to govt only 14-Octo-2022</t>
  </si>
  <si>
    <t xml:space="preserve">9835853171
Anil Kumar
</t>
  </si>
  <si>
    <t>6/11/2022, he is planning for dylsis or xray machine only 14-Octo-2022</t>
  </si>
  <si>
    <t xml:space="preserve">Abhijit Dutta -9830016840
</t>
  </si>
  <si>
    <t>6/11/2022, Not picked 14-Octo-2022</t>
  </si>
  <si>
    <t>Showket Zargar
9906834655</t>
  </si>
  <si>
    <t>6/11/2022, he is saying that he has a plan for MRI and CT scans machine and he told me to shared the details after tthat he will talk and also in  every friday he told me that there is an holiday 14-Octo-2022</t>
  </si>
  <si>
    <t>Alok Mishra
9452982719</t>
  </si>
  <si>
    <t>Out of network area, Not picked 14-Octo-2022</t>
  </si>
  <si>
    <t>Harish Virmani
9837064585</t>
  </si>
  <si>
    <t>Haradwar shivalik nagar</t>
  </si>
  <si>
    <t>He is saying that he want to install machine in haridwar his son is completed  radiologist and thats why he want to install machine he will close the deal in these days 19-May-2022</t>
  </si>
  <si>
    <t xml:space="preserve">
Lavkush Tiwari
7471114232
</t>
  </si>
  <si>
    <t xml:space="preserve">He is a dealer </t>
  </si>
  <si>
    <t xml:space="preserve">Faizan
7006770972
</t>
  </si>
  <si>
    <t>Shopia, Kashmir</t>
  </si>
  <si>
    <t xml:space="preserve">Not picekd </t>
  </si>
  <si>
    <t>SK Yadav
9602694705</t>
  </si>
  <si>
    <t xml:space="preserve"> He is saying that he is looking for service part </t>
  </si>
  <si>
    <t xml:space="preserve">6380785604
Dipak Singh
dipakraj0001@gmail.com
</t>
  </si>
  <si>
    <t xml:space="preserve">He is saying he has a plan for MRI and budget is 40 to 50 lakh </t>
  </si>
  <si>
    <t xml:space="preserve">asha diagnostics </t>
  </si>
  <si>
    <t xml:space="preserve">Amit Thakur
9161232323
</t>
  </si>
  <si>
    <t>He is saying he has a plan for MRI machnie but budget is 1.2cr i send the broucher and in second call i will conform</t>
  </si>
  <si>
    <t>Dhamuleela Surendran
WhatsApp 
9840204005</t>
  </si>
  <si>
    <t xml:space="preserve">Madan Mohan Pandeya
7759903933
</t>
  </si>
  <si>
    <t>Busy on another call 11-June-2022</t>
  </si>
  <si>
    <t xml:space="preserve">bibak healthcare </t>
  </si>
  <si>
    <t xml:space="preserve">Prasanth Pattayil
prasanthpattayil@outlook.com
+918891974762
</t>
  </si>
  <si>
    <t>He is saying that he already have MEI optima 1.5T machine there is no need of other if needed he will call us 30-May-2022</t>
  </si>
  <si>
    <t>Geeta saini
Shanti diagnostic centre
8527147413</t>
  </si>
  <si>
    <t>She is a technician wrongly he send query  30-May-2022</t>
  </si>
  <si>
    <t xml:space="preserve">N.A.THAMEEM
thameemplk@gmail.com
8015730957
</t>
  </si>
  <si>
    <t>Wrong query 30-May-2022</t>
  </si>
  <si>
    <t xml:space="preserve">Jerin Kuruvilla Varghese
jerinkuruvi@gmail.com
+919779219015
</t>
  </si>
  <si>
    <t>Not picked, No requirement 14-octo-2022</t>
  </si>
  <si>
    <t>Paràmesha
paramesha007@gmail.com
8951890793</t>
  </si>
  <si>
    <t xml:space="preserve">No plan as such </t>
  </si>
  <si>
    <t>Joe michael 
joem77912@gmail.com
7907231068</t>
  </si>
  <si>
    <t xml:space="preserve">No planing </t>
  </si>
  <si>
    <t xml:space="preserve">pankaj Kalita from ASSAM
8822979574
Pankaj Kalita
Call me
</t>
  </si>
  <si>
    <t>He is busy in patetinet and also said planning for CT scan machine he told me call after 5 pm  30-May-2022, Not picked 01-Octo-2022, He is saying that my centre is ready and also he send the address an all but no one come 14-Octo-2022</t>
  </si>
  <si>
    <t>Ahemad ultrasound</t>
  </si>
  <si>
    <t xml:space="preserve">Ahmed ultrasound </t>
  </si>
  <si>
    <t>Nafees,ahmad,nafeesnnp@gmail.com,+91 81759 52852</t>
  </si>
  <si>
    <t>Baharaich, UP</t>
  </si>
  <si>
    <t>He is saying he is thinking to install CT scans machine after 6 bminths and only send query for know the process and all  30-May-2022&lt; he is saing please call me after 20 days he will conform the plan 01-Octo-2022, Not picked 14-Octo-2022</t>
  </si>
  <si>
    <t>Guwahati, Assam</t>
  </si>
  <si>
    <t>Pankaj 8822979574, 9854385412</t>
  </si>
  <si>
    <t>MEDI HEALTH DIAGNOSTIC CENTRE PIN -781040</t>
  </si>
  <si>
    <t>He is saying he want to final philips 32 slice ct in 2 days and also touch with direct simens, He is saying that he is planning for 32 Slice CT scans machine and directly he said to  me to send your local person to talk also he want to install machine in one month 01-Octo-2022same as 143</t>
  </si>
  <si>
    <t xml:space="preserve">Bihar khatiyar </t>
  </si>
  <si>
    <t xml:space="preserve">Chaudhary ultrasound centre </t>
  </si>
  <si>
    <t>Bijayanand Choudhary
My whatsup number 9635456919</t>
  </si>
  <si>
    <t>He is saying that first share the quotation of the machine and then after take followup 11-June-2022, Disconnected the call 23-June-2022, Not picked 14-Octo-2022</t>
  </si>
  <si>
    <t>Arun Reddy Mallu
9948504999</t>
  </si>
  <si>
    <t>He is saying that call me after 6pm today 11-june-2022</t>
  </si>
  <si>
    <t xml:space="preserve">N L B Banmaher
9366545779 only  WhatAap
</t>
  </si>
  <si>
    <t>Number not in use 11-June-2022</t>
  </si>
  <si>
    <t>Tarique Ali Diagnostic Radiographer
My WhatsApp no 8010562105</t>
  </si>
  <si>
    <t>Not clear anythink 11-June-2022</t>
  </si>
  <si>
    <t xml:space="preserve">Kumar
7995410784
Cost information for planning and installation of refurbished ct scanner
</t>
  </si>
  <si>
    <t>Call not picked up 11-June-2022</t>
  </si>
  <si>
    <t xml:space="preserve">Gowtham Devareddy  
Consultant Neurosurgeon at M/S BAGGU SAROJINI DEVI HOSPITAL
Hi cost of refurbished CT .....
16 slice
+91 96771 11775 astha hospital(branch)
044 7196 7087     8925372777sami chef </t>
  </si>
  <si>
    <t xml:space="preserve">Contact with mr sami he say their is no plan as such in astha hospital and alreay they have CT scans machine </t>
  </si>
  <si>
    <t>call again to gowtham devareddy with his personal contact
gowtham.globalneurocare@gmail.com</t>
  </si>
  <si>
    <t xml:space="preserve">cuttack </t>
  </si>
  <si>
    <t xml:space="preserve">9938583848
deepak diagnostics
parbani </t>
  </si>
  <si>
    <t>He is saying that he has a plan for 16 slice CT scans machine and already touch with direct GE for the same he told me to share details and told me to call after 1 month 11-June-2022, He is saying he is focused on purchasing CB CT after that he will go with CT it will take time of 6 months 23-June-2022</t>
  </si>
  <si>
    <t>call on 25-June-2022</t>
  </si>
  <si>
    <t xml:space="preserve">sudhama </t>
  </si>
  <si>
    <t>Rt. MD Zeeshan,undefined,zmd9447@gmail.com,8207369190</t>
  </si>
  <si>
    <t>open new centre in coming year</t>
  </si>
  <si>
    <t>He is saying that he has a plan for CT scans machine but will atek time for 6 monyths 11 -june-2022</t>
  </si>
  <si>
    <t>call on 25-sept-2022</t>
  </si>
  <si>
    <t>Mohmad,shakeel,mshakeeltantray978@gmail.com,7889581975</t>
  </si>
  <si>
    <t>want ct details now</t>
  </si>
  <si>
    <t>Disconnected the call 11-june-2022</t>
  </si>
  <si>
    <t>Shahnawaz,Khan,shaan4151@gmail.com,+91 83055 44342</t>
  </si>
  <si>
    <t>oen new centre in coming year</t>
  </si>
  <si>
    <t>he is saying that he has a plan for mri but he is saying take 2 months so call after 10 days for followup , Not picked 19-sept-2022, He is saying that time will take for 3 months more so please call in jan 14-Octo-2022</t>
  </si>
  <si>
    <t>call on 25-june-2022</t>
  </si>
  <si>
    <t>Prawin,Gabale,drprawing@gmail.com,+91 86983 01178</t>
  </si>
  <si>
    <t>neurosurgeon from Parbani maharashtra</t>
  </si>
  <si>
    <t>He told me to call after some hour 11-June-2022, Not connected 14-Octo-2022</t>
  </si>
  <si>
    <t>Neeraj Mishra
8853614761</t>
  </si>
  <si>
    <t>Prayagraj, Allahabad</t>
  </si>
  <si>
    <t xml:space="preserve">Budget is too low saying he want ct scans machine in 30 to 40  lakh </t>
  </si>
  <si>
    <t>Dharmarajan Kameswaran
My whatsapp
6379230223</t>
  </si>
  <si>
    <t>Chennai or Madhurai
Tamil Nadu</t>
  </si>
  <si>
    <t>He is saying that he has a plan for CT and Cath lab but after 6 months-26 july-2022</t>
  </si>
  <si>
    <t>Binay Jha
9430948357</t>
  </si>
  <si>
    <t>madubani bihar</t>
  </si>
  <si>
    <t xml:space="preserve">Fake query </t>
  </si>
  <si>
    <t>Senthilvel
8056527563</t>
  </si>
  <si>
    <t>Vellakkovil, Tamil Nadu, India</t>
  </si>
  <si>
    <t>Kritika,Kailash Chand,kritkaktl@gmail.com,7877283046</t>
  </si>
  <si>
    <t>Near Alwar (Rajasthan)</t>
  </si>
  <si>
    <t>His brother wants to know about finacial details and loan process from banks</t>
  </si>
  <si>
    <t>Sumit Chaudhary
6306491659
Medical Officer</t>
  </si>
  <si>
    <t xml:space="preserve">Shamli, UP
</t>
  </si>
  <si>
    <t>Madhu 
6306491659</t>
  </si>
  <si>
    <t>may be irrelevent</t>
  </si>
  <si>
    <t xml:space="preserve">Line busy </t>
  </si>
  <si>
    <t>Dr Deshraj Garhwal
6375259265</t>
  </si>
  <si>
    <t>Jaipur Rajasthan/ Chomu Rajasthan</t>
  </si>
  <si>
    <t xml:space="preserve">He is looking a patitent so call after 20 mins </t>
  </si>
  <si>
    <t>8277074014
Govind Fakire</t>
  </si>
  <si>
    <t xml:space="preserve">No planning fake Query </t>
  </si>
  <si>
    <t xml:space="preserve">navi mumbai pixel diagnostics </t>
  </si>
  <si>
    <t>9821618447
Dr sandeep patel</t>
  </si>
  <si>
    <t>Shop No. 8, Meera Arcade, Plot No.14, Shilp Chowk, Jalvayu Rd, Sector 20, Kharghar, Navi Mumbai, Maharashtra 410210</t>
  </si>
  <si>
    <t>He is looking a patitent so call after 20 mins , Dr sandeep is saying that he is planning for MRI and CT scans machine and he wants to install that machine in next 4 months also he is saying that please send you executive for the meeting 14-Octo-2022</t>
  </si>
  <si>
    <t>Narinder Toor
number- 9814019115</t>
  </si>
  <si>
    <t>Ludhiana Punjab
Toor Hospital</t>
  </si>
  <si>
    <t>Recetion pick up the call and said sir is in emergency so call after sometime 26-july-2022, reseption picked the call and ask about the requirement with the dr he is saying that their is not as suchj plan 17-octo-2022</t>
  </si>
  <si>
    <t>Raj Goswami
9827233493</t>
  </si>
  <si>
    <t>Agra Uttar Pradesh</t>
  </si>
  <si>
    <t>Wrong number 17-octo-2022</t>
  </si>
  <si>
    <t>Aniket Tiwari
8200102092
(Want to sell CT Scan machine)</t>
  </si>
  <si>
    <t xml:space="preserve">Horizon Imaging
Surat, Gujrat
</t>
  </si>
  <si>
    <t>He wants to sell 2 machine first is GE and anorther one is simense 03-aug-2022, He is saying that he sell the machine of simense to someone and he want to sell this machine also he is 17-Sept-2022</t>
  </si>
  <si>
    <t xml:space="preserve">9655333024
Dr Krishna kumar
</t>
  </si>
  <si>
    <t>Mrityunjoy Banik
859542957</t>
  </si>
  <si>
    <t>Lives in Siliguri
From Islampur, West Bengal, India</t>
  </si>
  <si>
    <t xml:space="preserve">Wrong number </t>
  </si>
  <si>
    <t xml:space="preserve">kris multispecialty  hospital </t>
  </si>
  <si>
    <t>Subodh Kamble
9512666234</t>
  </si>
  <si>
    <t>Surat
Gujrat</t>
  </si>
  <si>
    <t>He is saying that he is planning for Ct scans machine but this will take time of 3 months so call after 3 months 12aug-2022 , He is saying that he has a plan for CTscans machine but will take the time of 6 months so call after 3 months to take update 17-Sept-2022</t>
  </si>
  <si>
    <t>Pranav Dwivedi
Radiologist ☢️ 💉 || SGPGIMS || KGMU
8171581990</t>
  </si>
  <si>
    <t>No not connected , Not connected 17-Octo-2022</t>
  </si>
  <si>
    <t xml:space="preserve">Hemanshu Nanavati
9898517747
</t>
  </si>
  <si>
    <t>Surat 
gujrat</t>
  </si>
  <si>
    <t xml:space="preserve">no planning 12aug-2022 </t>
  </si>
  <si>
    <t xml:space="preserve">Ajit Singh Randhawa
9872450902
Owner of Ajit Hospital
</t>
  </si>
  <si>
    <t>Amritsar, Punjab</t>
  </si>
  <si>
    <t>He is saying that he is planning for CT scans machine but not immidiate he will give me email id and he wants deatils on mail id 12aug-2022 , Refusing to tell about the plan 22-Sept-2022, Not picked 17-Sept-2022</t>
  </si>
  <si>
    <t>Chhitiz Jacob
8839192488 
whats up number can't talk only chat</t>
  </si>
  <si>
    <t xml:space="preserve">Bilaspur, Chhattīsgarh
</t>
  </si>
  <si>
    <t>He is saying that he has a plan for 0.2T machine only he Dont want to go with 1.5 Because on that area 1.5T is not require that is rural area 22-Sept-2022</t>
  </si>
  <si>
    <t>Rao Jitendar Singh
9587491872</t>
  </si>
  <si>
    <t>Not picked 22-Sept-2022</t>
  </si>
  <si>
    <t>Ajay Parmaar
9773664600
0871704330</t>
  </si>
  <si>
    <t>Nandu Natani
8005795144</t>
  </si>
  <si>
    <t>Jaipura, Rajasthan</t>
  </si>
  <si>
    <t xml:space="preserve">palvannan rajeshwaran
7401290354
</t>
  </si>
  <si>
    <t>Location - Tamilnadu
Interested for MRI &amp; CT Scan machine</t>
  </si>
  <si>
    <t>Not picked 17-Sept-2022, Not picked 22-Sept-2022, He is saying somepne other is planning for MRI when the query will come he will update 22-Sept-2022</t>
  </si>
  <si>
    <t>Tinto Thomas
6238895127</t>
  </si>
  <si>
    <t>Thodupuzha
Idduki (Kerela)</t>
  </si>
  <si>
    <t xml:space="preserve">9712435084
Nishant Patel
</t>
  </si>
  <si>
    <t>He is saying that he already have mri machine go now and want to give CMC 22-Sept-2022</t>
  </si>
  <si>
    <t>rakibul islam
9932519877 details plz</t>
  </si>
  <si>
    <r>
      <rPr>
        <sz val="12.0"/>
      </rPr>
      <t xml:space="preserve">Rampurhat West Bengal 
</t>
    </r>
    <r>
      <rPr>
        <color rgb="FF1155CC"/>
        <sz val="12.0"/>
        <u/>
      </rPr>
      <t>https://www.facebook.com/profile.php?id=100039589448491</t>
    </r>
  </si>
  <si>
    <t>Rajeev Krishnan
9744002464</t>
  </si>
  <si>
    <t xml:space="preserve">Aramis Imaging LLP
Kochi, Kerela
</t>
  </si>
  <si>
    <t>Arvind Meena
9079243251</t>
  </si>
  <si>
    <t xml:space="preserve">
Lives in Ahmedabad, India
From Bundi City, Rajasthan, India</t>
  </si>
  <si>
    <t>He is sayinng that he  has a plan for outsourcing 22-Sept-2022</t>
  </si>
  <si>
    <t>DrDeshraj Garhwal
6375259265</t>
  </si>
  <si>
    <t>Busy in another call and also in lead sheet 22-Sept-2022</t>
  </si>
  <si>
    <r>
      <rPr>
        <rFont val="Calibri"/>
        <b/>
        <sz val="12.0"/>
      </rPr>
      <t xml:space="preserve">Mohammed Aleyan  
Biomedical Engineer at Aleyan-Medical
</t>
    </r>
    <r>
      <rPr>
        <rFont val="Calibri"/>
        <b/>
        <color rgb="FF1155CC"/>
        <sz val="12.0"/>
        <u/>
      </rPr>
      <t>https://www.linkedin.com/in/mohammed-aleyan-2a2242224/</t>
    </r>
  </si>
  <si>
    <t>Sana‘a
Yemen (gulf)</t>
  </si>
  <si>
    <t xml:space="preserve">Hello Am looking for 0.4 hetachi MRI Aperto Eterna
</t>
  </si>
  <si>
    <r>
      <rPr>
        <sz val="12.0"/>
      </rPr>
      <t xml:space="preserve">Ram Raghvendra Singh
</t>
    </r>
    <r>
      <rPr>
        <color rgb="FF1155CC"/>
        <sz val="12.0"/>
        <u/>
      </rPr>
      <t>https://www.facebook.com/ramraghvendra.singh
http://raghvendranursing.com/</t>
    </r>
  </si>
  <si>
    <r>
      <rPr>
        <rFont val="Calibri"/>
        <b/>
        <color theme="1"/>
        <sz val="12.0"/>
      </rPr>
      <t xml:space="preserve">Raghvendra Hospital Pvt. Ltd.
Opp: Gate No 2 Medical College Jhansi
</t>
    </r>
    <r>
      <rPr>
        <rFont val="Calibri"/>
        <b/>
        <color rgb="FF00FF00"/>
        <sz val="12.0"/>
      </rPr>
      <t xml:space="preserve">call on 9910865429
</t>
    </r>
    <r>
      <rPr>
        <rFont val="Calibri"/>
        <b/>
        <color theme="1"/>
        <sz val="12.0"/>
      </rPr>
      <t>Tel: (0510) 2320448
Fax: (0510) 2320670
Mr. Shakir Khan 09335015420</t>
    </r>
  </si>
  <si>
    <t xml:space="preserve">Pl send your no for contact-----
I have sent contact of Ritika Ma'm
</t>
  </si>
  <si>
    <t>He is saying that Right now I need helium 500 litres for existing 1.5 T MRI then CMC &amp; then shall plan to buy other one, 23-Sept-2022</t>
  </si>
  <si>
    <t xml:space="preserve">Gautam sir </t>
  </si>
  <si>
    <t>Raj Goswami
982723393</t>
  </si>
  <si>
    <t>Gwalior
Madhya Pradesh</t>
  </si>
  <si>
    <t>no is not correct please find</t>
  </si>
  <si>
    <t xml:space="preserve">Hello
This is Mandeep Singh Manager, Philadelphia Mission Radiology Center Ambala City Haryana,
Kindly send me your details on 7357270322 dr karthik </t>
  </si>
  <si>
    <t>Ambala 
Harayana</t>
  </si>
  <si>
    <t>He is saying that he has a plan for MRI machine only and also want to give CMC for 32 revolution he is first looking over the broucher an all after that he will update 22-Sept-2022</t>
  </si>
  <si>
    <r>
      <rPr>
        <rFont val="Calibri"/>
        <b/>
        <sz val="12.0"/>
      </rPr>
      <t xml:space="preserve">Saurabh Varshney
</t>
    </r>
    <r>
      <rPr>
        <rFont val="Calibri"/>
        <b/>
        <color rgb="FF1155CC"/>
        <sz val="12.0"/>
        <u/>
      </rPr>
      <t>https://www.facebook.com/saurabh.varshney.353</t>
    </r>
  </si>
  <si>
    <t xml:space="preserve">	
Works at Owner at Spectrum Diagnostics
Studied at J.N.Medical College, AMU, Aligarh
Lives in Aligarh
From Aligarh</t>
  </si>
  <si>
    <t>Gaurav is working on this lead 22-Sept-2022</t>
  </si>
  <si>
    <t>Saravana Kumar Jay
Technician
9585730013</t>
  </si>
  <si>
    <t>Disconnecting the call 01-Octo-2022</t>
  </si>
  <si>
    <t>Dr. Tushar J. Semwal
7351110011</t>
  </si>
  <si>
    <r>
      <rPr>
        <rFont val="Calibri"/>
        <b/>
        <sz val="12.0"/>
      </rPr>
      <t xml:space="preserve">        
dr.tushars
Diagnostics and Interventional Radiologist
Dr. Tushar J. Semwal
</t>
    </r>
    <r>
      <rPr>
        <rFont val="Calibri"/>
        <b/>
        <color rgb="FF1155CC"/>
        <sz val="12.0"/>
        <u/>
      </rPr>
      <t>http://www.semwaldiagnostics.com/</t>
    </r>
  </si>
  <si>
    <t xml:space="preserve">8077959964 - dr jai prakash ( Tushar Father )dehradun semwal diagnostics , Dr tushar is saying that they already have CT scans machine availvble he is planninh for MRI only and wants to install th machine soon . he is saying that her father is the desion person so he gave her number but the number is switch off so call in evening 27-Sept-2022- Guarav team </t>
  </si>
  <si>
    <t xml:space="preserve">Mehmet Taner Çetmili
@kutay.medikalteknik
http://www.ikonia.com.tr/
www.bastanmedikal.com
</t>
  </si>
  <si>
    <t>Price ? 
WhatsApp +905322550539 
8 channel and 16 channel</t>
  </si>
  <si>
    <t>Turkey</t>
  </si>
  <si>
    <t xml:space="preserve">Rajeev Krishnan
rk@aramisimaging.com
9288045060
</t>
  </si>
  <si>
    <r>
      <rPr>
        <rFont val="Calibri"/>
        <b/>
        <sz val="12.0"/>
      </rPr>
      <t xml:space="preserve">Aramis Imaging LLP
</t>
    </r>
    <r>
      <rPr>
        <rFont val="Calibri"/>
        <b/>
        <color rgb="FF1155CC"/>
        <sz val="12.0"/>
        <u/>
      </rPr>
      <t>https://www.facebook.com/aramisimaging</t>
    </r>
  </si>
  <si>
    <t>Kerela- Trivendrum/ Kochi</t>
  </si>
  <si>
    <t>He is a worker of radiology department he isselling a type of software 06-Octo-2022</t>
  </si>
  <si>
    <t>Sami Mirza
8179112220</t>
  </si>
  <si>
    <t xml:space="preserve">	
Lives in Karimnagar, India
</t>
  </si>
  <si>
    <t>Ashok Patel Alwar
7297979766</t>
  </si>
  <si>
    <t>Alwar, Rajasthan</t>
  </si>
  <si>
    <t>Rahul Kumar
9082198710</t>
  </si>
  <si>
    <t>Ghatkopar
Mumbai</t>
  </si>
  <si>
    <t>Rajeev Ranjan Soni
8676958988</t>
  </si>
  <si>
    <t xml:space="preserve">Patna , Bihar </t>
  </si>
  <si>
    <t>he is saying that he is planning to install the machine in patna bihar and he is saying that he has 2 to 3 centres and in one centre resently he installed united imaging machine MRI and now he is planning for 2nd one he is also saying that send someone from your side to meet 17-Octo-2022, Not picked 26-Dec-2022, Disconnected the call</t>
  </si>
  <si>
    <t>Raj Vivek
8935905814</t>
  </si>
  <si>
    <t>HE Is saying that their is a plan for CT scans machine but plan is in initital stage nd also he is saying that they are much as needed 17-Octo-2022</t>
  </si>
  <si>
    <t>Santosh Roentgen
977-9823324665 .. WhatsApp number</t>
  </si>
  <si>
    <t>16/10/2022, 07:08
Santosh
Hi
Santosh
Santosh Roentgen
Need to know the details of 16 Slice CT scan for Nepal
17/10/2022, 10:55
You sent
Ok please share your contact details</t>
  </si>
  <si>
    <t>Bharath Boga
8985040384</t>
  </si>
  <si>
    <t>venkatesu dantla
7989886681</t>
  </si>
  <si>
    <t>https://www.linkedin.com/in/venkatesu-dantla-581278198/</t>
  </si>
  <si>
    <t xml:space="preserve">He is saying that he is planning for 0.5T machine </t>
  </si>
  <si>
    <t>Mehziyar Abbas Shaikh
8879728204</t>
  </si>
  <si>
    <t>https://www.instagram.com/p/CNjasUsL_re/?utm_source=ig_web_copy_link</t>
  </si>
  <si>
    <t>via linkedin-google forms</t>
  </si>
  <si>
    <t>Balesh Ainapur
7795096628</t>
  </si>
  <si>
    <t xml:space="preserve">baleshainapoor2000@gmail.com
</t>
  </si>
  <si>
    <t xml:space="preserve">Dr y b kulgod multi-speciality hospital dharwad 
</t>
  </si>
  <si>
    <t>After two years they start planning 23-Nov-2022</t>
  </si>
  <si>
    <t xml:space="preserve">Adarsh Palleti
9966690693
</t>
  </si>
  <si>
    <t xml:space="preserve">dr.adarshpalleti@gmail.com
</t>
  </si>
  <si>
    <t>Hritik
6397409632</t>
  </si>
  <si>
    <t xml:space="preserve">hritik.sisodiya98@gmail.com
</t>
  </si>
  <si>
    <t xml:space="preserve">Need CT SCAN MACHINE 
</t>
  </si>
  <si>
    <t xml:space="preserve">bulandsher - New setup he is preparing the building firts he will go with ultrasond and afte that with MRI take time of 1 year </t>
  </si>
  <si>
    <t xml:space="preserve">Pagadalaranjith
8498892688
</t>
  </si>
  <si>
    <t xml:space="preserve">pagadalaranjith9@gmail.com
</t>
  </si>
  <si>
    <t xml:space="preserve">Dolphin diagnostic
</t>
  </si>
  <si>
    <t>A S RAHI 
9999633540</t>
  </si>
  <si>
    <t xml:space="preserve">arahi444@gmail.com
</t>
  </si>
  <si>
    <t xml:space="preserve">I want to install Digital x-ray machine 
</t>
  </si>
  <si>
    <t>Gideon Rynjah
7868063195</t>
  </si>
  <si>
    <t xml:space="preserve">Lalit
8219545406
</t>
  </si>
  <si>
    <t xml:space="preserve">lucky80420@gmail.com
</t>
  </si>
  <si>
    <t xml:space="preserve">Grecian Hospital,Mohali
</t>
  </si>
  <si>
    <t xml:space="preserve">Alok gautam
9584240256
</t>
  </si>
  <si>
    <t xml:space="preserve">katariyaom89@gmail.com
</t>
  </si>
  <si>
    <t>Tej
8934009889</t>
  </si>
  <si>
    <t xml:space="preserve">jamai00@gmail.com
</t>
  </si>
  <si>
    <t xml:space="preserve">Jamai hospital 
</t>
  </si>
  <si>
    <t>facebook--</t>
  </si>
  <si>
    <t>Anuj Sharma
9827550005</t>
  </si>
  <si>
    <t xml:space="preserve"> I want 1.5 T MRI scanner</t>
  </si>
  <si>
    <t>Mir Ishtiyaq
7889674989</t>
  </si>
  <si>
    <t xml:space="preserve">	
Works at Govt. District Hospital Bandipora
Studies at Bharti Airtel Pvt Ltd - jammu
Lives in Bandipora
From Srinagar, Jammu and Kashmir</t>
  </si>
  <si>
    <t xml:space="preserve">He is planning  for X ray and ECG machine </t>
  </si>
  <si>
    <t>DrArun Sundarajan
9600599400</t>
  </si>
  <si>
    <t>Lives in Tiruchchirappalli From Tiruchchirappalli</t>
  </si>
  <si>
    <t>organic lead</t>
  </si>
  <si>
    <t xml:space="preserve">amudam hospital </t>
  </si>
  <si>
    <t>Dr Vinod kannan
9087999111/ drvinodkannan@gmail.com</t>
  </si>
  <si>
    <t>Chennai Tamil Nadu</t>
  </si>
  <si>
    <t>he is planning for 32 slice Ct machine ad did not sure about that he wants machine in refurb or on rental basis 28-Nov-2022</t>
  </si>
  <si>
    <t>Sandeep Sharma
7300045315</t>
  </si>
  <si>
    <t xml:space="preserve">        
</t>
  </si>
  <si>
    <t>From Jaipur, Rajasthan</t>
  </si>
  <si>
    <t xml:space="preserve">Girish Sawakare        drgirishortho999@gmail.com            Reference       </t>
  </si>
  <si>
    <t xml:space="preserve"> Maharashtra/ Mumbai</t>
  </si>
  <si>
    <t>Debajit Debnath
8876988282</t>
  </si>
  <si>
    <t>Bishalgarh, Tripura</t>
  </si>
  <si>
    <t xml:space="preserve">Naga Raja
8618500925
</t>
  </si>
  <si>
    <t>Lives in Bangalore-/ 
From Shimoga, Karnataka</t>
  </si>
  <si>
    <t>Sharad Pawar
9590327353</t>
  </si>
  <si>
    <t xml:space="preserve">Pravin Birangal
7208290972 </t>
  </si>
  <si>
    <t>consultant radiologist at Megavision Diagnostics
Lives in Pune, Maharashtra
From Ahmednagar, Maharashtra</t>
  </si>
  <si>
    <t>Vikas Leelavati BalaSaheb Jadhav
+919881122899</t>
  </si>
  <si>
    <r>
      <rPr>
        <rFont val="Calibri"/>
        <b/>
        <sz val="12.0"/>
      </rPr>
      <t xml:space="preserve">Dr Vikas Leelavati BalaSaheb Jadhav
PhD Diagnostic Radiology
PhD Scholar in Interventional Radiology.
From Satara
</t>
    </r>
    <r>
      <rPr>
        <rFont val="Calibri"/>
        <b/>
        <color rgb="FF1155CC"/>
        <sz val="12.0"/>
        <u/>
      </rPr>
      <t>drvikasjadhav.us</t>
    </r>
  </si>
  <si>
    <t>Javed Mirji
8618732744</t>
  </si>
  <si>
    <t>MRI Technologist (Magnetic Resonance Imaging Technologist) at Ganga diagnostic centre
Lives in Yaragatti,  Belgaum, Karnataka</t>
  </si>
  <si>
    <r>
      <rPr>
        <rFont val="Calibri"/>
        <b/>
        <sz val="12.0"/>
      </rPr>
      <t xml:space="preserve">Alok Chaudhary
</t>
    </r>
    <r>
      <rPr>
        <rFont val="Calibri"/>
        <b/>
        <color rgb="FF1155CC"/>
        <sz val="12.0"/>
        <u/>
      </rPr>
      <t>https://www.facebook.com/alok.chaudhary.77</t>
    </r>
  </si>
  <si>
    <t>radiologist,
Meerut (U.P)</t>
  </si>
  <si>
    <t>Suvajit Manna
8240902395</t>
  </si>
  <si>
    <r>
      <rPr>
        <rFont val="Calibri"/>
        <b/>
        <sz val="12.0"/>
      </rPr>
      <t xml:space="preserve">Manish Singh
9953319929
</t>
    </r>
    <r>
      <rPr>
        <rFont val="Calibri"/>
        <b/>
        <color rgb="FF1155CC"/>
        <sz val="12.0"/>
        <u/>
      </rPr>
      <t>https://www.facebook.com/cristiano.manish.7</t>
    </r>
  </si>
  <si>
    <t xml:space="preserve">Out of network area </t>
  </si>
  <si>
    <t>linkedin dm</t>
  </si>
  <si>
    <t>madhusudan bhardwaj 
9970057186</t>
  </si>
  <si>
    <t>Hello I have a requirement of MRI macine need to connect with you</t>
  </si>
  <si>
    <t xml:space="preserve">He is a dealer and have a client from Maharastra </t>
  </si>
  <si>
    <t>email-campaign</t>
  </si>
  <si>
    <t xml:space="preserve">Rakesh basra
    rakeshbasra786@gmail.com
    9915299120
    Radiology technologist 
    Jalandhr punjab </t>
  </si>
  <si>
    <t xml:space="preserve">(+8801671467825)
Dr Rashed
</t>
  </si>
  <si>
    <t>Dhaka 
Bangladesh</t>
  </si>
  <si>
    <t>doctor at dhaka</t>
  </si>
  <si>
    <t>Shashvat M. Modiya
9974525485</t>
  </si>
  <si>
    <t xml:space="preserve">9999371171, Sagir Ali
</t>
  </si>
  <si>
    <t xml:space="preserve">Osmania Medical College
</t>
  </si>
  <si>
    <t xml:space="preserve">5-1-876, Turrebaz Khan Rd, Troop Bazaar, Koti, Hyderabad, Telangana </t>
  </si>
  <si>
    <t>Ravi Teja</t>
  </si>
  <si>
    <t>athkuriraviteja@gmail.com</t>
  </si>
  <si>
    <t>on - 8 mar dialed no. did not answered the call .  , on - 10 mar  He said  that his Friend is looking for 16  slices Rfurb CT scan  he want the Details of Brightspeed  on whats first then he will talk to us he said ,  he did not Disclose  any details also , He is saying please send me the details of machine on whatsapp then after i will tell you about the plan 23-Sept-2022</t>
  </si>
  <si>
    <t xml:space="preserve">AYUSHMAN Hospital </t>
  </si>
  <si>
    <t xml:space="preserve">Pearl House,1st Floor, R.K Park, Nr. Astha Resi. Nr. Tapovan School,150 Ring Road, Mavdi Rajkot Rajkot GJ </t>
  </si>
  <si>
    <t>Mr.Ketan Kanani</t>
  </si>
  <si>
    <t>ketankanani1995@gmail.com</t>
  </si>
  <si>
    <t>on - 8 mar Mr. ketan kanani sir answered the call , He is The Director of ayusman Syenrgy siagnostic center  , He said They  are looking for Both 1.5T &amp; 3T MRI machine &amp; 16 slices CT scan , He said he will talk with his radiologist &amp; and will confirm us with in 1 week . , he want quotation &amp; Prising for Both 1. 5 T MRI &amp; CT scan , Mr ketan is saying he has a plan but will take 3 months of time 12-April-2022, Mr Ketan is saying that he has a plan for 1.5T mri but construction is going on and it will take time of 6 months more but he is saying that if their is someone to vist my site that will be benifical for us 23-Sept-2022</t>
  </si>
  <si>
    <t>LEAD</t>
  </si>
  <si>
    <t>Bhardwaj Hospital and Dialysis Center</t>
  </si>
  <si>
    <t xml:space="preserve">mujafrafur  , Bihar </t>
  </si>
  <si>
    <t xml:space="preserve">Dr vasianav </t>
  </si>
  <si>
    <t>rvvkhealthcare@gmail.com</t>
  </si>
  <si>
    <t xml:space="preserve">on - 10 mar dialed no. is curr .Busy after answering the call. ,  on - 11 mar dr gave a miss call , Then after calling to him He said he is looking For Some one who want to Open A center in Partner Shiv , Or some one  to invest Beacuse he have Space of approx 7000 sq feet area for  those , said he had maked up a multipseclity hospita to  talk. </t>
  </si>
  <si>
    <t>Seven Sisters Hospital &amp; Research Centre</t>
  </si>
  <si>
    <t>Bapuji Nagar Road, Bapuji Nagar, Goalpara, Assam 783121</t>
  </si>
  <si>
    <t>raghunanda007@gmail.com</t>
  </si>
  <si>
    <t xml:space="preserve">on - 10 mar Dr ram sir Said Due to some present Finacial issue , HE is  not Proceeding right now , &amp; he will contact us When His plan Gets active , Told me Presently  Due Patienst Issue he is no planning for MRI or CT scan , on - 17 mar   Dr ram sir actually shared me  a whats ap saying that he is planning for   64 slices CT scan now he said he want install the CT scan in some other hospital in hyderabad at Present he also asked me  for Loan &amp; all . at present i have shared him 64 slices &amp; 128 slices Brocchure &amp; loan document So after 1 week he want a call back to talk futher status ., Their is not as such plan 13-April-2022, He is saying that he has a plan for 16 slice slice CT scans machine </t>
  </si>
  <si>
    <t xml:space="preserve">What is expected cost range fr starting minimum MRI version n CT
Cost-effective way
Pls do communicate @, through whatsapp </t>
  </si>
  <si>
    <t xml:space="preserve">hindustan diagnostic center </t>
  </si>
  <si>
    <t xml:space="preserve">Sitapur, Uttar Pradesh
</t>
  </si>
  <si>
    <t>Gul Khan</t>
  </si>
  <si>
    <t>on - 10 mar sir answered the call said at Present  diagnostic center name is Hidustan diagnostic center , He said they have 4 Center &amp; 5 th is under cunstruction , They other Diagnostic  center have Pathology Lab &amp; digital  xray , But now they have Plan to extend &amp; to start Ct scan machine , HE said he want PDF file on his whats ap , &amp; after checking that he want meeting .to close the deal . plan is pospond for sometime 01-April-2022, Dr is saying he pospod the plan for 3 months so 13-April-2022</t>
  </si>
  <si>
    <t xml:space="preserve">oddisha </t>
  </si>
  <si>
    <t xml:space="preserve">Santi Hospital </t>
  </si>
  <si>
    <t xml:space="preserve">Whatsapp 9938718229
</t>
  </si>
  <si>
    <t>He is saying that they have a plan but he is driving roght now so please call me in evening 07-Octo-2022, Not picked 11-Octo-2022, He is saying taht he has a plan but whats to talk in the months of nov 11-Octo-2022</t>
  </si>
  <si>
    <t xml:space="preserve">9949034747 Dr Ajaykumar
</t>
  </si>
  <si>
    <t>He is busy in patetinet and also said planning for CT scan machine he told me call after 5 pm  30-May-2022, Not picked 01-Octo-2022, He is saying that my centre is ready and also he send the address an all but no one come 14-Octo-2022, As per shahshank Sir Mai ye customer se mila hu inko finance support chahiye, ye 15 lakh tak down payment krenge 90% loan chahiye</t>
  </si>
  <si>
    <r>
      <rPr/>
      <t xml:space="preserve">Ram Raghvendra Singh
</t>
    </r>
    <r>
      <rPr>
        <color rgb="FF1155CC"/>
        <u/>
      </rPr>
      <t>https://www.facebook.com/ramraghvendra.singh
http://raghvendranursing.com/</t>
    </r>
  </si>
  <si>
    <r>
      <rPr>
        <rFont val="Calibri"/>
        <b/>
        <color theme="1"/>
        <sz val="11.0"/>
      </rPr>
      <t xml:space="preserve">Raghvendra Hospital Pvt. Ltd.
Opp: Gate No 2 Medical College Jhansi
</t>
    </r>
    <r>
      <rPr>
        <rFont val="Calibri"/>
        <b/>
        <color rgb="FF00FF00"/>
        <sz val="11.0"/>
      </rPr>
      <t xml:space="preserve">call on 9910865429
</t>
    </r>
    <r>
      <rPr>
        <rFont val="Calibri"/>
        <b/>
        <color theme="1"/>
        <sz val="11.0"/>
      </rPr>
      <t>Tel: (0510) 2320448
Fax: (0510) 2320670
Mr. Shakir Khan 09335015420</t>
    </r>
  </si>
</sst>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 mmmm yyyy"/>
    <numFmt numFmtId="165" formatCode="dd mmmm yyyy"/>
    <numFmt numFmtId="166" formatCode="m/d/yyyy h:mm:ss"/>
    <numFmt numFmtId="167" formatCode="d&quot;-&quot;mmm&quot;-&quot;yyyy"/>
    <numFmt numFmtId="168" formatCode="dd-mmm-yyyy"/>
    <numFmt numFmtId="169" formatCode="d-mmm-yyyy"/>
    <numFmt numFmtId="170" formatCode="mmm yyyy"/>
    <numFmt numFmtId="171" formatCode="d mmmm"/>
    <numFmt numFmtId="172" formatCode="mmmm d"/>
    <numFmt numFmtId="173" formatCode="d - mmm - yy"/>
    <numFmt numFmtId="174" formatCode="d-mmmm"/>
  </numFmts>
  <fonts count="57">
    <font>
      <sz val="10.0"/>
      <color rgb="FF000000"/>
      <name val="Arial"/>
      <scheme val="minor"/>
    </font>
    <font>
      <sz val="10.0"/>
      <color theme="1"/>
      <name val="Arial"/>
    </font>
    <font>
      <b/>
      <sz val="10.0"/>
      <color theme="1"/>
      <name val="Calibri"/>
    </font>
    <font>
      <sz val="10.0"/>
      <color theme="1"/>
      <name val="Calibri"/>
    </font>
    <font>
      <color theme="1"/>
      <name val="Arial"/>
      <scheme val="minor"/>
    </font>
    <font>
      <color theme="1"/>
      <name val="Arial"/>
    </font>
    <font>
      <u/>
      <color rgb="FF0000FF"/>
    </font>
    <font>
      <u/>
      <color rgb="FF0000FF"/>
    </font>
    <font>
      <color rgb="FF000000"/>
      <name val="Arial"/>
    </font>
    <font>
      <u/>
      <color rgb="FF0000FF"/>
    </font>
    <font>
      <sz val="21.0"/>
      <color theme="1"/>
      <name val="Arial"/>
      <scheme val="minor"/>
    </font>
    <font>
      <b/>
      <sz val="18.0"/>
      <color theme="1"/>
      <name val="Arial"/>
      <scheme val="minor"/>
    </font>
    <font>
      <sz val="10.0"/>
      <color rgb="FF000000"/>
      <name val="Calibri"/>
    </font>
    <font>
      <u/>
      <sz val="10.0"/>
      <color rgb="FF0000FF"/>
      <name val="Calibri"/>
    </font>
    <font>
      <color rgb="FF000000"/>
      <name val="Docs-Calibri"/>
    </font>
    <font>
      <sz val="11.0"/>
      <color rgb="FF202124"/>
      <name val="Roboto"/>
    </font>
    <font>
      <b/>
      <sz val="11.0"/>
      <color theme="1"/>
      <name val="Calibri"/>
    </font>
    <font>
      <b/>
      <sz val="11.0"/>
      <color rgb="FF000000"/>
      <name val="Calibri"/>
    </font>
    <font>
      <b/>
      <sz val="11.0"/>
      <color rgb="FF233A5B"/>
      <name val="Calibri"/>
    </font>
    <font>
      <b/>
      <sz val="11.0"/>
      <color rgb="FF050505"/>
      <name val="Calibri"/>
    </font>
    <font>
      <b/>
      <sz val="11.0"/>
      <color rgb="FF202124"/>
      <name val="Docs-Calibri"/>
    </font>
    <font>
      <b/>
      <sz val="11.0"/>
      <color rgb="FF202124"/>
      <name val="Calibri"/>
    </font>
    <font>
      <b/>
      <color rgb="FF000000"/>
      <name val="Docs-Calibri"/>
    </font>
    <font>
      <sz val="11.0"/>
      <color theme="1"/>
      <name val="Calibri"/>
    </font>
    <font>
      <sz val="11.0"/>
      <color theme="1"/>
      <name val="Roboto"/>
    </font>
    <font>
      <color rgb="FF000000"/>
      <name val="Roboto"/>
    </font>
    <font>
      <sz val="11.0"/>
      <color rgb="FF000000"/>
      <name val="Docs-Calibri"/>
    </font>
    <font>
      <color rgb="FF222222"/>
      <name val="Arial"/>
    </font>
    <font>
      <b/>
      <color theme="1"/>
      <name val="Arial"/>
    </font>
    <font>
      <b/>
      <sz val="11.0"/>
      <color theme="1"/>
      <name val="Docs-Calibri"/>
    </font>
    <font>
      <b/>
      <sz val="9.0"/>
      <color rgb="FF000000"/>
      <name val="Helvetica"/>
    </font>
    <font>
      <u/>
      <sz val="11.0"/>
      <color rgb="FF1155CC"/>
      <name val="Calibri"/>
    </font>
    <font>
      <sz val="11.0"/>
      <color rgb="FF444444"/>
      <name val="Calibri"/>
    </font>
    <font>
      <sz val="11.0"/>
      <color rgb="FF050505"/>
      <name val="Calibri"/>
    </font>
    <font>
      <sz val="11.0"/>
      <color rgb="FF222222"/>
      <name val="Calibri"/>
    </font>
    <font>
      <sz val="11.0"/>
      <color rgb="FF1C1E21"/>
      <name val="Calibri"/>
    </font>
    <font>
      <sz val="11.0"/>
      <color theme="1"/>
      <name val="Docs-Calibri"/>
    </font>
    <font>
      <u/>
      <sz val="11.0"/>
      <color rgb="FF1155CC"/>
      <name val="Calibri"/>
    </font>
    <font>
      <u/>
      <sz val="11.0"/>
      <color rgb="FF1155CC"/>
      <name val="Calibri"/>
    </font>
    <font>
      <u/>
      <sz val="11.0"/>
      <color rgb="FF1155CC"/>
      <name val="Calibri"/>
    </font>
    <font>
      <u/>
      <sz val="11.0"/>
      <color rgb="FF1155CC"/>
      <name val="Calibri"/>
    </font>
    <font>
      <sz val="12.0"/>
      <color rgb="FF1C1E21"/>
      <name val="Helvetica"/>
    </font>
    <font>
      <u/>
      <sz val="11.0"/>
      <color rgb="FF1155CC"/>
      <name val="Arial"/>
    </font>
    <font>
      <sz val="11.0"/>
      <color rgb="FF050505"/>
      <name val="Arial"/>
    </font>
    <font>
      <sz val="11.0"/>
      <color rgb="FF050505"/>
      <name val="&quot;Segoe UI Historic&quot;"/>
    </font>
    <font>
      <sz val="11.0"/>
      <color rgb="FF4D5156"/>
      <name val="Arial"/>
    </font>
    <font>
      <b/>
      <sz val="12.0"/>
      <color theme="1"/>
      <name val="Calibri"/>
    </font>
    <font>
      <sz val="12.0"/>
      <color theme="1"/>
      <name val="Arial"/>
      <scheme val="minor"/>
    </font>
    <font>
      <b/>
      <sz val="12.0"/>
      <color rgb="FF202124"/>
      <name val="Calibri"/>
    </font>
    <font>
      <b/>
      <u/>
      <sz val="12.0"/>
      <color rgb="FF000000"/>
      <name val="Calibri"/>
    </font>
    <font>
      <b/>
      <sz val="12.0"/>
      <color rgb="FF000000"/>
      <name val="Calibri"/>
    </font>
    <font>
      <b/>
      <sz val="12.0"/>
      <color theme="1"/>
      <name val="Arial"/>
      <scheme val="minor"/>
    </font>
    <font>
      <sz val="12.0"/>
      <color theme="1"/>
      <name val="Calibri"/>
    </font>
    <font>
      <u/>
      <sz val="12.0"/>
      <color rgb="FF0000FF"/>
    </font>
    <font>
      <b/>
      <u/>
      <sz val="12.0"/>
      <color rgb="FF0000FF"/>
      <name val="Calibri"/>
    </font>
    <font>
      <b/>
      <u/>
      <sz val="12.0"/>
      <color rgb="FF0000FF"/>
      <name val="Calibri"/>
    </font>
    <font>
      <sz val="11.0"/>
      <color rgb="FF3B4A54"/>
      <name val="&quot;Segoe UI&quot;"/>
    </font>
  </fonts>
  <fills count="32">
    <fill>
      <patternFill patternType="none"/>
    </fill>
    <fill>
      <patternFill patternType="lightGray"/>
    </fill>
    <fill>
      <patternFill patternType="solid">
        <fgColor rgb="FFA2C4C9"/>
        <bgColor rgb="FFA2C4C9"/>
      </patternFill>
    </fill>
    <fill>
      <patternFill patternType="solid">
        <fgColor rgb="FF9FC5E8"/>
        <bgColor rgb="FF9FC5E8"/>
      </patternFill>
    </fill>
    <fill>
      <patternFill patternType="solid">
        <fgColor rgb="FFFFF2CC"/>
        <bgColor rgb="FFFFF2CC"/>
      </patternFill>
    </fill>
    <fill>
      <patternFill patternType="solid">
        <fgColor rgb="FFC9DAF8"/>
        <bgColor rgb="FFC9DAF8"/>
      </patternFill>
    </fill>
    <fill>
      <patternFill patternType="solid">
        <fgColor rgb="FFCFE2F3"/>
        <bgColor rgb="FFCFE2F3"/>
      </patternFill>
    </fill>
    <fill>
      <patternFill patternType="solid">
        <fgColor rgb="FFFCE5CD"/>
        <bgColor rgb="FFFCE5CD"/>
      </patternFill>
    </fill>
    <fill>
      <patternFill patternType="solid">
        <fgColor rgb="FFF4CCCC"/>
        <bgColor rgb="FFF4CCCC"/>
      </patternFill>
    </fill>
    <fill>
      <patternFill patternType="solid">
        <fgColor rgb="FFE06666"/>
        <bgColor rgb="FFE06666"/>
      </patternFill>
    </fill>
    <fill>
      <patternFill patternType="solid">
        <fgColor rgb="FFEA9999"/>
        <bgColor rgb="FFEA9999"/>
      </patternFill>
    </fill>
    <fill>
      <patternFill patternType="solid">
        <fgColor rgb="FFFFE599"/>
        <bgColor rgb="FFFFE599"/>
      </patternFill>
    </fill>
    <fill>
      <patternFill patternType="solid">
        <fgColor rgb="FFCC0000"/>
        <bgColor rgb="FFCC0000"/>
      </patternFill>
    </fill>
    <fill>
      <patternFill patternType="solid">
        <fgColor rgb="FFFFFF00"/>
        <bgColor rgb="FFFFFF00"/>
      </patternFill>
    </fill>
    <fill>
      <patternFill patternType="solid">
        <fgColor rgb="FFFFFFFF"/>
        <bgColor rgb="FFFFFFFF"/>
      </patternFill>
    </fill>
    <fill>
      <patternFill patternType="solid">
        <fgColor rgb="FFB6D7A8"/>
        <bgColor rgb="FFB6D7A8"/>
      </patternFill>
    </fill>
    <fill>
      <patternFill patternType="solid">
        <fgColor theme="0"/>
        <bgColor theme="0"/>
      </patternFill>
    </fill>
    <fill>
      <patternFill patternType="solid">
        <fgColor rgb="FFFF0000"/>
        <bgColor rgb="FFFF0000"/>
      </patternFill>
    </fill>
    <fill>
      <patternFill patternType="solid">
        <fgColor theme="5"/>
        <bgColor theme="5"/>
      </patternFill>
    </fill>
    <fill>
      <patternFill patternType="solid">
        <fgColor rgb="FFF5F6F7"/>
        <bgColor rgb="FFF5F6F7"/>
      </patternFill>
    </fill>
    <fill>
      <patternFill patternType="solid">
        <fgColor rgb="FF00FFFF"/>
        <bgColor rgb="FF00FFFF"/>
      </patternFill>
    </fill>
    <fill>
      <patternFill patternType="solid">
        <fgColor rgb="FFE4E6EB"/>
        <bgColor rgb="FFE4E6EB"/>
      </patternFill>
    </fill>
    <fill>
      <patternFill patternType="solid">
        <fgColor theme="9"/>
        <bgColor theme="9"/>
      </patternFill>
    </fill>
    <fill>
      <patternFill patternType="solid">
        <fgColor rgb="FF00FF00"/>
        <bgColor rgb="FF00FF00"/>
      </patternFill>
    </fill>
    <fill>
      <patternFill patternType="solid">
        <fgColor rgb="FFEAD1DC"/>
        <bgColor rgb="FFEAD1DC"/>
      </patternFill>
    </fill>
    <fill>
      <patternFill patternType="solid">
        <fgColor rgb="FF6D9EEB"/>
        <bgColor rgb="FF6D9EEB"/>
      </patternFill>
    </fill>
    <fill>
      <patternFill patternType="solid">
        <fgColor rgb="FFD5A6BD"/>
        <bgColor rgb="FFD5A6BD"/>
      </patternFill>
    </fill>
    <fill>
      <patternFill patternType="solid">
        <fgColor rgb="FFA4C2F4"/>
        <bgColor rgb="FFA4C2F4"/>
      </patternFill>
    </fill>
    <fill>
      <patternFill patternType="solid">
        <fgColor rgb="FF93C47D"/>
        <bgColor rgb="FF93C47D"/>
      </patternFill>
    </fill>
    <fill>
      <patternFill patternType="solid">
        <fgColor rgb="FF6AA84F"/>
        <bgColor rgb="FF6AA84F"/>
      </patternFill>
    </fill>
    <fill>
      <patternFill patternType="solid">
        <fgColor theme="7"/>
        <bgColor theme="7"/>
      </patternFill>
    </fill>
    <fill>
      <patternFill patternType="solid">
        <fgColor rgb="FFF0F2F5"/>
        <bgColor rgb="FFF0F2F5"/>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0" fillId="0" fontId="4" numFmtId="164" xfId="0" applyAlignment="1" applyFont="1" applyNumberFormat="1">
      <alignment readingOrder="0" shrinkToFit="0" wrapText="1"/>
    </xf>
    <xf borderId="0" fillId="0" fontId="4" numFmtId="0" xfId="0" applyAlignment="1" applyFont="1">
      <alignment readingOrder="0" shrinkToFit="0" wrapText="1"/>
    </xf>
    <xf borderId="0" fillId="0" fontId="4" numFmtId="0" xfId="0" applyAlignment="1" applyFont="1">
      <alignment shrinkToFit="0" wrapText="1"/>
    </xf>
    <xf borderId="0" fillId="4" fontId="4" numFmtId="0" xfId="0" applyAlignment="1" applyFill="1" applyFont="1">
      <alignment readingOrder="0" shrinkToFit="0" wrapText="1"/>
    </xf>
    <xf borderId="0" fillId="0" fontId="4" numFmtId="0" xfId="0" applyAlignment="1" applyFont="1">
      <alignment readingOrder="0"/>
    </xf>
    <xf borderId="0" fillId="0" fontId="5" numFmtId="0" xfId="0" applyAlignment="1" applyFont="1">
      <alignment readingOrder="0" shrinkToFit="0" wrapText="1"/>
    </xf>
    <xf borderId="0" fillId="0" fontId="4" numFmtId="164" xfId="0" applyAlignment="1" applyFont="1" applyNumberFormat="1">
      <alignment readingOrder="0"/>
    </xf>
    <xf borderId="0" fillId="5" fontId="4" numFmtId="0" xfId="0" applyAlignment="1" applyFill="1" applyFont="1">
      <alignment readingOrder="0" shrinkToFit="0" wrapText="1"/>
    </xf>
    <xf borderId="0" fillId="4" fontId="4" numFmtId="0" xfId="0" applyAlignment="1" applyFont="1">
      <alignment readingOrder="0"/>
    </xf>
    <xf borderId="0" fillId="5" fontId="4" numFmtId="0" xfId="0" applyAlignment="1" applyFont="1">
      <alignment readingOrder="0"/>
    </xf>
    <xf borderId="0" fillId="0" fontId="6" numFmtId="0" xfId="0" applyAlignment="1" applyFont="1">
      <alignment readingOrder="0"/>
    </xf>
    <xf borderId="0" fillId="6" fontId="4" numFmtId="0" xfId="0" applyAlignment="1" applyFill="1" applyFont="1">
      <alignment readingOrder="0"/>
    </xf>
    <xf borderId="0" fillId="0" fontId="4" numFmtId="164" xfId="0" applyAlignment="1" applyFont="1" applyNumberForma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6" fontId="4" numFmtId="0" xfId="0" applyAlignment="1" applyFont="1">
      <alignment horizontal="center" readingOrder="0" shrinkToFit="0" vertical="center" wrapText="1"/>
    </xf>
    <xf borderId="0" fillId="7" fontId="4" numFmtId="0" xfId="0" applyAlignment="1" applyFill="1" applyFont="1">
      <alignment horizontal="center" readingOrder="0" shrinkToFit="0" vertical="center" wrapText="1"/>
    </xf>
    <xf borderId="0" fillId="8" fontId="4"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0" fillId="9" fontId="4" numFmtId="0" xfId="0" applyAlignment="1" applyFill="1" applyFont="1">
      <alignment horizontal="center" readingOrder="0" shrinkToFit="0" vertical="center" wrapText="1"/>
    </xf>
    <xf borderId="0" fillId="10" fontId="4" numFmtId="0" xfId="0" applyAlignment="1" applyFill="1" applyFont="1">
      <alignment horizontal="center" readingOrder="0" shrinkToFit="0" vertical="center" wrapText="1"/>
    </xf>
    <xf borderId="0" fillId="4" fontId="4" numFmtId="0" xfId="0" applyAlignment="1" applyFont="1">
      <alignment horizontal="center" readingOrder="0" shrinkToFit="0" vertical="center" wrapText="1"/>
    </xf>
    <xf borderId="0" fillId="0" fontId="5" numFmtId="164" xfId="0" applyAlignment="1" applyFont="1" applyNumberFormat="1">
      <alignment readingOrder="0"/>
    </xf>
    <xf borderId="0" fillId="0" fontId="5" numFmtId="0" xfId="0" applyAlignment="1" applyFont="1">
      <alignment readingOrder="0"/>
    </xf>
    <xf borderId="0" fillId="4" fontId="5" numFmtId="0" xfId="0" applyAlignment="1" applyFont="1">
      <alignment readingOrder="0"/>
    </xf>
    <xf borderId="0" fillId="0" fontId="8" numFmtId="0" xfId="0" applyAlignment="1" applyFont="1">
      <alignment readingOrder="0"/>
    </xf>
    <xf borderId="0" fillId="4" fontId="8" numFmtId="0" xfId="0" applyAlignment="1" applyFont="1">
      <alignment readingOrder="0"/>
    </xf>
    <xf borderId="0" fillId="0" fontId="5" numFmtId="0" xfId="0" applyAlignment="1" applyFont="1">
      <alignment readingOrder="0"/>
    </xf>
    <xf borderId="0" fillId="7" fontId="4" numFmtId="0" xfId="0" applyAlignment="1" applyFont="1">
      <alignment readingOrder="0" shrinkToFit="0" wrapText="1"/>
    </xf>
    <xf borderId="0" fillId="11" fontId="4" numFmtId="0" xfId="0" applyAlignment="1" applyFill="1" applyFont="1">
      <alignment readingOrder="0"/>
    </xf>
    <xf borderId="0" fillId="12" fontId="4" numFmtId="0" xfId="0" applyAlignment="1" applyFill="1" applyFont="1">
      <alignment readingOrder="0"/>
    </xf>
    <xf borderId="0" fillId="8" fontId="4" numFmtId="0" xfId="0" applyAlignment="1" applyFont="1">
      <alignment readingOrder="0"/>
    </xf>
    <xf borderId="0" fillId="0" fontId="4" numFmtId="0" xfId="0" applyAlignment="1" applyFont="1">
      <alignment readingOrder="0"/>
    </xf>
    <xf borderId="0" fillId="10" fontId="4" numFmtId="0" xfId="0" applyAlignment="1" applyFont="1">
      <alignment readingOrder="0"/>
    </xf>
    <xf borderId="0" fillId="0" fontId="9" numFmtId="0" xfId="0" applyAlignment="1" applyFont="1">
      <alignment readingOrder="0" shrinkToFit="0" wrapText="1"/>
    </xf>
    <xf borderId="0" fillId="13" fontId="10" numFmtId="0" xfId="0" applyAlignment="1" applyFill="1" applyFont="1">
      <alignment readingOrder="0"/>
    </xf>
    <xf borderId="1" fillId="2"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3" fontId="4" numFmtId="0" xfId="0" applyAlignment="1" applyFont="1">
      <alignment readingOrder="0"/>
    </xf>
    <xf borderId="0" fillId="0" fontId="11" numFmtId="0" xfId="0" applyAlignment="1" applyFont="1">
      <alignment readingOrder="0"/>
    </xf>
    <xf borderId="1" fillId="2"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horizontal="center" readingOrder="0" shrinkToFit="0" vertical="center" wrapText="1"/>
    </xf>
    <xf borderId="0" fillId="14" fontId="12" numFmtId="0" xfId="0" applyAlignment="1" applyFill="1" applyFont="1">
      <alignment horizontal="center" readingOrder="0" shrinkToFit="0" vertical="center" wrapText="1"/>
    </xf>
    <xf borderId="0" fillId="0" fontId="13" numFmtId="0" xfId="0" applyAlignment="1" applyFont="1">
      <alignment horizontal="center" readingOrder="0" shrinkToFit="0" vertical="center" wrapText="1"/>
    </xf>
    <xf borderId="0" fillId="14" fontId="14" numFmtId="0" xfId="0" applyAlignment="1" applyFont="1">
      <alignment horizontal="center" readingOrder="0"/>
    </xf>
    <xf borderId="0" fillId="15" fontId="3" numFmtId="0" xfId="0" applyAlignment="1" applyFill="1" applyFont="1">
      <alignment horizontal="center" readingOrder="0" shrinkToFit="0" vertical="center" wrapText="1"/>
    </xf>
    <xf borderId="0" fillId="14" fontId="15" numFmtId="0" xfId="0" applyAlignment="1" applyFont="1">
      <alignment readingOrder="0"/>
    </xf>
    <xf borderId="0" fillId="0" fontId="3" numFmtId="165" xfId="0" applyAlignment="1" applyFont="1" applyNumberFormat="1">
      <alignment horizontal="center" readingOrder="0" shrinkToFit="0" vertical="center" wrapText="1"/>
    </xf>
    <xf borderId="0" fillId="0" fontId="5" numFmtId="0" xfId="0" applyAlignment="1" applyFont="1">
      <alignment vertical="bottom"/>
    </xf>
    <xf borderId="0" fillId="0" fontId="5" numFmtId="0" xfId="0" applyAlignment="1" applyFont="1">
      <alignment horizontal="right" vertical="bottom"/>
    </xf>
    <xf borderId="0" fillId="0" fontId="5" numFmtId="166" xfId="0" applyAlignment="1" applyFont="1" applyNumberFormat="1">
      <alignment horizontal="right" vertical="bottom"/>
    </xf>
    <xf borderId="1" fillId="2" fontId="16" numFmtId="0" xfId="0" applyAlignment="1" applyBorder="1" applyFont="1">
      <alignment horizontal="center" readingOrder="0" shrinkToFit="0" vertical="center" wrapText="1"/>
    </xf>
    <xf borderId="1" fillId="2" fontId="16" numFmtId="0" xfId="0" applyAlignment="1" applyBorder="1" applyFont="1">
      <alignment horizontal="center" shrinkToFit="0" vertical="center" wrapText="1"/>
    </xf>
    <xf borderId="1" fillId="16" fontId="16" numFmtId="0" xfId="0" applyAlignment="1" applyBorder="1" applyFill="1" applyFont="1">
      <alignment horizontal="center" readingOrder="0" shrinkToFit="0" vertical="center" wrapText="1"/>
    </xf>
    <xf borderId="1" fillId="16" fontId="16" numFmtId="0" xfId="0" applyAlignment="1" applyBorder="1" applyFont="1">
      <alignment horizontal="center" shrinkToFit="0" vertical="center" wrapText="1"/>
    </xf>
    <xf borderId="1" fillId="14" fontId="17" numFmtId="167" xfId="0" applyAlignment="1" applyBorder="1" applyFont="1" applyNumberForma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1" fillId="14" fontId="18"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14" fontId="17" numFmtId="0" xfId="0" applyAlignment="1" applyBorder="1" applyFont="1">
      <alignment horizontal="center" readingOrder="0" shrinkToFit="0" vertical="center" wrapText="1"/>
    </xf>
    <xf borderId="1" fillId="14" fontId="19" numFmtId="0" xfId="0" applyAlignment="1" applyBorder="1" applyFont="1">
      <alignment horizontal="center" shrinkToFit="0" vertical="center" wrapText="1"/>
    </xf>
    <xf borderId="1" fillId="14" fontId="17" numFmtId="0" xfId="0" applyAlignment="1" applyBorder="1" applyFont="1">
      <alignment horizontal="center" readingOrder="0" shrinkToFit="0" vertical="center" wrapText="1"/>
    </xf>
    <xf borderId="1" fillId="16" fontId="17" numFmtId="167" xfId="0" applyAlignment="1" applyBorder="1" applyFont="1" applyNumberFormat="1">
      <alignment horizontal="center" readingOrder="0" shrinkToFit="0" vertical="center" wrapText="1"/>
    </xf>
    <xf borderId="1" fillId="16"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14" fontId="20" numFmtId="0" xfId="0" applyAlignment="1" applyBorder="1" applyFont="1">
      <alignment horizontal="center" readingOrder="0" shrinkToFit="0" vertical="center" wrapText="1"/>
    </xf>
    <xf borderId="1" fillId="16" fontId="21" numFmtId="0" xfId="0" applyAlignment="1" applyBorder="1" applyFont="1">
      <alignment horizontal="center" readingOrder="0" shrinkToFit="0" vertical="center" wrapText="1"/>
    </xf>
    <xf borderId="1" fillId="17" fontId="17" numFmtId="0" xfId="0" applyAlignment="1" applyBorder="1" applyFill="1" applyFont="1">
      <alignment horizontal="center" readingOrder="0" shrinkToFit="0" vertical="center" wrapText="1"/>
    </xf>
    <xf borderId="1" fillId="17" fontId="16" numFmtId="0" xfId="0" applyAlignment="1" applyBorder="1" applyFont="1">
      <alignment horizontal="center" readingOrder="0" shrinkToFit="0" vertical="center" wrapText="1"/>
    </xf>
    <xf borderId="1" fillId="17" fontId="16" numFmtId="0" xfId="0" applyAlignment="1" applyBorder="1" applyFont="1">
      <alignment horizontal="center" shrinkToFit="0" vertical="center" wrapText="1"/>
    </xf>
    <xf borderId="1" fillId="14" fontId="21" numFmtId="0" xfId="0" applyAlignment="1" applyBorder="1" applyFont="1">
      <alignment horizontal="center" readingOrder="0" shrinkToFit="0" vertical="center" wrapText="1"/>
    </xf>
    <xf borderId="1" fillId="16" fontId="1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14" fontId="22" numFmtId="0" xfId="0" applyAlignment="1" applyBorder="1" applyFont="1">
      <alignment horizontal="center" readingOrder="0" shrinkToFit="0" vertical="center" wrapText="1"/>
    </xf>
    <xf borderId="1" fillId="14" fontId="8" numFmtId="0" xfId="0" applyAlignment="1" applyBorder="1" applyFont="1">
      <alignment horizontal="center" readingOrder="0" shrinkToFit="0" vertical="center" wrapText="1"/>
    </xf>
    <xf borderId="1" fillId="0" fontId="23"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1" fillId="16" fontId="24" numFmtId="0" xfId="0" applyAlignment="1" applyBorder="1" applyFont="1">
      <alignment horizontal="center" readingOrder="0" shrinkToFit="0" vertical="center" wrapText="1"/>
    </xf>
    <xf borderId="1" fillId="14" fontId="25" numFmtId="0" xfId="0" applyAlignment="1" applyBorder="1" applyFont="1">
      <alignment horizontal="center" readingOrder="0" shrinkToFit="0" vertical="center" wrapText="1"/>
    </xf>
    <xf borderId="1" fillId="16" fontId="4" numFmtId="0" xfId="0" applyAlignment="1" applyBorder="1" applyFont="1">
      <alignment horizontal="center" readingOrder="0" shrinkToFit="0" vertical="center" wrapText="1"/>
    </xf>
    <xf borderId="1" fillId="16" fontId="25"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1" fillId="14" fontId="26" numFmtId="0" xfId="0" applyAlignment="1" applyBorder="1" applyFont="1">
      <alignment horizontal="center" readingOrder="0" shrinkToFit="0" vertical="center" wrapText="1"/>
    </xf>
    <xf borderId="1" fillId="14" fontId="27" numFmtId="0" xfId="0" applyAlignment="1" applyBorder="1" applyFont="1">
      <alignment horizontal="center" readingOrder="0" shrinkToFit="0" vertical="center" wrapText="1"/>
    </xf>
    <xf borderId="1" fillId="14" fontId="27" numFmtId="0" xfId="0" applyAlignment="1" applyBorder="1" applyFont="1">
      <alignment horizontal="center" readingOrder="0" shrinkToFit="0" vertical="center" wrapText="1"/>
    </xf>
    <xf borderId="1" fillId="17" fontId="5" numFmtId="0" xfId="0" applyAlignment="1" applyBorder="1" applyFont="1">
      <alignment horizontal="center" readingOrder="0" shrinkToFit="0" vertical="center" wrapText="1"/>
    </xf>
    <xf borderId="1" fillId="17" fontId="8"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28"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16" fontId="5"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16" fontId="5" numFmtId="0" xfId="0" applyAlignment="1" applyBorder="1" applyFont="1">
      <alignment horizontal="center" readingOrder="0" shrinkToFit="0" vertical="center" wrapText="1"/>
    </xf>
    <xf borderId="1" fillId="16" fontId="5" numFmtId="0" xfId="0" applyAlignment="1" applyBorder="1" applyFont="1">
      <alignment horizontal="center" shrinkToFit="0" vertical="center" wrapText="1"/>
    </xf>
    <xf borderId="1" fillId="16" fontId="28" numFmtId="0" xfId="0" applyAlignment="1" applyBorder="1" applyFont="1">
      <alignment horizontal="center" readingOrder="0" shrinkToFit="0" vertical="center" wrapText="1"/>
    </xf>
    <xf borderId="1" fillId="14" fontId="8" numFmtId="0" xfId="0" applyAlignment="1" applyBorder="1" applyFont="1">
      <alignment horizontal="center" readingOrder="0" shrinkToFit="0" vertical="center" wrapText="1"/>
    </xf>
    <xf borderId="1" fillId="14" fontId="15" numFmtId="0" xfId="0" applyAlignment="1" applyBorder="1" applyFont="1">
      <alignment horizontal="center" readingOrder="0" shrinkToFit="0" vertical="center" wrapText="1"/>
    </xf>
    <xf borderId="1" fillId="14" fontId="16" numFmtId="168" xfId="0" applyAlignment="1" applyBorder="1" applyFont="1" applyNumberFormat="1">
      <alignment horizontal="center" shrinkToFit="0" vertical="center" wrapText="1"/>
    </xf>
    <xf borderId="1" fillId="14" fontId="16" numFmtId="0" xfId="0" applyAlignment="1" applyBorder="1" applyFont="1">
      <alignment horizontal="center" shrinkToFit="0" vertical="center" wrapText="1"/>
    </xf>
    <xf borderId="1" fillId="14" fontId="29" numFmtId="0" xfId="0" applyAlignment="1" applyBorder="1" applyFont="1">
      <alignment horizontal="center" shrinkToFit="0" vertical="center" wrapText="1"/>
    </xf>
    <xf borderId="1" fillId="14" fontId="5" numFmtId="0" xfId="0" applyAlignment="1" applyBorder="1" applyFont="1">
      <alignment horizontal="center" shrinkToFit="0" vertical="center" wrapText="1"/>
    </xf>
    <xf borderId="1" fillId="14" fontId="16" numFmtId="0" xfId="0" applyAlignment="1" applyBorder="1" applyFont="1">
      <alignment horizontal="center" shrinkToFit="0" vertical="center" wrapText="1"/>
    </xf>
    <xf borderId="1" fillId="14" fontId="5" numFmtId="0" xfId="0" applyAlignment="1" applyBorder="1" applyFont="1">
      <alignment horizontal="center" readingOrder="0" shrinkToFit="0" vertical="center" wrapText="1"/>
    </xf>
    <xf borderId="1" fillId="14" fontId="5" numFmtId="0" xfId="0" applyAlignment="1" applyBorder="1" applyFont="1">
      <alignment horizontal="center" shrinkToFit="0" vertical="center" wrapText="1"/>
    </xf>
    <xf borderId="1" fillId="14" fontId="29" numFmtId="0" xfId="0" applyAlignment="1" applyBorder="1" applyFont="1">
      <alignment horizontal="center" shrinkToFit="0" vertical="center" wrapText="1"/>
    </xf>
    <xf borderId="1" fillId="14" fontId="16" numFmtId="168" xfId="0" applyAlignment="1" applyBorder="1" applyFont="1" applyNumberFormat="1">
      <alignment horizontal="center" readingOrder="0" shrinkToFit="0" vertical="center" wrapText="1"/>
    </xf>
    <xf borderId="1" fillId="0" fontId="16" numFmtId="169" xfId="0" applyAlignment="1" applyBorder="1" applyFont="1" applyNumberFormat="1">
      <alignment horizontal="center" readingOrder="0" shrinkToFit="0" vertical="center" wrapText="1"/>
    </xf>
    <xf borderId="1" fillId="0" fontId="4" numFmtId="0" xfId="0" applyAlignment="1" applyBorder="1" applyFont="1">
      <alignment horizontal="center" readingOrder="0" shrinkToFit="0" vertical="center" wrapText="1"/>
    </xf>
    <xf borderId="1" fillId="18" fontId="16" numFmtId="170" xfId="0" applyAlignment="1" applyBorder="1" applyFill="1" applyFont="1" applyNumberFormat="1">
      <alignment horizontal="center" readingOrder="0" shrinkToFit="0" vertical="center" wrapText="1"/>
    </xf>
    <xf borderId="1" fillId="18" fontId="16" numFmtId="0" xfId="0" applyAlignment="1" applyBorder="1" applyFont="1">
      <alignment horizontal="center" shrinkToFit="0" vertical="center" wrapText="1"/>
    </xf>
    <xf borderId="1" fillId="18" fontId="5" numFmtId="0" xfId="0" applyAlignment="1" applyBorder="1" applyFont="1">
      <alignment horizontal="center" shrinkToFit="0" vertical="center" wrapText="1"/>
    </xf>
    <xf borderId="1" fillId="18" fontId="4" numFmtId="0" xfId="0" applyAlignment="1" applyBorder="1" applyFont="1">
      <alignment horizontal="center" shrinkToFit="0" vertical="center" wrapText="1"/>
    </xf>
    <xf borderId="1" fillId="18" fontId="30" numFmtId="0" xfId="0" applyAlignment="1" applyBorder="1" applyFont="1">
      <alignment horizontal="center" readingOrder="0" shrinkToFit="0" vertical="center" wrapText="1"/>
    </xf>
    <xf borderId="1" fillId="18" fontId="30" numFmtId="0" xfId="0" applyAlignment="1" applyBorder="1" applyFont="1">
      <alignment horizontal="center" readingOrder="0" shrinkToFit="0" vertical="center" wrapText="1"/>
    </xf>
    <xf borderId="1" fillId="18" fontId="16" numFmtId="0" xfId="0" applyAlignment="1" applyBorder="1" applyFont="1">
      <alignment horizontal="center" readingOrder="0" shrinkToFit="0" vertical="center" wrapText="1"/>
    </xf>
    <xf borderId="1" fillId="19" fontId="30" numFmtId="0" xfId="0" applyAlignment="1" applyBorder="1" applyFill="1" applyFont="1">
      <alignment horizontal="center" readingOrder="0" shrinkToFit="0" vertical="center" wrapText="1"/>
    </xf>
    <xf borderId="1" fillId="19" fontId="30" numFmtId="0" xfId="0" applyAlignment="1" applyBorder="1" applyFont="1">
      <alignment horizontal="center" readingOrder="0" shrinkToFit="0" vertical="center" wrapText="1"/>
    </xf>
    <xf borderId="1" fillId="16" fontId="16" numFmtId="169" xfId="0" applyAlignment="1" applyBorder="1" applyFont="1" applyNumberFormat="1">
      <alignment horizontal="center" readingOrder="0" shrinkToFit="0" vertical="center" wrapText="1"/>
    </xf>
    <xf borderId="1" fillId="16" fontId="23" numFmtId="0" xfId="0" applyAlignment="1" applyBorder="1" applyFont="1">
      <alignment horizontal="center" readingOrder="0" shrinkToFit="0" vertical="center" wrapText="1"/>
    </xf>
    <xf borderId="0" fillId="20" fontId="31" numFmtId="0" xfId="0" applyAlignment="1" applyFill="1" applyFont="1">
      <alignment horizontal="center" readingOrder="0" shrinkToFit="0" wrapText="1"/>
    </xf>
    <xf borderId="0" fillId="20" fontId="23" numFmtId="0" xfId="0" applyAlignment="1" applyFont="1">
      <alignment horizontal="center" shrinkToFit="0" wrapText="1"/>
    </xf>
    <xf borderId="0" fillId="0" fontId="23" numFmtId="0" xfId="0" applyAlignment="1" applyFont="1">
      <alignment horizontal="center" shrinkToFit="0" wrapText="1"/>
    </xf>
    <xf borderId="0" fillId="0" fontId="23" numFmtId="171" xfId="0" applyAlignment="1" applyFont="1" applyNumberFormat="1">
      <alignment horizontal="center" shrinkToFit="0" wrapText="1"/>
    </xf>
    <xf borderId="0" fillId="0" fontId="5" numFmtId="0" xfId="0" applyFont="1"/>
    <xf borderId="0" fillId="14" fontId="32" numFmtId="0" xfId="0" applyAlignment="1" applyFont="1">
      <alignment horizontal="center" shrinkToFit="0" wrapText="1"/>
    </xf>
    <xf borderId="0" fillId="0" fontId="23" numFmtId="0" xfId="0" applyAlignment="1" applyFont="1">
      <alignment horizontal="center" shrinkToFit="0" wrapText="1"/>
    </xf>
    <xf borderId="0" fillId="14" fontId="23" numFmtId="0" xfId="0" applyAlignment="1" applyFont="1">
      <alignment horizontal="center" shrinkToFit="0" wrapText="1"/>
    </xf>
    <xf borderId="0" fillId="14" fontId="33" numFmtId="0" xfId="0" applyAlignment="1" applyFont="1">
      <alignment horizontal="center" shrinkToFit="0" wrapText="1"/>
    </xf>
    <xf borderId="0" fillId="21" fontId="33" numFmtId="0" xfId="0" applyAlignment="1" applyFill="1" applyFont="1">
      <alignment horizontal="center" shrinkToFit="0" wrapText="1"/>
    </xf>
    <xf borderId="0" fillId="0" fontId="23" numFmtId="172" xfId="0" applyAlignment="1" applyFont="1" applyNumberFormat="1">
      <alignment horizontal="center" shrinkToFit="0" wrapText="1"/>
    </xf>
    <xf borderId="0" fillId="17" fontId="23" numFmtId="0" xfId="0" applyAlignment="1" applyFont="1">
      <alignment horizontal="center" shrinkToFit="0" wrapText="1"/>
    </xf>
    <xf borderId="0" fillId="0" fontId="5" numFmtId="0" xfId="0" applyAlignment="1" applyFont="1">
      <alignment shrinkToFit="0" wrapText="1"/>
    </xf>
    <xf borderId="0" fillId="22" fontId="23" numFmtId="0" xfId="0" applyAlignment="1" applyFill="1" applyFont="1">
      <alignment horizontal="center" shrinkToFit="0" wrapText="1"/>
    </xf>
    <xf borderId="0" fillId="22" fontId="23" numFmtId="172" xfId="0" applyAlignment="1" applyFont="1" applyNumberFormat="1">
      <alignment horizontal="center" shrinkToFit="0" wrapText="1"/>
    </xf>
    <xf borderId="0" fillId="22" fontId="5" numFmtId="0" xfId="0" applyFont="1"/>
    <xf borderId="0" fillId="22" fontId="34" numFmtId="0" xfId="0" applyAlignment="1" applyFont="1">
      <alignment horizontal="center" shrinkToFit="0" wrapText="1"/>
    </xf>
    <xf borderId="0" fillId="22" fontId="23" numFmtId="0" xfId="0" applyAlignment="1" applyFont="1">
      <alignment horizontal="center" shrinkToFit="0" wrapText="1"/>
    </xf>
    <xf borderId="0" fillId="22" fontId="4" numFmtId="0" xfId="0" applyFont="1"/>
    <xf borderId="0" fillId="13" fontId="23" numFmtId="0" xfId="0" applyAlignment="1" applyFont="1">
      <alignment horizontal="center" shrinkToFit="0" wrapText="1"/>
    </xf>
    <xf borderId="0" fillId="22" fontId="23" numFmtId="171" xfId="0" applyAlignment="1" applyFont="1" applyNumberFormat="1">
      <alignment horizontal="center" shrinkToFit="0" wrapText="1"/>
    </xf>
    <xf borderId="0" fillId="22" fontId="23" numFmtId="0" xfId="0" applyAlignment="1" applyFont="1">
      <alignment horizontal="center" readingOrder="0" shrinkToFit="0" wrapText="1"/>
    </xf>
    <xf borderId="0" fillId="23" fontId="23" numFmtId="0" xfId="0" applyAlignment="1" applyFill="1" applyFont="1">
      <alignment horizontal="center" shrinkToFit="0" wrapText="1"/>
    </xf>
    <xf borderId="0" fillId="17" fontId="23" numFmtId="172" xfId="0" applyAlignment="1" applyFont="1" applyNumberFormat="1">
      <alignment horizontal="center" shrinkToFit="0" wrapText="1"/>
    </xf>
    <xf borderId="0" fillId="17" fontId="5" numFmtId="0" xfId="0" applyFont="1"/>
    <xf borderId="0" fillId="17" fontId="35" numFmtId="0" xfId="0" applyAlignment="1" applyFont="1">
      <alignment horizontal="center" shrinkToFit="0" wrapText="1"/>
    </xf>
    <xf borderId="0" fillId="17" fontId="23" numFmtId="0" xfId="0" applyAlignment="1" applyFont="1">
      <alignment horizontal="center" shrinkToFit="0" wrapText="1"/>
    </xf>
    <xf borderId="0" fillId="24" fontId="23" numFmtId="0" xfId="0" applyAlignment="1" applyFill="1" applyFont="1">
      <alignment horizontal="center" shrinkToFit="0" wrapText="1"/>
    </xf>
    <xf borderId="0" fillId="24" fontId="23" numFmtId="172" xfId="0" applyAlignment="1" applyFont="1" applyNumberFormat="1">
      <alignment horizontal="center" shrinkToFit="0" wrapText="1"/>
    </xf>
    <xf borderId="0" fillId="24" fontId="23" numFmtId="0" xfId="0" applyAlignment="1" applyFont="1">
      <alignment horizontal="center" shrinkToFit="0" wrapText="1"/>
    </xf>
    <xf borderId="0" fillId="24" fontId="5" numFmtId="0" xfId="0" applyFont="1"/>
    <xf borderId="0" fillId="24" fontId="23" numFmtId="0" xfId="0" applyAlignment="1" applyFont="1">
      <alignment horizontal="center" readingOrder="0" shrinkToFit="0" wrapText="1"/>
    </xf>
    <xf borderId="0" fillId="25" fontId="23" numFmtId="0" xfId="0" applyAlignment="1" applyFill="1" applyFont="1">
      <alignment horizontal="center" shrinkToFit="0" wrapText="1"/>
    </xf>
    <xf borderId="0" fillId="14" fontId="36" numFmtId="0" xfId="0" applyAlignment="1" applyFont="1">
      <alignment horizontal="center" shrinkToFit="0" vertical="bottom" wrapText="1"/>
    </xf>
    <xf borderId="0" fillId="22" fontId="37" numFmtId="0" xfId="0" applyAlignment="1" applyFont="1">
      <alignment horizontal="center" shrinkToFit="0" wrapText="1"/>
    </xf>
    <xf borderId="0" fillId="22" fontId="36" numFmtId="0" xfId="0" applyAlignment="1" applyFont="1">
      <alignment horizontal="center" shrinkToFit="0" vertical="bottom" wrapText="1"/>
    </xf>
    <xf borderId="0" fillId="0" fontId="38" numFmtId="0" xfId="0" applyAlignment="1" applyFont="1">
      <alignment horizontal="center" shrinkToFit="0" wrapText="1"/>
    </xf>
    <xf borderId="0" fillId="26" fontId="23" numFmtId="0" xfId="0" applyAlignment="1" applyFill="1" applyFont="1">
      <alignment horizontal="center" shrinkToFit="0" wrapText="1"/>
    </xf>
    <xf borderId="0" fillId="26" fontId="23" numFmtId="172" xfId="0" applyAlignment="1" applyFont="1" applyNumberFormat="1">
      <alignment horizontal="center" shrinkToFit="0" wrapText="1"/>
    </xf>
    <xf borderId="0" fillId="26" fontId="5" numFmtId="0" xfId="0" applyAlignment="1" applyFont="1">
      <alignment horizontal="center"/>
    </xf>
    <xf borderId="0" fillId="26" fontId="39" numFmtId="0" xfId="0" applyAlignment="1" applyFont="1">
      <alignment horizontal="center" shrinkToFit="0" wrapText="1"/>
    </xf>
    <xf borderId="0" fillId="26" fontId="40" numFmtId="0" xfId="0" applyAlignment="1" applyFont="1">
      <alignment shrinkToFit="0" vertical="bottom" wrapText="1"/>
    </xf>
    <xf borderId="0" fillId="26" fontId="41" numFmtId="0" xfId="0" applyAlignment="1" applyFont="1">
      <alignment horizontal="center"/>
    </xf>
    <xf borderId="0" fillId="26" fontId="5" numFmtId="0" xfId="0" applyFont="1"/>
    <xf borderId="0" fillId="26" fontId="23" numFmtId="0" xfId="0" applyAlignment="1" applyFont="1">
      <alignment horizontal="center" readingOrder="0" shrinkToFit="0" wrapText="1"/>
    </xf>
    <xf borderId="0" fillId="0" fontId="5" numFmtId="0" xfId="0" applyAlignment="1" applyFont="1">
      <alignment horizontal="center"/>
    </xf>
    <xf borderId="0" fillId="0" fontId="42" numFmtId="0" xfId="0" applyAlignment="1" applyFont="1">
      <alignment shrinkToFit="0" vertical="bottom" wrapText="1"/>
    </xf>
    <xf borderId="0" fillId="14" fontId="5" numFmtId="0" xfId="0" applyAlignment="1" applyFont="1">
      <alignment horizontal="center" vertical="bottom"/>
    </xf>
    <xf borderId="0" fillId="14" fontId="5" numFmtId="0" xfId="0" applyFont="1"/>
    <xf borderId="0" fillId="14" fontId="43" numFmtId="0" xfId="0" applyAlignment="1" applyFont="1">
      <alignment horizontal="center" vertical="bottom"/>
    </xf>
    <xf borderId="0" fillId="14" fontId="44" numFmtId="0" xfId="0" applyAlignment="1" applyFont="1">
      <alignment horizontal="center" vertical="bottom"/>
    </xf>
    <xf borderId="0" fillId="14" fontId="45" numFmtId="0" xfId="0" applyAlignment="1" applyFont="1">
      <alignment vertical="bottom"/>
    </xf>
    <xf borderId="0" fillId="0" fontId="5" numFmtId="0" xfId="0" applyAlignment="1" applyFont="1">
      <alignment shrinkToFit="0" vertical="bottom" wrapText="1"/>
    </xf>
    <xf borderId="0" fillId="0" fontId="23" numFmtId="0" xfId="0" applyAlignment="1" applyFont="1">
      <alignment horizontal="center" readingOrder="0" shrinkToFit="0" wrapText="1"/>
    </xf>
    <xf borderId="0" fillId="14" fontId="5" numFmtId="0" xfId="0" applyAlignment="1" applyFont="1">
      <alignment vertical="bottom"/>
    </xf>
    <xf borderId="0" fillId="21" fontId="44" numFmtId="0" xfId="0" applyAlignment="1" applyFont="1">
      <alignment shrinkToFit="0" vertical="bottom" wrapText="1"/>
    </xf>
    <xf borderId="0" fillId="21" fontId="44" numFmtId="0" xfId="0" applyAlignment="1" applyFont="1">
      <alignment vertical="bottom"/>
    </xf>
    <xf borderId="0" fillId="21" fontId="44" numFmtId="0" xfId="0" applyAlignment="1" applyFont="1">
      <alignment horizontal="right" vertical="bottom"/>
    </xf>
    <xf borderId="0" fillId="27" fontId="46" numFmtId="0" xfId="0" applyAlignment="1" applyFill="1" applyFont="1">
      <alignment horizontal="center" readingOrder="0" shrinkToFit="0" vertical="center" wrapText="1"/>
    </xf>
    <xf borderId="0" fillId="27" fontId="46" numFmtId="0" xfId="0" applyAlignment="1" applyFont="1">
      <alignment horizontal="center" shrinkToFit="0" vertical="center" wrapText="1"/>
    </xf>
    <xf borderId="0" fillId="0" fontId="46" numFmtId="0" xfId="0" applyAlignment="1" applyFont="1">
      <alignment horizontal="center" shrinkToFit="0" vertical="center" wrapText="1"/>
    </xf>
    <xf borderId="0" fillId="0" fontId="46" numFmtId="0" xfId="0" applyAlignment="1" applyFont="1">
      <alignment horizontal="center" readingOrder="0" shrinkToFit="0" vertical="center" wrapText="1"/>
    </xf>
    <xf borderId="0" fillId="0" fontId="46" numFmtId="173" xfId="0" applyAlignment="1" applyFont="1" applyNumberFormat="1">
      <alignment horizontal="center" readingOrder="0" shrinkToFit="0" vertical="center" wrapText="1"/>
    </xf>
    <xf borderId="0" fillId="16" fontId="46" numFmtId="0" xfId="0" applyAlignment="1" applyFont="1">
      <alignment horizontal="center" readingOrder="0" shrinkToFit="0" vertical="center" wrapText="1"/>
    </xf>
    <xf borderId="0" fillId="28" fontId="46" numFmtId="0" xfId="0" applyAlignment="1" applyFill="1" applyFont="1">
      <alignment horizontal="center" readingOrder="0" shrinkToFit="0" vertical="center" wrapText="1"/>
    </xf>
    <xf borderId="0" fillId="16" fontId="46" numFmtId="0" xfId="0" applyAlignment="1" applyFont="1">
      <alignment horizontal="center" shrinkToFit="0" vertical="center" wrapText="1"/>
    </xf>
    <xf borderId="0" fillId="8" fontId="46" numFmtId="0" xfId="0" applyAlignment="1" applyFont="1">
      <alignment horizontal="center" readingOrder="0" shrinkToFit="0" vertical="center" wrapText="1"/>
    </xf>
    <xf borderId="0" fillId="0" fontId="47" numFmtId="0" xfId="0" applyFont="1"/>
    <xf borderId="0" fillId="0" fontId="47" numFmtId="0" xfId="0" applyAlignment="1" applyFont="1">
      <alignment shrinkToFit="0" wrapText="1"/>
    </xf>
    <xf borderId="0" fillId="14" fontId="48" numFmtId="0" xfId="0" applyAlignment="1" applyFont="1">
      <alignment horizontal="center" readingOrder="0" shrinkToFit="0" vertical="center" wrapText="1"/>
    </xf>
    <xf borderId="0" fillId="17" fontId="46" numFmtId="0" xfId="0" applyAlignment="1" applyFont="1">
      <alignment horizontal="center" readingOrder="0" shrinkToFit="0" vertical="center" wrapText="1"/>
    </xf>
    <xf borderId="0" fillId="14" fontId="49" numFmtId="0" xfId="0" applyAlignment="1" applyFont="1">
      <alignment horizontal="center" readingOrder="0" shrinkToFit="0" vertical="center" wrapText="1"/>
    </xf>
    <xf borderId="0" fillId="14" fontId="50" numFmtId="0" xfId="0" applyAlignment="1" applyFont="1">
      <alignment horizontal="center" readingOrder="0" shrinkToFit="0" vertical="center" wrapText="1"/>
    </xf>
    <xf borderId="0" fillId="29" fontId="46" numFmtId="0" xfId="0" applyAlignment="1" applyFill="1" applyFont="1">
      <alignment horizontal="center" readingOrder="0" shrinkToFit="0" vertical="center" wrapText="1"/>
    </xf>
    <xf borderId="0" fillId="16" fontId="46" numFmtId="173" xfId="0" applyAlignment="1" applyFont="1" applyNumberFormat="1">
      <alignment horizontal="center" readingOrder="0" shrinkToFit="0" vertical="center" wrapText="1"/>
    </xf>
    <xf borderId="0" fillId="16" fontId="50" numFmtId="0" xfId="0" applyAlignment="1" applyFont="1">
      <alignment horizontal="center" readingOrder="0" shrinkToFit="0" vertical="center" wrapText="1"/>
    </xf>
    <xf borderId="0" fillId="22" fontId="46" numFmtId="0" xfId="0" applyAlignment="1" applyFont="1">
      <alignment horizontal="center" readingOrder="0" shrinkToFit="0" vertical="center" wrapText="1"/>
    </xf>
    <xf borderId="0" fillId="22" fontId="46" numFmtId="0" xfId="0" applyAlignment="1" applyFont="1">
      <alignment horizontal="center" shrinkToFit="0" vertical="center" wrapText="1"/>
    </xf>
    <xf borderId="0" fillId="30" fontId="46" numFmtId="0" xfId="0" applyAlignment="1" applyFill="1" applyFont="1">
      <alignment horizontal="center" readingOrder="0" shrinkToFit="0" vertical="center" wrapText="1"/>
    </xf>
    <xf borderId="0" fillId="13" fontId="46" numFmtId="0" xfId="0" applyAlignment="1" applyFont="1">
      <alignment horizontal="center" shrinkToFit="0" vertical="center" wrapText="1"/>
    </xf>
    <xf borderId="0" fillId="13" fontId="46" numFmtId="0" xfId="0" applyAlignment="1" applyFont="1">
      <alignment horizontal="center" readingOrder="0" shrinkToFit="0" vertical="center" wrapText="1"/>
    </xf>
    <xf borderId="1" fillId="0" fontId="46" numFmtId="0" xfId="0" applyAlignment="1" applyBorder="1" applyFont="1">
      <alignment horizontal="center" shrinkToFit="0" vertical="center" wrapText="1"/>
    </xf>
    <xf borderId="0" fillId="0" fontId="51" numFmtId="0" xfId="0" applyAlignment="1" applyFont="1">
      <alignment readingOrder="0" shrinkToFit="0" wrapText="1"/>
    </xf>
    <xf borderId="0" fillId="0" fontId="52" numFmtId="0" xfId="0" applyAlignment="1" applyFont="1">
      <alignment horizontal="center" readingOrder="0" shrinkToFit="0" vertical="center" wrapText="1"/>
    </xf>
    <xf borderId="0" fillId="0" fontId="46" numFmtId="174" xfId="0" applyAlignment="1" applyFont="1" applyNumberFormat="1">
      <alignment horizontal="center" readingOrder="0" shrinkToFit="0" vertical="center" wrapText="1"/>
    </xf>
    <xf borderId="0" fillId="0" fontId="47" numFmtId="0" xfId="0" applyAlignment="1" applyFont="1">
      <alignment readingOrder="0" shrinkToFit="0" wrapText="1"/>
    </xf>
    <xf borderId="0" fillId="14" fontId="50" numFmtId="0" xfId="0" applyAlignment="1" applyFont="1">
      <alignment horizontal="center" readingOrder="0" shrinkToFit="0" wrapText="1"/>
    </xf>
    <xf borderId="0" fillId="15" fontId="50" numFmtId="0" xfId="0" applyAlignment="1" applyFont="1">
      <alignment horizontal="center" readingOrder="0" shrinkToFit="0" wrapText="1"/>
    </xf>
    <xf borderId="0" fillId="15" fontId="46" numFmtId="0" xfId="0" applyAlignment="1" applyFont="1">
      <alignment horizontal="center" readingOrder="0" shrinkToFit="0" vertical="center" wrapText="1"/>
    </xf>
    <xf borderId="0" fillId="30" fontId="46" numFmtId="0" xfId="0" applyAlignment="1" applyFont="1">
      <alignment horizontal="center" shrinkToFit="0" vertical="center" wrapText="1"/>
    </xf>
    <xf borderId="0" fillId="28" fontId="46" numFmtId="0" xfId="0" applyAlignment="1" applyFont="1">
      <alignment horizontal="center" shrinkToFit="0" vertical="center" wrapText="1"/>
    </xf>
    <xf borderId="0" fillId="0" fontId="46" numFmtId="0" xfId="0" applyAlignment="1" applyFont="1">
      <alignment horizontal="center" shrinkToFit="0" vertical="center" wrapText="1"/>
    </xf>
    <xf borderId="0" fillId="0" fontId="53" numFmtId="0" xfId="0" applyAlignment="1" applyFont="1">
      <alignment readingOrder="0" shrinkToFit="0" wrapText="1"/>
    </xf>
    <xf borderId="0" fillId="0" fontId="46" numFmtId="0" xfId="0" applyAlignment="1" applyFont="1">
      <alignment horizontal="center" readingOrder="0" shrinkToFit="0" vertical="center" wrapText="1"/>
    </xf>
    <xf borderId="0" fillId="0" fontId="54" numFmtId="0" xfId="0" applyAlignment="1" applyFont="1">
      <alignment horizontal="center" readingOrder="0" shrinkToFit="0" vertical="center" wrapText="1"/>
    </xf>
    <xf borderId="0" fillId="0" fontId="55" numFmtId="0" xfId="0" applyAlignment="1" applyFont="1">
      <alignment horizontal="center" readingOrder="0" shrinkToFit="0" vertical="center" wrapText="1"/>
    </xf>
    <xf borderId="0" fillId="31" fontId="56" numFmtId="0" xfId="0" applyAlignment="1" applyFill="1" applyFont="1">
      <alignment readingOrder="0" shrinkToFit="0" wrapText="0"/>
    </xf>
    <xf borderId="0" fillId="0" fontId="16" numFmtId="0" xfId="0" applyAlignment="1" applyFont="1">
      <alignment horizontal="center" readingOrder="0" shrinkToFit="0" vertical="center" wrapText="1"/>
    </xf>
    <xf borderId="0" fillId="0" fontId="16" numFmtId="173" xfId="0" applyAlignment="1" applyFont="1" applyNumberFormat="1">
      <alignment horizontal="center" readingOrder="0" shrinkToFit="0" vertical="center" wrapText="1"/>
    </xf>
    <xf borderId="0" fillId="30" fontId="16"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16" fontId="16" numFmtId="0" xfId="0" applyAlignment="1" applyFont="1">
      <alignment horizontal="center" shrinkToFit="0" vertical="center" wrapText="1"/>
    </xf>
    <xf borderId="0" fillId="16" fontId="16" numFmtId="0" xfId="0" applyAlignment="1" applyFont="1">
      <alignment horizontal="center" readingOrder="0" shrinkToFit="0" vertical="center" wrapText="1"/>
    </xf>
    <xf borderId="0" fillId="8" fontId="16" numFmtId="0" xfId="0" applyAlignment="1" applyFont="1">
      <alignment horizontal="center" readingOrder="0" shrinkToFit="0" vertical="center" wrapText="1"/>
    </xf>
    <xf borderId="0" fillId="29" fontId="16" numFmtId="0" xfId="0" applyAlignment="1" applyFont="1">
      <alignment horizontal="center" readingOrder="0" shrinkToFit="0" vertical="center" wrapText="1"/>
    </xf>
    <xf borderId="0" fillId="28" fontId="16" numFmtId="0" xfId="0" applyAlignment="1" applyFont="1">
      <alignment horizontal="center" readingOrder="0" shrinkToFit="0" vertical="center" wrapText="1"/>
    </xf>
    <xf borderId="0" fillId="0" fontId="16" numFmtId="174" xfId="0" applyAlignment="1" applyFont="1" applyNumberFormat="1">
      <alignment horizontal="center" readingOrder="0" shrinkToFit="0" vertical="center" wrapText="1"/>
    </xf>
    <xf borderId="0" fillId="15" fontId="17" numFmtId="0" xfId="0" applyAlignment="1" applyFont="1">
      <alignment horizontal="center" readingOrder="0" shrinkToFit="0" wrapText="1"/>
    </xf>
    <xf borderId="0" fillId="15" fontId="16" numFmtId="0" xfId="0" applyAlignment="1" applyFont="1">
      <alignment horizontal="center" readingOrder="0" shrinkToFit="0" vertical="center" wrapText="1"/>
    </xf>
    <xf borderId="0" fillId="0" fontId="16" numFmtId="0" xfId="0" applyAlignment="1" applyFont="1">
      <alignment horizontal="center" shrinkToFit="0" wrapText="1"/>
    </xf>
  </cellXfs>
  <cellStyles count="1">
    <cellStyle xfId="0" name="Normal" builtinId="0"/>
  </cellStyles>
  <dxfs count="2">
    <dxf>
      <font/>
      <fill>
        <patternFill patternType="none"/>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9.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1752600</xdr:colOff>
      <xdr:row>203</xdr:row>
      <xdr:rowOff>133350</xdr:rowOff>
    </xdr:from>
    <xdr:ext cx="1466850" cy="838200"/>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1981200</xdr:colOff>
      <xdr:row>204</xdr:row>
      <xdr:rowOff>149875875</xdr:rowOff>
    </xdr:from>
    <xdr:ext cx="2619375" cy="14954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1400175</xdr:colOff>
      <xdr:row>203</xdr:row>
      <xdr:rowOff>390525</xdr:rowOff>
    </xdr:from>
    <xdr:ext cx="1181100" cy="68580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itika soni" id="{d828cd7c-e023-4a18-97db-3394b30d7fa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20" dT="2022-01-05T05:43:04.00" personId="{d828cd7c-e023-4a18-97db-3394b30d7fa7}" id="{1110e1e0-b975-49f3-879a-3c2c2eed367c}" done="0">
    <x18tc:text xml:space="preserve">forwarded to shivani mam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sabri-haj-b413b8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sabri-haj-b413b87/" TargetMode="External"/><Relationship Id="rId2" Type="http://schemas.openxmlformats.org/officeDocument/2006/relationships/hyperlink" Target="http://www.cioncancerclinics.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inkedin.com/in/dr-mayank-g-a9a395243/"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www.linkedin.com/in/somesh-vanchilingam-46a6a212/" TargetMode="External"/><Relationship Id="rId3" Type="http://schemas.openxmlformats.org/officeDocument/2006/relationships/hyperlink" Target="https://www.facebook.com/Nokhamandi-Rajasthan-India-104690199570492/" TargetMode="External"/><Relationship Id="rId4" Type="http://schemas.openxmlformats.org/officeDocument/2006/relationships/hyperlink" Target="https://www.facebook.com/Nokhamandi-Rajasthan-India-104690199570492/" TargetMode="External"/><Relationship Id="rId5" Type="http://schemas.openxmlformats.org/officeDocument/2006/relationships/hyperlink" Target="https://www.facebook.com/Sonipat-108066012548763/" TargetMode="External"/><Relationship Id="rId6" Type="http://schemas.openxmlformats.org/officeDocument/2006/relationships/hyperlink" Target="https://www.facebook.com/Sanjeevan-x-ray-and-3d4d-colour-doppler-centre-1417200778499964/" TargetMode="External"/><Relationship Id="rId7" Type="http://schemas.openxmlformats.org/officeDocument/2006/relationships/hyperlink" Target="https://www.facebook.com/Pathanamthitta-104013499634621/"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www.facebook.com/alok.chaudhary.77" TargetMode="External"/><Relationship Id="rId10" Type="http://schemas.openxmlformats.org/officeDocument/2006/relationships/hyperlink" Target="http://drvikasjadhav.us/" TargetMode="External"/><Relationship Id="rId13" Type="http://schemas.openxmlformats.org/officeDocument/2006/relationships/drawing" Target="../drawings/drawing9.xml"/><Relationship Id="rId12" Type="http://schemas.openxmlformats.org/officeDocument/2006/relationships/hyperlink" Target="https://www.facebook.com/cristiano.manish.7" TargetMode="External"/><Relationship Id="rId1" Type="http://schemas.openxmlformats.org/officeDocument/2006/relationships/hyperlink" Target="https://www.linkedin.com/in/nirmal-patil-82a715135/" TargetMode="External"/><Relationship Id="rId2" Type="http://schemas.openxmlformats.org/officeDocument/2006/relationships/hyperlink" Target="https://www.facebook.com/profile.php?id=100039589448491" TargetMode="External"/><Relationship Id="rId3" Type="http://schemas.openxmlformats.org/officeDocument/2006/relationships/hyperlink" Target="https://www.linkedin.com/in/mohammed-aleyan-2a2242224/" TargetMode="External"/><Relationship Id="rId4" Type="http://schemas.openxmlformats.org/officeDocument/2006/relationships/hyperlink" Target="https://www.facebook.com/ramraghvendra.singh" TargetMode="External"/><Relationship Id="rId9" Type="http://schemas.openxmlformats.org/officeDocument/2006/relationships/hyperlink" Target="https://www.instagram.com/p/CNjasUsL_re/?utm_source=ig_web_copy_link" TargetMode="External"/><Relationship Id="rId5" Type="http://schemas.openxmlformats.org/officeDocument/2006/relationships/hyperlink" Target="https://www.facebook.com/saurabh.varshney.353" TargetMode="External"/><Relationship Id="rId6" Type="http://schemas.openxmlformats.org/officeDocument/2006/relationships/hyperlink" Target="http://www.semwaldiagnostics.com/" TargetMode="External"/><Relationship Id="rId7" Type="http://schemas.openxmlformats.org/officeDocument/2006/relationships/hyperlink" Target="https://www.facebook.com/aramisimaging" TargetMode="External"/><Relationship Id="rId8" Type="http://schemas.openxmlformats.org/officeDocument/2006/relationships/hyperlink" Target="https://www.linkedin.com/in/venkatesu-dantla-581278198/"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acebook.com/ramraghvendra.singh"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94.63"/>
    <col customWidth="1" min="3" max="3" width="23.0"/>
    <col customWidth="1" min="4" max="4" width="24.63"/>
  </cols>
  <sheetData>
    <row r="1">
      <c r="A1" s="1" t="s">
        <v>0</v>
      </c>
      <c r="B1" s="1" t="s">
        <v>1</v>
      </c>
      <c r="C1" s="1" t="s">
        <v>2</v>
      </c>
      <c r="D1" s="2" t="s">
        <v>3</v>
      </c>
      <c r="E1" s="3"/>
      <c r="F1" s="4"/>
      <c r="G1" s="3"/>
      <c r="H1" s="3"/>
    </row>
    <row r="2">
      <c r="A2" s="5">
        <v>46024.0</v>
      </c>
      <c r="B2" s="6" t="s">
        <v>4</v>
      </c>
      <c r="C2" s="6" t="s">
        <v>5</v>
      </c>
      <c r="D2" s="7"/>
    </row>
    <row r="3">
      <c r="A3" s="5">
        <v>46024.0</v>
      </c>
      <c r="B3" s="6" t="s">
        <v>6</v>
      </c>
      <c r="C3" s="6" t="s">
        <v>5</v>
      </c>
      <c r="D3" s="7"/>
    </row>
    <row r="4">
      <c r="A4" s="5">
        <v>46024.0</v>
      </c>
      <c r="B4" s="8" t="s">
        <v>7</v>
      </c>
      <c r="C4" s="6" t="s">
        <v>5</v>
      </c>
      <c r="D4" s="7"/>
    </row>
    <row r="5">
      <c r="A5" s="5">
        <v>46024.0</v>
      </c>
      <c r="B5" s="8" t="s">
        <v>8</v>
      </c>
      <c r="C5" s="6" t="s">
        <v>5</v>
      </c>
      <c r="D5" s="7"/>
    </row>
    <row r="6">
      <c r="A6" s="5">
        <v>46024.0</v>
      </c>
      <c r="B6" s="6" t="s">
        <v>9</v>
      </c>
      <c r="C6" s="6" t="s">
        <v>5</v>
      </c>
      <c r="D6" s="7"/>
    </row>
    <row r="7">
      <c r="A7" s="5">
        <v>46024.0</v>
      </c>
      <c r="B7" s="6" t="s">
        <v>10</v>
      </c>
      <c r="C7" s="6" t="s">
        <v>5</v>
      </c>
      <c r="D7" s="7"/>
    </row>
    <row r="8">
      <c r="A8" s="5">
        <v>46024.0</v>
      </c>
      <c r="B8" s="6" t="s">
        <v>11</v>
      </c>
      <c r="C8" s="6" t="s">
        <v>5</v>
      </c>
      <c r="D8" s="7"/>
    </row>
    <row r="9">
      <c r="A9" s="5">
        <v>46024.0</v>
      </c>
      <c r="B9" s="6" t="s">
        <v>12</v>
      </c>
      <c r="C9" s="6" t="s">
        <v>5</v>
      </c>
      <c r="D9" s="7"/>
    </row>
    <row r="10">
      <c r="A10" s="5">
        <v>46024.0</v>
      </c>
      <c r="B10" s="6" t="s">
        <v>13</v>
      </c>
      <c r="C10" s="6" t="s">
        <v>5</v>
      </c>
      <c r="D10" s="7"/>
    </row>
    <row r="11">
      <c r="A11" s="5">
        <v>46024.0</v>
      </c>
      <c r="B11" s="6" t="s">
        <v>14</v>
      </c>
      <c r="C11" s="6" t="s">
        <v>5</v>
      </c>
      <c r="D11" s="7"/>
    </row>
    <row r="12">
      <c r="A12" s="5">
        <v>46025.0</v>
      </c>
      <c r="B12" s="6" t="s">
        <v>15</v>
      </c>
      <c r="C12" s="6" t="s">
        <v>5</v>
      </c>
      <c r="D12" s="7"/>
    </row>
    <row r="13">
      <c r="A13" s="5">
        <v>46025.0</v>
      </c>
      <c r="B13" s="6" t="s">
        <v>16</v>
      </c>
      <c r="C13" s="6" t="s">
        <v>5</v>
      </c>
      <c r="D13" s="7"/>
    </row>
    <row r="14">
      <c r="A14" s="5">
        <v>46027.0</v>
      </c>
      <c r="B14" s="6" t="s">
        <v>17</v>
      </c>
      <c r="C14" s="6" t="s">
        <v>5</v>
      </c>
      <c r="D14" s="7"/>
    </row>
    <row r="15">
      <c r="A15" s="5">
        <v>46027.0</v>
      </c>
      <c r="B15" s="9" t="s">
        <v>18</v>
      </c>
      <c r="C15" s="6" t="s">
        <v>5</v>
      </c>
    </row>
    <row r="16">
      <c r="A16" s="5">
        <v>46027.0</v>
      </c>
      <c r="B16" s="9" t="s">
        <v>19</v>
      </c>
      <c r="C16" s="6" t="s">
        <v>5</v>
      </c>
    </row>
    <row r="17">
      <c r="A17" s="5">
        <v>46027.0</v>
      </c>
      <c r="B17" s="9" t="s">
        <v>20</v>
      </c>
      <c r="C17" s="6" t="s">
        <v>5</v>
      </c>
    </row>
    <row r="18">
      <c r="A18" s="5">
        <v>46027.0</v>
      </c>
      <c r="B18" s="9" t="s">
        <v>21</v>
      </c>
      <c r="C18" s="6" t="s">
        <v>5</v>
      </c>
    </row>
    <row r="19">
      <c r="A19" s="5">
        <v>46027.0</v>
      </c>
      <c r="B19" s="9" t="s">
        <v>22</v>
      </c>
      <c r="C19" s="10" t="s">
        <v>23</v>
      </c>
    </row>
    <row r="20">
      <c r="A20" s="5">
        <v>46027.0</v>
      </c>
      <c r="B20" s="9" t="s">
        <v>24</v>
      </c>
      <c r="C20" s="6" t="s">
        <v>5</v>
      </c>
    </row>
    <row r="21">
      <c r="A21" s="5">
        <v>46027.0</v>
      </c>
      <c r="B21" s="9" t="s">
        <v>25</v>
      </c>
      <c r="C21" s="6" t="s">
        <v>5</v>
      </c>
    </row>
    <row r="22">
      <c r="A22" s="5">
        <v>46028.0</v>
      </c>
      <c r="B22" s="9" t="s">
        <v>26</v>
      </c>
      <c r="C22" s="6" t="s">
        <v>5</v>
      </c>
    </row>
    <row r="23">
      <c r="A23" s="5">
        <v>46028.0</v>
      </c>
      <c r="B23" s="9" t="s">
        <v>27</v>
      </c>
      <c r="C23" s="6" t="s">
        <v>5</v>
      </c>
    </row>
    <row r="24">
      <c r="A24" s="5">
        <v>46028.0</v>
      </c>
      <c r="B24" s="9" t="s">
        <v>28</v>
      </c>
      <c r="C24" s="6" t="s">
        <v>5</v>
      </c>
    </row>
    <row r="25">
      <c r="A25" s="5">
        <v>46028.0</v>
      </c>
      <c r="B25" s="9" t="s">
        <v>29</v>
      </c>
      <c r="C25" s="6" t="s">
        <v>5</v>
      </c>
    </row>
    <row r="26">
      <c r="A26" s="5">
        <v>46028.0</v>
      </c>
      <c r="B26" s="9" t="s">
        <v>30</v>
      </c>
      <c r="C26" s="6" t="s">
        <v>5</v>
      </c>
    </row>
    <row r="27">
      <c r="A27" s="5">
        <v>46028.0</v>
      </c>
      <c r="B27" s="9" t="s">
        <v>31</v>
      </c>
      <c r="C27" s="6" t="s">
        <v>5</v>
      </c>
    </row>
    <row r="28">
      <c r="A28" s="11">
        <v>46029.0</v>
      </c>
      <c r="B28" s="9" t="s">
        <v>32</v>
      </c>
      <c r="C28" s="6" t="s">
        <v>5</v>
      </c>
    </row>
    <row r="29">
      <c r="A29" s="11">
        <v>46030.0</v>
      </c>
      <c r="B29" s="9" t="s">
        <v>33</v>
      </c>
      <c r="C29" s="6" t="s">
        <v>5</v>
      </c>
    </row>
    <row r="30">
      <c r="A30" s="11">
        <v>46030.0</v>
      </c>
      <c r="B30" s="9" t="s">
        <v>34</v>
      </c>
      <c r="C30" s="6" t="s">
        <v>5</v>
      </c>
    </row>
    <row r="31">
      <c r="A31" s="11">
        <v>46030.0</v>
      </c>
      <c r="B31" s="12" t="s">
        <v>35</v>
      </c>
      <c r="C31" s="6" t="s">
        <v>5</v>
      </c>
    </row>
    <row r="32">
      <c r="A32" s="11">
        <v>46030.0</v>
      </c>
      <c r="B32" s="9" t="s">
        <v>36</v>
      </c>
      <c r="C32" s="6" t="s">
        <v>5</v>
      </c>
    </row>
    <row r="33">
      <c r="A33" s="11">
        <v>46032.0</v>
      </c>
      <c r="B33" s="9" t="s">
        <v>37</v>
      </c>
      <c r="C33" s="6" t="s">
        <v>5</v>
      </c>
    </row>
    <row r="34">
      <c r="A34" s="11">
        <v>46032.0</v>
      </c>
      <c r="B34" s="9" t="s">
        <v>38</v>
      </c>
      <c r="C34" s="6" t="s">
        <v>5</v>
      </c>
    </row>
    <row r="35">
      <c r="A35" s="11">
        <v>46034.0</v>
      </c>
      <c r="B35" s="9" t="s">
        <v>39</v>
      </c>
      <c r="C35" s="6" t="s">
        <v>5</v>
      </c>
    </row>
    <row r="36">
      <c r="A36" s="11">
        <v>46034.0</v>
      </c>
      <c r="B36" s="9" t="s">
        <v>40</v>
      </c>
      <c r="C36" s="6" t="s">
        <v>5</v>
      </c>
    </row>
    <row r="37">
      <c r="A37" s="11">
        <v>46035.0</v>
      </c>
      <c r="B37" s="9" t="s">
        <v>41</v>
      </c>
      <c r="C37" s="6" t="s">
        <v>5</v>
      </c>
    </row>
    <row r="38">
      <c r="A38" s="11">
        <v>46035.0</v>
      </c>
      <c r="B38" s="13" t="s">
        <v>42</v>
      </c>
      <c r="C38" s="6" t="s">
        <v>5</v>
      </c>
    </row>
    <row r="39">
      <c r="A39" s="11">
        <v>46035.0</v>
      </c>
      <c r="B39" s="9" t="s">
        <v>43</v>
      </c>
      <c r="C39" s="6" t="s">
        <v>5</v>
      </c>
    </row>
    <row r="40">
      <c r="A40" s="11">
        <v>46035.0</v>
      </c>
      <c r="B40" s="14" t="s">
        <v>44</v>
      </c>
      <c r="C40" s="6" t="s">
        <v>5</v>
      </c>
    </row>
    <row r="41">
      <c r="A41" s="11">
        <v>46035.0</v>
      </c>
      <c r="B41" s="15" t="s">
        <v>45</v>
      </c>
      <c r="C41" s="6" t="s">
        <v>5</v>
      </c>
    </row>
    <row r="42">
      <c r="A42" s="11">
        <v>46035.0</v>
      </c>
      <c r="B42" s="9" t="s">
        <v>46</v>
      </c>
      <c r="C42" s="6" t="s">
        <v>5</v>
      </c>
    </row>
    <row r="43">
      <c r="A43" s="11">
        <v>46037.0</v>
      </c>
      <c r="B43" s="13" t="s">
        <v>47</v>
      </c>
      <c r="C43" s="6" t="s">
        <v>5</v>
      </c>
    </row>
    <row r="44">
      <c r="A44" s="11">
        <v>46037.0</v>
      </c>
      <c r="B44" s="9" t="s">
        <v>48</v>
      </c>
      <c r="C44" s="6" t="s">
        <v>5</v>
      </c>
    </row>
    <row r="45">
      <c r="A45" s="11">
        <v>46037.0</v>
      </c>
      <c r="B45" s="9" t="s">
        <v>49</v>
      </c>
      <c r="C45" s="6" t="s">
        <v>5</v>
      </c>
    </row>
    <row r="46">
      <c r="A46" s="11">
        <v>46039.0</v>
      </c>
      <c r="B46" s="9" t="s">
        <v>50</v>
      </c>
      <c r="C46" s="6" t="s">
        <v>5</v>
      </c>
    </row>
    <row r="47">
      <c r="A47" s="11">
        <v>46039.0</v>
      </c>
      <c r="B47" s="9" t="s">
        <v>51</v>
      </c>
      <c r="C47" s="6" t="s">
        <v>5</v>
      </c>
    </row>
    <row r="48">
      <c r="A48" s="11">
        <v>46039.0</v>
      </c>
      <c r="B48" s="9" t="s">
        <v>52</v>
      </c>
      <c r="C48" s="6" t="s">
        <v>5</v>
      </c>
    </row>
    <row r="49">
      <c r="A49" s="11">
        <v>46039.0</v>
      </c>
      <c r="B49" s="9" t="s">
        <v>53</v>
      </c>
      <c r="C49" s="6" t="s">
        <v>5</v>
      </c>
    </row>
    <row r="50">
      <c r="A50" s="11">
        <v>46039.0</v>
      </c>
      <c r="B50" s="9" t="s">
        <v>54</v>
      </c>
      <c r="C50" s="6" t="s">
        <v>5</v>
      </c>
    </row>
    <row r="51">
      <c r="A51" s="11">
        <v>46042.0</v>
      </c>
      <c r="B51" s="9" t="s">
        <v>55</v>
      </c>
      <c r="C51" s="6" t="s">
        <v>5</v>
      </c>
    </row>
    <row r="52">
      <c r="A52" s="11">
        <v>46042.0</v>
      </c>
      <c r="B52" s="9" t="s">
        <v>56</v>
      </c>
      <c r="C52" s="6" t="s">
        <v>5</v>
      </c>
    </row>
    <row r="53">
      <c r="A53" s="11">
        <v>46042.0</v>
      </c>
      <c r="B53" s="9" t="s">
        <v>57</v>
      </c>
      <c r="C53" s="6" t="s">
        <v>5</v>
      </c>
    </row>
    <row r="54">
      <c r="A54" s="11">
        <v>46042.0</v>
      </c>
      <c r="B54" s="9" t="s">
        <v>58</v>
      </c>
      <c r="C54" s="6" t="s">
        <v>5</v>
      </c>
    </row>
    <row r="55">
      <c r="A55" s="11">
        <v>46042.0</v>
      </c>
      <c r="B55" s="9" t="s">
        <v>59</v>
      </c>
      <c r="C55" s="6" t="s">
        <v>5</v>
      </c>
    </row>
    <row r="56">
      <c r="A56" s="11">
        <v>46043.0</v>
      </c>
      <c r="B56" s="9" t="s">
        <v>60</v>
      </c>
      <c r="C56" s="6" t="s">
        <v>5</v>
      </c>
    </row>
    <row r="57">
      <c r="A57" s="11">
        <v>46043.0</v>
      </c>
      <c r="B57" s="9" t="s">
        <v>61</v>
      </c>
      <c r="C57" s="6" t="s">
        <v>5</v>
      </c>
    </row>
    <row r="58">
      <c r="A58" s="11">
        <v>46044.0</v>
      </c>
      <c r="B58" s="9" t="s">
        <v>62</v>
      </c>
      <c r="C58" s="10" t="s">
        <v>63</v>
      </c>
    </row>
    <row r="59">
      <c r="A59" s="11">
        <v>46044.0</v>
      </c>
      <c r="B59" s="9" t="s">
        <v>64</v>
      </c>
      <c r="C59" s="6" t="s">
        <v>5</v>
      </c>
    </row>
    <row r="60">
      <c r="A60" s="11">
        <v>46044.0</v>
      </c>
      <c r="B60" s="9" t="s">
        <v>65</v>
      </c>
      <c r="C60" s="6" t="s">
        <v>5</v>
      </c>
    </row>
    <row r="61">
      <c r="A61" s="11">
        <v>46044.0</v>
      </c>
      <c r="B61" s="9" t="s">
        <v>66</v>
      </c>
      <c r="C61" s="6" t="s">
        <v>5</v>
      </c>
    </row>
    <row r="62">
      <c r="A62" s="11">
        <v>46046.0</v>
      </c>
      <c r="B62" s="9" t="s">
        <v>67</v>
      </c>
      <c r="C62" s="6" t="s">
        <v>5</v>
      </c>
    </row>
    <row r="63">
      <c r="A63" s="11">
        <v>46046.0</v>
      </c>
      <c r="B63" s="9" t="s">
        <v>68</v>
      </c>
      <c r="C63" s="6" t="s">
        <v>5</v>
      </c>
    </row>
    <row r="64">
      <c r="A64" s="11">
        <v>46047.0</v>
      </c>
      <c r="B64" s="9" t="s">
        <v>69</v>
      </c>
      <c r="C64" s="6" t="s">
        <v>5</v>
      </c>
    </row>
    <row r="65">
      <c r="A65" s="11">
        <v>46047.0</v>
      </c>
      <c r="B65" s="9" t="s">
        <v>70</v>
      </c>
      <c r="C65" s="6" t="s">
        <v>5</v>
      </c>
    </row>
    <row r="66">
      <c r="A66" s="11">
        <v>46047.0</v>
      </c>
      <c r="B66" s="16" t="s">
        <v>71</v>
      </c>
      <c r="C66" s="10" t="s">
        <v>63</v>
      </c>
    </row>
    <row r="67">
      <c r="A67" s="11">
        <v>46047.0</v>
      </c>
      <c r="B67" s="9" t="s">
        <v>72</v>
      </c>
      <c r="C67" s="6" t="s">
        <v>5</v>
      </c>
    </row>
    <row r="68">
      <c r="A68" s="11">
        <v>46047.0</v>
      </c>
      <c r="B68" s="13" t="s">
        <v>73</v>
      </c>
      <c r="C68" s="6" t="s">
        <v>5</v>
      </c>
    </row>
    <row r="69">
      <c r="A69" s="11">
        <v>46047.0</v>
      </c>
      <c r="B69" s="9" t="s">
        <v>74</v>
      </c>
      <c r="C69" s="6" t="s">
        <v>5</v>
      </c>
    </row>
    <row r="70">
      <c r="A70" s="11">
        <v>46047.0</v>
      </c>
      <c r="B70" s="9" t="s">
        <v>75</v>
      </c>
      <c r="C70" s="6" t="s">
        <v>5</v>
      </c>
    </row>
    <row r="71">
      <c r="A71" s="11">
        <v>46048.0</v>
      </c>
      <c r="B71" s="9" t="s">
        <v>76</v>
      </c>
      <c r="C71" s="6" t="s">
        <v>5</v>
      </c>
    </row>
    <row r="72">
      <c r="A72" s="11">
        <v>46048.0</v>
      </c>
      <c r="B72" s="9" t="s">
        <v>77</v>
      </c>
      <c r="C72" s="6" t="s">
        <v>5</v>
      </c>
    </row>
    <row r="73">
      <c r="A73" s="11">
        <v>46048.0</v>
      </c>
      <c r="B73" s="9" t="s">
        <v>78</v>
      </c>
      <c r="C73" s="6" t="s">
        <v>5</v>
      </c>
    </row>
    <row r="74">
      <c r="A74" s="11">
        <v>46048.0</v>
      </c>
      <c r="B74" s="9" t="s">
        <v>79</v>
      </c>
      <c r="C74" s="6" t="s">
        <v>5</v>
      </c>
    </row>
    <row r="75">
      <c r="A75" s="11">
        <v>46048.0</v>
      </c>
      <c r="B75" s="9" t="s">
        <v>80</v>
      </c>
      <c r="C75" s="6" t="s">
        <v>5</v>
      </c>
    </row>
    <row r="76">
      <c r="A76" s="11">
        <v>46050.0</v>
      </c>
      <c r="B76" s="9" t="s">
        <v>81</v>
      </c>
      <c r="C76" s="6" t="s">
        <v>5</v>
      </c>
    </row>
    <row r="77">
      <c r="A77" s="11">
        <v>46050.0</v>
      </c>
      <c r="B77" s="9" t="s">
        <v>82</v>
      </c>
      <c r="C77" s="6" t="s">
        <v>5</v>
      </c>
    </row>
    <row r="78">
      <c r="A78" s="11">
        <v>46050.0</v>
      </c>
      <c r="B78" s="9" t="s">
        <v>83</v>
      </c>
      <c r="C78" s="6" t="s">
        <v>5</v>
      </c>
    </row>
    <row r="79">
      <c r="A79" s="11">
        <v>46050.0</v>
      </c>
      <c r="B79" s="9" t="s">
        <v>84</v>
      </c>
      <c r="C79" s="6" t="s">
        <v>5</v>
      </c>
    </row>
    <row r="80">
      <c r="A80" s="11">
        <v>46050.0</v>
      </c>
      <c r="B80" s="13" t="s">
        <v>73</v>
      </c>
      <c r="C80" s="6" t="s">
        <v>5</v>
      </c>
    </row>
    <row r="81">
      <c r="A81" s="11">
        <v>46052.0</v>
      </c>
      <c r="B81" s="9" t="s">
        <v>85</v>
      </c>
      <c r="C81" s="6" t="s">
        <v>5</v>
      </c>
    </row>
    <row r="82">
      <c r="A82" s="11">
        <v>46053.0</v>
      </c>
      <c r="B82" s="9" t="s">
        <v>86</v>
      </c>
      <c r="C82" s="10" t="s">
        <v>63</v>
      </c>
    </row>
    <row r="83">
      <c r="A83" s="11">
        <v>46053.0</v>
      </c>
      <c r="B83" s="9" t="s">
        <v>87</v>
      </c>
      <c r="C83" s="6" t="s">
        <v>5</v>
      </c>
    </row>
    <row r="84">
      <c r="A84" s="11">
        <v>46053.0</v>
      </c>
      <c r="B84" s="9" t="s">
        <v>88</v>
      </c>
      <c r="C84" s="6" t="s">
        <v>5</v>
      </c>
    </row>
    <row r="85">
      <c r="A85" s="11">
        <v>46053.0</v>
      </c>
      <c r="B85" s="9" t="s">
        <v>89</v>
      </c>
      <c r="C85" s="6" t="s">
        <v>5</v>
      </c>
    </row>
    <row r="86">
      <c r="A86" s="11">
        <v>46053.0</v>
      </c>
      <c r="B86" s="9" t="s">
        <v>90</v>
      </c>
      <c r="C86" s="6" t="s">
        <v>5</v>
      </c>
    </row>
    <row r="87">
      <c r="A87" s="11">
        <v>46055.0</v>
      </c>
      <c r="B87" s="9" t="s">
        <v>91</v>
      </c>
      <c r="C87" s="6" t="s">
        <v>5</v>
      </c>
    </row>
    <row r="88">
      <c r="A88" s="11">
        <v>46055.0</v>
      </c>
      <c r="B88" s="9" t="s">
        <v>92</v>
      </c>
      <c r="C88" s="6" t="s">
        <v>5</v>
      </c>
    </row>
    <row r="89">
      <c r="A89" s="11">
        <v>46055.0</v>
      </c>
      <c r="B89" s="9" t="s">
        <v>93</v>
      </c>
      <c r="C89" s="6" t="s">
        <v>5</v>
      </c>
    </row>
    <row r="90">
      <c r="A90" s="11">
        <v>46055.0</v>
      </c>
      <c r="B90" s="9" t="s">
        <v>94</v>
      </c>
      <c r="C90" s="6" t="s">
        <v>5</v>
      </c>
    </row>
    <row r="91">
      <c r="A91" s="11">
        <v>46055.0</v>
      </c>
      <c r="B91" s="9" t="s">
        <v>95</v>
      </c>
      <c r="C91" s="10" t="s">
        <v>63</v>
      </c>
    </row>
    <row r="92">
      <c r="A92" s="11">
        <v>46055.0</v>
      </c>
      <c r="B92" s="6" t="s">
        <v>96</v>
      </c>
      <c r="C92" s="10" t="s">
        <v>63</v>
      </c>
    </row>
    <row r="93">
      <c r="A93" s="11">
        <v>46056.0</v>
      </c>
      <c r="B93" s="9" t="s">
        <v>97</v>
      </c>
      <c r="C93" s="6" t="s">
        <v>5</v>
      </c>
    </row>
    <row r="94">
      <c r="A94" s="11">
        <v>46057.0</v>
      </c>
      <c r="B94" s="9" t="s">
        <v>98</v>
      </c>
      <c r="C94" s="6" t="s">
        <v>5</v>
      </c>
    </row>
    <row r="95">
      <c r="A95" s="11">
        <v>46057.0</v>
      </c>
      <c r="B95" s="9" t="s">
        <v>99</v>
      </c>
      <c r="C95" s="6" t="s">
        <v>5</v>
      </c>
    </row>
    <row r="96">
      <c r="A96" s="11">
        <v>46057.0</v>
      </c>
      <c r="B96" s="9" t="s">
        <v>100</v>
      </c>
      <c r="C96" s="6" t="s">
        <v>5</v>
      </c>
    </row>
    <row r="97">
      <c r="A97" s="11">
        <v>46057.0</v>
      </c>
      <c r="B97" s="15" t="s">
        <v>101</v>
      </c>
      <c r="C97" s="6" t="s">
        <v>5</v>
      </c>
    </row>
    <row r="98">
      <c r="A98" s="11">
        <v>46057.0</v>
      </c>
      <c r="B98" s="9" t="s">
        <v>102</v>
      </c>
      <c r="C98" s="6" t="s">
        <v>5</v>
      </c>
    </row>
    <row r="99">
      <c r="A99" s="11">
        <v>46057.0</v>
      </c>
      <c r="B99" s="9" t="s">
        <v>103</v>
      </c>
      <c r="C99" s="6" t="s">
        <v>5</v>
      </c>
    </row>
    <row r="100">
      <c r="A100" s="11">
        <v>46059.0</v>
      </c>
      <c r="B100" s="9" t="s">
        <v>104</v>
      </c>
      <c r="C100" s="6" t="s">
        <v>5</v>
      </c>
    </row>
    <row r="101">
      <c r="A101" s="11">
        <v>46059.0</v>
      </c>
      <c r="B101" s="9" t="s">
        <v>105</v>
      </c>
      <c r="C101" s="10" t="s">
        <v>63</v>
      </c>
    </row>
    <row r="102">
      <c r="A102" s="11">
        <v>46059.0</v>
      </c>
      <c r="B102" s="9" t="s">
        <v>106</v>
      </c>
      <c r="C102" s="6" t="s">
        <v>5</v>
      </c>
    </row>
    <row r="103">
      <c r="A103" s="11">
        <v>46059.0</v>
      </c>
      <c r="B103" s="9" t="s">
        <v>107</v>
      </c>
      <c r="C103" s="6" t="s">
        <v>5</v>
      </c>
    </row>
    <row r="104">
      <c r="A104" s="11">
        <v>46059.0</v>
      </c>
      <c r="B104" s="13" t="s">
        <v>108</v>
      </c>
      <c r="C104" s="6" t="s">
        <v>5</v>
      </c>
    </row>
    <row r="105">
      <c r="A105" s="11">
        <v>46059.0</v>
      </c>
      <c r="B105" s="9" t="s">
        <v>109</v>
      </c>
      <c r="C105" s="6" t="s">
        <v>5</v>
      </c>
    </row>
    <row r="106">
      <c r="A106" s="11">
        <v>46059.0</v>
      </c>
      <c r="B106" s="15" t="s">
        <v>110</v>
      </c>
      <c r="C106" s="6" t="s">
        <v>5</v>
      </c>
    </row>
    <row r="107">
      <c r="A107" s="11">
        <v>46059.0</v>
      </c>
      <c r="B107" s="16" t="s">
        <v>111</v>
      </c>
      <c r="C107" s="6" t="s">
        <v>5</v>
      </c>
    </row>
    <row r="108">
      <c r="A108" s="11">
        <v>46059.0</v>
      </c>
      <c r="B108" s="9" t="s">
        <v>112</v>
      </c>
      <c r="C108" s="6" t="s">
        <v>5</v>
      </c>
    </row>
    <row r="109">
      <c r="A109" s="11">
        <v>46060.0</v>
      </c>
      <c r="B109" s="9" t="s">
        <v>113</v>
      </c>
      <c r="C109" s="6" t="s">
        <v>5</v>
      </c>
    </row>
    <row r="110">
      <c r="A110" s="11">
        <v>46062.0</v>
      </c>
      <c r="B110" s="9" t="s">
        <v>114</v>
      </c>
      <c r="C110" s="6" t="s">
        <v>5</v>
      </c>
    </row>
    <row r="111">
      <c r="A111" s="11">
        <v>46062.0</v>
      </c>
      <c r="B111" s="9" t="s">
        <v>115</v>
      </c>
      <c r="C111" s="6" t="s">
        <v>5</v>
      </c>
    </row>
    <row r="112">
      <c r="A112" s="11">
        <v>46062.0</v>
      </c>
      <c r="B112" s="9" t="s">
        <v>116</v>
      </c>
      <c r="C112" s="6" t="s">
        <v>5</v>
      </c>
    </row>
    <row r="113">
      <c r="A113" s="11">
        <v>46062.0</v>
      </c>
      <c r="B113" s="9" t="s">
        <v>117</v>
      </c>
      <c r="C113" s="6" t="s">
        <v>5</v>
      </c>
    </row>
    <row r="114">
      <c r="A114" s="11">
        <v>46062.0</v>
      </c>
      <c r="B114" s="9" t="s">
        <v>118</v>
      </c>
      <c r="C114" s="6" t="s">
        <v>5</v>
      </c>
    </row>
    <row r="115">
      <c r="A115" s="11">
        <v>46063.0</v>
      </c>
      <c r="B115" s="9" t="s">
        <v>119</v>
      </c>
      <c r="C115" s="6" t="s">
        <v>5</v>
      </c>
    </row>
    <row r="116">
      <c r="A116" s="11">
        <v>46063.0</v>
      </c>
      <c r="B116" s="9" t="s">
        <v>120</v>
      </c>
      <c r="C116" s="10" t="s">
        <v>63</v>
      </c>
    </row>
    <row r="117">
      <c r="A117" s="11">
        <v>46064.0</v>
      </c>
      <c r="B117" s="9" t="s">
        <v>121</v>
      </c>
      <c r="C117" s="6" t="s">
        <v>5</v>
      </c>
    </row>
    <row r="118">
      <c r="A118" s="11">
        <v>46064.0</v>
      </c>
      <c r="B118" s="9" t="s">
        <v>122</v>
      </c>
      <c r="C118" s="6" t="s">
        <v>5</v>
      </c>
    </row>
    <row r="119">
      <c r="A119" s="11">
        <v>46064.0</v>
      </c>
      <c r="B119" s="9" t="s">
        <v>123</v>
      </c>
      <c r="C119" s="6" t="s">
        <v>5</v>
      </c>
    </row>
    <row r="120">
      <c r="A120" s="11">
        <v>46064.0</v>
      </c>
      <c r="B120" s="9" t="s">
        <v>124</v>
      </c>
      <c r="C120" s="6" t="s">
        <v>5</v>
      </c>
    </row>
    <row r="121">
      <c r="A121" s="11">
        <v>46065.0</v>
      </c>
      <c r="B121" s="9" t="s">
        <v>125</v>
      </c>
      <c r="C121" s="6" t="s">
        <v>5</v>
      </c>
    </row>
    <row r="122">
      <c r="A122" s="11">
        <v>46065.0</v>
      </c>
      <c r="B122" s="9" t="s">
        <v>126</v>
      </c>
      <c r="C122" s="6" t="s">
        <v>5</v>
      </c>
    </row>
    <row r="123">
      <c r="A123" s="11">
        <v>46065.0</v>
      </c>
      <c r="B123" s="9" t="s">
        <v>127</v>
      </c>
      <c r="C123" s="6" t="s">
        <v>5</v>
      </c>
    </row>
    <row r="124">
      <c r="A124" s="11">
        <v>46065.0</v>
      </c>
      <c r="B124" s="9" t="s">
        <v>128</v>
      </c>
      <c r="C124" s="10" t="s">
        <v>63</v>
      </c>
    </row>
    <row r="125">
      <c r="A125" s="11">
        <v>46065.0</v>
      </c>
      <c r="B125" s="9" t="s">
        <v>129</v>
      </c>
      <c r="C125" s="6" t="s">
        <v>5</v>
      </c>
    </row>
    <row r="126">
      <c r="A126" s="11">
        <v>46065.0</v>
      </c>
      <c r="B126" s="9" t="s">
        <v>130</v>
      </c>
      <c r="C126" s="6" t="s">
        <v>5</v>
      </c>
    </row>
    <row r="127">
      <c r="A127" s="11">
        <v>46066.0</v>
      </c>
      <c r="B127" s="9" t="s">
        <v>131</v>
      </c>
    </row>
    <row r="128">
      <c r="A128" s="11">
        <v>46066.0</v>
      </c>
      <c r="B128" s="9" t="s">
        <v>132</v>
      </c>
      <c r="C128" s="6" t="s">
        <v>5</v>
      </c>
    </row>
    <row r="129">
      <c r="A129" s="11">
        <v>46066.0</v>
      </c>
      <c r="B129" s="13" t="s">
        <v>133</v>
      </c>
      <c r="C129" s="6" t="s">
        <v>5</v>
      </c>
    </row>
    <row r="130">
      <c r="A130" s="11">
        <v>46066.0</v>
      </c>
      <c r="B130" s="15" t="s">
        <v>134</v>
      </c>
    </row>
    <row r="131">
      <c r="A131" s="11">
        <v>46066.0</v>
      </c>
      <c r="B131" s="9" t="s">
        <v>135</v>
      </c>
      <c r="C131" s="6" t="s">
        <v>5</v>
      </c>
    </row>
    <row r="132">
      <c r="A132" s="11">
        <v>46067.0</v>
      </c>
      <c r="B132" s="9" t="s">
        <v>136</v>
      </c>
      <c r="C132" s="6" t="s">
        <v>5</v>
      </c>
    </row>
    <row r="133">
      <c r="A133" s="11">
        <v>46067.0</v>
      </c>
      <c r="B133" s="9" t="s">
        <v>137</v>
      </c>
      <c r="C133" s="6" t="s">
        <v>5</v>
      </c>
    </row>
    <row r="134">
      <c r="A134" s="11">
        <v>46067.0</v>
      </c>
      <c r="B134" s="9" t="s">
        <v>138</v>
      </c>
      <c r="C134" s="6" t="s">
        <v>5</v>
      </c>
    </row>
    <row r="135">
      <c r="A135" s="11">
        <v>46067.0</v>
      </c>
      <c r="B135" s="13" t="s">
        <v>139</v>
      </c>
      <c r="C135" s="6" t="s">
        <v>5</v>
      </c>
    </row>
    <row r="136">
      <c r="A136" s="11">
        <v>46067.0</v>
      </c>
      <c r="B136" s="13" t="s">
        <v>140</v>
      </c>
      <c r="C136" s="6" t="s">
        <v>5</v>
      </c>
    </row>
    <row r="137">
      <c r="A137" s="11">
        <v>46070.0</v>
      </c>
      <c r="B137" s="13" t="s">
        <v>141</v>
      </c>
      <c r="C137" s="6" t="s">
        <v>5</v>
      </c>
    </row>
    <row r="138">
      <c r="A138" s="11">
        <v>46070.0</v>
      </c>
      <c r="B138" s="9" t="s">
        <v>142</v>
      </c>
      <c r="C138" s="6" t="s">
        <v>5</v>
      </c>
    </row>
    <row r="139">
      <c r="A139" s="11">
        <v>46070.0</v>
      </c>
      <c r="B139" s="9" t="s">
        <v>143</v>
      </c>
      <c r="C139" s="6" t="s">
        <v>5</v>
      </c>
    </row>
    <row r="140">
      <c r="A140" s="11">
        <v>46070.0</v>
      </c>
      <c r="B140" s="9" t="s">
        <v>144</v>
      </c>
      <c r="C140" s="6" t="s">
        <v>5</v>
      </c>
    </row>
    <row r="141">
      <c r="A141" s="9">
        <v>7.002605234E9</v>
      </c>
      <c r="B141" s="6" t="s">
        <v>145</v>
      </c>
      <c r="C141" s="6" t="s">
        <v>5</v>
      </c>
    </row>
    <row r="142">
      <c r="A142" s="11">
        <v>46071.0</v>
      </c>
      <c r="B142" s="9" t="s">
        <v>146</v>
      </c>
      <c r="C142" s="6" t="s">
        <v>5</v>
      </c>
    </row>
    <row r="143">
      <c r="A143" s="11">
        <v>46071.0</v>
      </c>
      <c r="B143" s="9" t="s">
        <v>147</v>
      </c>
      <c r="C143" s="6" t="s">
        <v>5</v>
      </c>
    </row>
    <row r="144">
      <c r="A144" s="11">
        <v>46071.0</v>
      </c>
      <c r="B144" s="9" t="s">
        <v>148</v>
      </c>
      <c r="C144" s="6" t="s">
        <v>5</v>
      </c>
    </row>
    <row r="145">
      <c r="A145" s="11">
        <v>46071.0</v>
      </c>
      <c r="B145" s="13" t="s">
        <v>149</v>
      </c>
      <c r="C145" s="6" t="s">
        <v>5</v>
      </c>
    </row>
    <row r="146">
      <c r="A146" s="11">
        <v>46071.0</v>
      </c>
      <c r="B146" s="13" t="s">
        <v>150</v>
      </c>
      <c r="C146" s="6" t="s">
        <v>5</v>
      </c>
    </row>
    <row r="147">
      <c r="A147" s="11">
        <v>46071.0</v>
      </c>
      <c r="B147" s="13" t="s">
        <v>151</v>
      </c>
      <c r="C147" s="6" t="s">
        <v>5</v>
      </c>
    </row>
    <row r="148">
      <c r="A148" s="11">
        <v>46071.0</v>
      </c>
      <c r="B148" s="9" t="s">
        <v>152</v>
      </c>
      <c r="C148" s="6" t="s">
        <v>5</v>
      </c>
    </row>
    <row r="149">
      <c r="A149" s="11">
        <v>46071.0</v>
      </c>
      <c r="B149" s="9" t="s">
        <v>153</v>
      </c>
      <c r="C149" s="6" t="s">
        <v>5</v>
      </c>
    </row>
    <row r="150">
      <c r="A150" s="9" t="s">
        <v>154</v>
      </c>
      <c r="B150" s="9" t="s">
        <v>155</v>
      </c>
      <c r="C150" s="6" t="s">
        <v>5</v>
      </c>
    </row>
    <row r="151">
      <c r="A151" s="11">
        <v>46072.0</v>
      </c>
      <c r="B151" s="9" t="s">
        <v>156</v>
      </c>
      <c r="C151" s="6" t="s">
        <v>5</v>
      </c>
    </row>
    <row r="152">
      <c r="A152" s="11">
        <v>46072.0</v>
      </c>
      <c r="B152" s="9" t="s">
        <v>157</v>
      </c>
      <c r="C152" s="6" t="s">
        <v>5</v>
      </c>
    </row>
    <row r="153">
      <c r="A153" s="11">
        <v>46073.0</v>
      </c>
      <c r="B153" s="9" t="s">
        <v>158</v>
      </c>
      <c r="C153" s="6" t="s">
        <v>5</v>
      </c>
    </row>
    <row r="154">
      <c r="A154" s="11">
        <v>46073.0</v>
      </c>
      <c r="B154" s="9" t="s">
        <v>159</v>
      </c>
      <c r="C154" s="6" t="s">
        <v>5</v>
      </c>
    </row>
    <row r="155">
      <c r="A155" s="11">
        <v>46073.0</v>
      </c>
      <c r="B155" s="9" t="s">
        <v>160</v>
      </c>
      <c r="C155" s="6" t="s">
        <v>5</v>
      </c>
    </row>
    <row r="156">
      <c r="A156" s="11">
        <v>46074.0</v>
      </c>
      <c r="B156" s="9" t="s">
        <v>161</v>
      </c>
      <c r="C156" s="6" t="s">
        <v>5</v>
      </c>
    </row>
    <row r="157">
      <c r="A157" s="11">
        <v>46074.0</v>
      </c>
      <c r="B157" s="16" t="s">
        <v>162</v>
      </c>
      <c r="C157" s="10" t="s">
        <v>63</v>
      </c>
    </row>
    <row r="158">
      <c r="A158" s="11">
        <v>46074.0</v>
      </c>
      <c r="B158" s="9" t="s">
        <v>163</v>
      </c>
      <c r="C158" s="6" t="s">
        <v>5</v>
      </c>
    </row>
    <row r="159">
      <c r="A159" s="11">
        <v>46074.0</v>
      </c>
      <c r="B159" s="9" t="s">
        <v>164</v>
      </c>
      <c r="C159" s="10" t="s">
        <v>63</v>
      </c>
    </row>
    <row r="160">
      <c r="A160" s="11">
        <v>46076.0</v>
      </c>
      <c r="B160" s="9" t="s">
        <v>165</v>
      </c>
      <c r="C160" s="6" t="s">
        <v>5</v>
      </c>
    </row>
    <row r="161">
      <c r="A161" s="11">
        <v>46076.0</v>
      </c>
      <c r="B161" s="9" t="s">
        <v>166</v>
      </c>
      <c r="C161" s="6" t="s">
        <v>5</v>
      </c>
    </row>
    <row r="162">
      <c r="A162" s="11">
        <v>46076.0</v>
      </c>
      <c r="B162" s="6" t="s">
        <v>167</v>
      </c>
      <c r="C162" s="6" t="s">
        <v>5</v>
      </c>
    </row>
    <row r="163">
      <c r="A163" s="11">
        <v>46076.0</v>
      </c>
      <c r="B163" s="9" t="s">
        <v>168</v>
      </c>
      <c r="C163" s="6" t="s">
        <v>5</v>
      </c>
    </row>
    <row r="164">
      <c r="A164" s="11">
        <v>46076.0</v>
      </c>
      <c r="B164" s="9" t="s">
        <v>169</v>
      </c>
      <c r="C164" s="6" t="s">
        <v>5</v>
      </c>
    </row>
    <row r="165">
      <c r="A165" s="11">
        <v>46076.0</v>
      </c>
      <c r="B165" s="13" t="s">
        <v>170</v>
      </c>
      <c r="C165" s="6" t="s">
        <v>5</v>
      </c>
    </row>
    <row r="166">
      <c r="A166" s="11">
        <v>46076.0</v>
      </c>
      <c r="B166" s="9" t="s">
        <v>171</v>
      </c>
      <c r="C166" s="6" t="s">
        <v>5</v>
      </c>
    </row>
    <row r="167">
      <c r="A167" s="11">
        <v>46076.0</v>
      </c>
      <c r="B167" s="13" t="s">
        <v>172</v>
      </c>
      <c r="C167" s="6" t="s">
        <v>5</v>
      </c>
    </row>
    <row r="168">
      <c r="A168" s="11">
        <v>46076.0</v>
      </c>
      <c r="B168" s="9" t="s">
        <v>173</v>
      </c>
      <c r="C168" s="6" t="s">
        <v>5</v>
      </c>
    </row>
    <row r="169">
      <c r="A169" s="11">
        <v>46076.0</v>
      </c>
      <c r="B169" s="9" t="s">
        <v>174</v>
      </c>
      <c r="C169" s="6" t="s">
        <v>5</v>
      </c>
    </row>
  </sheetData>
  <hyperlinks>
    <hyperlink display="Rambabu - messaged again --  click - " location="'2026'!B12" ref="B41"/>
    <hyperlink display="Click --  Follow up message - from Dr. JP Verma " location="'2026'!B52" ref="B97"/>
    <hyperlink display="Dr Neeraj Messaged again and requested a callback -    click here" location="'2026'!B75" ref="B106"/>
    <hyperlink display="Reconnect to Dr Jain (District kulgham, Kashmir) - - click here --  " location="'2025'!B1036" ref="B13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0"/>
    <col customWidth="1" min="3" max="3" width="28.75"/>
    <col customWidth="1" min="4" max="4" width="23.38"/>
  </cols>
  <sheetData>
    <row r="1">
      <c r="A1" s="17">
        <v>46027.0</v>
      </c>
      <c r="B1" s="18" t="s">
        <v>22</v>
      </c>
      <c r="C1" s="18" t="s">
        <v>23</v>
      </c>
      <c r="D1" s="18" t="s">
        <v>175</v>
      </c>
      <c r="E1" s="19"/>
      <c r="F1" s="19"/>
      <c r="G1" s="19"/>
      <c r="H1" s="19"/>
      <c r="I1" s="19"/>
      <c r="J1" s="19"/>
      <c r="K1" s="19"/>
      <c r="L1" s="19"/>
      <c r="M1" s="19"/>
      <c r="N1" s="19"/>
      <c r="O1" s="19"/>
      <c r="P1" s="19"/>
      <c r="Q1" s="19"/>
      <c r="R1" s="19"/>
      <c r="S1" s="19"/>
      <c r="T1" s="19"/>
      <c r="U1" s="19"/>
      <c r="V1" s="19"/>
      <c r="W1" s="19"/>
      <c r="X1" s="19"/>
      <c r="Y1" s="19"/>
      <c r="Z1" s="19"/>
    </row>
    <row r="2">
      <c r="A2" s="17">
        <v>46044.0</v>
      </c>
      <c r="B2" s="18" t="s">
        <v>62</v>
      </c>
      <c r="C2" s="18" t="s">
        <v>63</v>
      </c>
      <c r="D2" s="18" t="s">
        <v>176</v>
      </c>
      <c r="E2" s="19"/>
      <c r="F2" s="19"/>
      <c r="G2" s="19"/>
      <c r="H2" s="19"/>
      <c r="I2" s="19"/>
      <c r="J2" s="19"/>
      <c r="K2" s="19"/>
      <c r="L2" s="19"/>
      <c r="M2" s="19"/>
      <c r="N2" s="19"/>
      <c r="O2" s="19"/>
      <c r="P2" s="19"/>
      <c r="Q2" s="19"/>
      <c r="R2" s="19"/>
      <c r="S2" s="19"/>
      <c r="T2" s="19"/>
      <c r="U2" s="19"/>
      <c r="V2" s="19"/>
      <c r="W2" s="19"/>
      <c r="X2" s="19"/>
      <c r="Y2" s="19"/>
      <c r="Z2" s="19"/>
    </row>
    <row r="3">
      <c r="A3" s="17">
        <v>46047.0</v>
      </c>
      <c r="B3" s="20" t="s">
        <v>71</v>
      </c>
      <c r="C3" s="18" t="s">
        <v>63</v>
      </c>
      <c r="D3" s="18" t="s">
        <v>177</v>
      </c>
      <c r="E3" s="19"/>
      <c r="F3" s="19"/>
      <c r="G3" s="19"/>
      <c r="H3" s="19"/>
      <c r="I3" s="19"/>
      <c r="J3" s="19"/>
      <c r="K3" s="19"/>
      <c r="L3" s="19"/>
      <c r="M3" s="19"/>
      <c r="N3" s="19"/>
      <c r="O3" s="19"/>
      <c r="P3" s="19"/>
      <c r="Q3" s="19"/>
      <c r="R3" s="19"/>
      <c r="S3" s="19"/>
      <c r="T3" s="19"/>
      <c r="U3" s="19"/>
      <c r="V3" s="19"/>
      <c r="W3" s="19"/>
      <c r="X3" s="19"/>
      <c r="Y3" s="19"/>
      <c r="Z3" s="19"/>
    </row>
    <row r="4">
      <c r="A4" s="17">
        <v>46053.0</v>
      </c>
      <c r="B4" s="18" t="s">
        <v>86</v>
      </c>
      <c r="C4" s="18" t="s">
        <v>63</v>
      </c>
      <c r="D4" s="18" t="s">
        <v>178</v>
      </c>
      <c r="E4" s="19"/>
      <c r="F4" s="19"/>
      <c r="G4" s="19"/>
      <c r="H4" s="19"/>
      <c r="I4" s="19"/>
      <c r="J4" s="19"/>
      <c r="K4" s="19"/>
      <c r="L4" s="19"/>
      <c r="M4" s="19"/>
      <c r="N4" s="19"/>
      <c r="O4" s="19"/>
      <c r="P4" s="19"/>
      <c r="Q4" s="19"/>
      <c r="R4" s="19"/>
      <c r="S4" s="19"/>
      <c r="T4" s="19"/>
      <c r="U4" s="19"/>
      <c r="V4" s="19"/>
      <c r="W4" s="19"/>
      <c r="X4" s="19"/>
      <c r="Y4" s="19"/>
      <c r="Z4" s="19"/>
    </row>
    <row r="5">
      <c r="A5" s="17">
        <v>45719.0</v>
      </c>
      <c r="B5" s="21" t="s">
        <v>179</v>
      </c>
      <c r="C5" s="18" t="s">
        <v>23</v>
      </c>
      <c r="D5" s="18" t="s">
        <v>180</v>
      </c>
      <c r="E5" s="19"/>
      <c r="F5" s="19"/>
      <c r="G5" s="19"/>
      <c r="H5" s="19"/>
      <c r="I5" s="19"/>
      <c r="J5" s="19"/>
      <c r="K5" s="19"/>
      <c r="L5" s="19"/>
      <c r="M5" s="19"/>
      <c r="N5" s="19"/>
      <c r="O5" s="19"/>
      <c r="P5" s="19"/>
      <c r="Q5" s="19"/>
      <c r="R5" s="19"/>
      <c r="S5" s="19"/>
      <c r="T5" s="19"/>
      <c r="U5" s="19"/>
      <c r="V5" s="19"/>
      <c r="W5" s="19"/>
      <c r="X5" s="19"/>
      <c r="Y5" s="19"/>
      <c r="Z5" s="19"/>
    </row>
    <row r="6">
      <c r="A6" s="17">
        <v>45719.0</v>
      </c>
      <c r="B6" s="18" t="s">
        <v>181</v>
      </c>
      <c r="C6" s="18" t="s">
        <v>23</v>
      </c>
      <c r="D6" s="18" t="s">
        <v>182</v>
      </c>
      <c r="E6" s="19"/>
      <c r="F6" s="19"/>
      <c r="G6" s="19"/>
      <c r="H6" s="19"/>
      <c r="I6" s="19"/>
      <c r="J6" s="19"/>
      <c r="K6" s="19"/>
      <c r="L6" s="19"/>
      <c r="M6" s="19"/>
      <c r="N6" s="19"/>
      <c r="O6" s="19"/>
      <c r="P6" s="19"/>
      <c r="Q6" s="19"/>
      <c r="R6" s="19"/>
      <c r="S6" s="19"/>
      <c r="T6" s="19"/>
      <c r="U6" s="19"/>
      <c r="V6" s="19"/>
      <c r="W6" s="19"/>
      <c r="X6" s="19"/>
      <c r="Y6" s="19"/>
      <c r="Z6" s="19"/>
    </row>
    <row r="7">
      <c r="A7" s="17">
        <v>45733.0</v>
      </c>
      <c r="B7" s="18" t="s">
        <v>183</v>
      </c>
      <c r="C7" s="18" t="s">
        <v>23</v>
      </c>
      <c r="D7" s="18" t="s">
        <v>184</v>
      </c>
      <c r="E7" s="19"/>
      <c r="F7" s="19"/>
      <c r="G7" s="19"/>
      <c r="H7" s="19"/>
      <c r="I7" s="19"/>
      <c r="J7" s="19"/>
      <c r="K7" s="19"/>
      <c r="L7" s="19"/>
      <c r="M7" s="19"/>
      <c r="N7" s="19"/>
      <c r="O7" s="19"/>
      <c r="P7" s="19"/>
      <c r="Q7" s="19"/>
      <c r="R7" s="19"/>
      <c r="S7" s="19"/>
      <c r="T7" s="19"/>
      <c r="U7" s="19"/>
      <c r="V7" s="19"/>
      <c r="W7" s="19"/>
      <c r="X7" s="19"/>
      <c r="Y7" s="19"/>
      <c r="Z7" s="19"/>
    </row>
    <row r="8">
      <c r="A8" s="17">
        <v>45734.0</v>
      </c>
      <c r="B8" s="18" t="s">
        <v>185</v>
      </c>
      <c r="C8" s="18" t="s">
        <v>23</v>
      </c>
      <c r="D8" s="18" t="s">
        <v>186</v>
      </c>
      <c r="E8" s="19"/>
      <c r="F8" s="19"/>
      <c r="G8" s="19"/>
      <c r="H8" s="19"/>
      <c r="I8" s="19"/>
      <c r="J8" s="19"/>
      <c r="K8" s="19"/>
      <c r="L8" s="19"/>
      <c r="M8" s="19"/>
      <c r="N8" s="19"/>
      <c r="O8" s="19"/>
      <c r="P8" s="19"/>
      <c r="Q8" s="19"/>
      <c r="R8" s="19"/>
      <c r="S8" s="19"/>
      <c r="T8" s="19"/>
      <c r="U8" s="19"/>
      <c r="V8" s="19"/>
      <c r="W8" s="19"/>
      <c r="X8" s="19"/>
      <c r="Y8" s="19"/>
      <c r="Z8" s="19"/>
    </row>
    <row r="9">
      <c r="A9" s="17">
        <v>45736.0</v>
      </c>
      <c r="B9" s="18" t="s">
        <v>187</v>
      </c>
      <c r="C9" s="18" t="s">
        <v>23</v>
      </c>
      <c r="D9" s="19"/>
      <c r="E9" s="19"/>
      <c r="F9" s="19"/>
      <c r="G9" s="19"/>
      <c r="H9" s="19"/>
      <c r="I9" s="19"/>
      <c r="J9" s="19"/>
      <c r="K9" s="19"/>
      <c r="L9" s="19"/>
      <c r="M9" s="19"/>
      <c r="N9" s="19"/>
      <c r="O9" s="19"/>
      <c r="P9" s="19"/>
      <c r="Q9" s="19"/>
      <c r="R9" s="19"/>
      <c r="S9" s="19"/>
      <c r="T9" s="19"/>
      <c r="U9" s="19"/>
      <c r="V9" s="19"/>
      <c r="W9" s="19"/>
      <c r="X9" s="19"/>
      <c r="Y9" s="19"/>
      <c r="Z9" s="19"/>
    </row>
    <row r="10">
      <c r="A10" s="17">
        <v>45737.0</v>
      </c>
      <c r="B10" s="18" t="s">
        <v>188</v>
      </c>
      <c r="C10" s="18" t="s">
        <v>23</v>
      </c>
      <c r="D10" s="19"/>
      <c r="E10" s="19"/>
      <c r="F10" s="19"/>
      <c r="G10" s="19"/>
      <c r="H10" s="19"/>
      <c r="I10" s="19"/>
      <c r="J10" s="19"/>
      <c r="K10" s="19"/>
      <c r="L10" s="19"/>
      <c r="M10" s="19"/>
      <c r="N10" s="19"/>
      <c r="O10" s="19"/>
      <c r="P10" s="19"/>
      <c r="Q10" s="19"/>
      <c r="R10" s="19"/>
      <c r="S10" s="19"/>
      <c r="T10" s="19"/>
      <c r="U10" s="19"/>
      <c r="V10" s="19"/>
      <c r="W10" s="19"/>
      <c r="X10" s="19"/>
      <c r="Y10" s="19"/>
      <c r="Z10" s="19"/>
    </row>
    <row r="11">
      <c r="A11" s="17">
        <v>45738.0</v>
      </c>
      <c r="B11" s="18" t="s">
        <v>189</v>
      </c>
      <c r="C11" s="18" t="s">
        <v>23</v>
      </c>
      <c r="D11" s="19"/>
      <c r="E11" s="19"/>
      <c r="F11" s="19"/>
      <c r="G11" s="19"/>
      <c r="H11" s="19"/>
      <c r="I11" s="19"/>
      <c r="J11" s="19"/>
      <c r="K11" s="19"/>
      <c r="L11" s="19"/>
      <c r="M11" s="19"/>
      <c r="N11" s="19"/>
      <c r="O11" s="19"/>
      <c r="P11" s="19"/>
      <c r="Q11" s="19"/>
      <c r="R11" s="19"/>
      <c r="S11" s="19"/>
      <c r="T11" s="19"/>
      <c r="U11" s="19"/>
      <c r="V11" s="19"/>
      <c r="W11" s="19"/>
      <c r="X11" s="19"/>
      <c r="Y11" s="19"/>
      <c r="Z11" s="19"/>
    </row>
    <row r="12">
      <c r="A12" s="17">
        <v>45742.0</v>
      </c>
      <c r="B12" s="18" t="s">
        <v>190</v>
      </c>
      <c r="C12" s="18" t="s">
        <v>191</v>
      </c>
      <c r="D12" s="18" t="s">
        <v>192</v>
      </c>
      <c r="E12" s="19"/>
      <c r="F12" s="19"/>
      <c r="G12" s="19"/>
      <c r="H12" s="19"/>
      <c r="I12" s="19"/>
      <c r="J12" s="19"/>
      <c r="K12" s="19"/>
      <c r="L12" s="19"/>
      <c r="M12" s="19"/>
      <c r="N12" s="19"/>
      <c r="O12" s="19"/>
      <c r="P12" s="19"/>
      <c r="Q12" s="19"/>
      <c r="R12" s="19"/>
      <c r="S12" s="19"/>
      <c r="T12" s="19"/>
      <c r="U12" s="19"/>
      <c r="V12" s="19"/>
      <c r="W12" s="19"/>
      <c r="X12" s="19"/>
      <c r="Y12" s="19"/>
      <c r="Z12" s="19"/>
    </row>
    <row r="13">
      <c r="A13" s="17">
        <v>45747.0</v>
      </c>
      <c r="B13" s="18" t="s">
        <v>193</v>
      </c>
      <c r="C13" s="18" t="s">
        <v>23</v>
      </c>
      <c r="D13" s="19"/>
      <c r="E13" s="19"/>
      <c r="F13" s="19"/>
      <c r="G13" s="19"/>
      <c r="H13" s="19"/>
      <c r="I13" s="19"/>
      <c r="J13" s="19"/>
      <c r="K13" s="19"/>
      <c r="L13" s="19"/>
      <c r="M13" s="19"/>
      <c r="N13" s="19"/>
      <c r="O13" s="19"/>
      <c r="P13" s="19"/>
      <c r="Q13" s="19"/>
      <c r="R13" s="19"/>
      <c r="S13" s="19"/>
      <c r="T13" s="19"/>
      <c r="U13" s="19"/>
      <c r="V13" s="19"/>
      <c r="W13" s="19"/>
      <c r="X13" s="19"/>
      <c r="Y13" s="19"/>
      <c r="Z13" s="19"/>
    </row>
    <row r="14">
      <c r="A14" s="17">
        <v>45749.0</v>
      </c>
      <c r="B14" s="18" t="s">
        <v>194</v>
      </c>
      <c r="C14" s="18" t="s">
        <v>23</v>
      </c>
      <c r="D14" s="19"/>
      <c r="E14" s="19"/>
      <c r="F14" s="19"/>
      <c r="G14" s="19"/>
      <c r="H14" s="19"/>
      <c r="I14" s="19"/>
      <c r="J14" s="19"/>
      <c r="K14" s="19"/>
      <c r="L14" s="19"/>
      <c r="M14" s="19"/>
      <c r="N14" s="19"/>
      <c r="O14" s="19"/>
      <c r="P14" s="19"/>
      <c r="Q14" s="19"/>
      <c r="R14" s="19"/>
      <c r="S14" s="19"/>
      <c r="T14" s="19"/>
      <c r="U14" s="19"/>
      <c r="V14" s="19"/>
      <c r="W14" s="19"/>
      <c r="X14" s="19"/>
      <c r="Y14" s="19"/>
      <c r="Z14" s="19"/>
    </row>
    <row r="15">
      <c r="A15" s="17">
        <v>45751.0</v>
      </c>
      <c r="B15" s="18" t="s">
        <v>195</v>
      </c>
      <c r="C15" s="18" t="s">
        <v>23</v>
      </c>
      <c r="D15" s="18" t="s">
        <v>196</v>
      </c>
      <c r="E15" s="19"/>
      <c r="F15" s="19"/>
      <c r="G15" s="19"/>
      <c r="H15" s="19"/>
      <c r="I15" s="19"/>
      <c r="J15" s="19"/>
      <c r="K15" s="19"/>
      <c r="L15" s="19"/>
      <c r="M15" s="19"/>
      <c r="N15" s="19"/>
      <c r="O15" s="19"/>
      <c r="P15" s="19"/>
      <c r="Q15" s="19"/>
      <c r="R15" s="19"/>
      <c r="S15" s="19"/>
      <c r="T15" s="19"/>
      <c r="U15" s="19"/>
      <c r="V15" s="19"/>
      <c r="W15" s="19"/>
      <c r="X15" s="19"/>
      <c r="Y15" s="19"/>
      <c r="Z15" s="19"/>
    </row>
    <row r="16">
      <c r="A16" s="17">
        <v>45751.0</v>
      </c>
      <c r="B16" s="18" t="s">
        <v>197</v>
      </c>
      <c r="C16" s="18" t="s">
        <v>23</v>
      </c>
      <c r="D16" s="18" t="s">
        <v>198</v>
      </c>
      <c r="E16" s="19"/>
      <c r="F16" s="19"/>
      <c r="G16" s="19"/>
      <c r="H16" s="19"/>
      <c r="I16" s="19"/>
      <c r="J16" s="19"/>
      <c r="K16" s="19"/>
      <c r="L16" s="19"/>
      <c r="M16" s="19"/>
      <c r="N16" s="19"/>
      <c r="O16" s="19"/>
      <c r="P16" s="19"/>
      <c r="Q16" s="19"/>
      <c r="R16" s="19"/>
      <c r="S16" s="19"/>
      <c r="T16" s="19"/>
      <c r="U16" s="19"/>
      <c r="V16" s="19"/>
      <c r="W16" s="19"/>
      <c r="X16" s="19"/>
      <c r="Y16" s="19"/>
      <c r="Z16" s="19"/>
    </row>
    <row r="17">
      <c r="A17" s="17">
        <v>45755.0</v>
      </c>
      <c r="B17" s="18" t="s">
        <v>199</v>
      </c>
      <c r="C17" s="18" t="s">
        <v>23</v>
      </c>
      <c r="D17" s="18" t="s">
        <v>200</v>
      </c>
      <c r="E17" s="19"/>
      <c r="F17" s="19"/>
      <c r="G17" s="19"/>
      <c r="H17" s="19"/>
      <c r="I17" s="19"/>
      <c r="J17" s="19"/>
      <c r="K17" s="19"/>
      <c r="L17" s="19"/>
      <c r="M17" s="19"/>
      <c r="N17" s="19"/>
      <c r="O17" s="19"/>
      <c r="P17" s="19"/>
      <c r="Q17" s="19"/>
      <c r="R17" s="19"/>
      <c r="S17" s="19"/>
      <c r="T17" s="19"/>
      <c r="U17" s="19"/>
      <c r="V17" s="19"/>
      <c r="W17" s="19"/>
      <c r="X17" s="19"/>
      <c r="Y17" s="19"/>
      <c r="Z17" s="19"/>
    </row>
    <row r="18">
      <c r="A18" s="17">
        <v>45762.0</v>
      </c>
      <c r="B18" s="18" t="s">
        <v>201</v>
      </c>
      <c r="C18" s="18" t="s">
        <v>23</v>
      </c>
      <c r="D18" s="18" t="s">
        <v>202</v>
      </c>
      <c r="E18" s="19"/>
      <c r="F18" s="19"/>
      <c r="G18" s="19"/>
      <c r="H18" s="19"/>
      <c r="I18" s="19"/>
      <c r="J18" s="19"/>
      <c r="K18" s="19"/>
      <c r="L18" s="19"/>
      <c r="M18" s="19"/>
      <c r="N18" s="19"/>
      <c r="O18" s="19"/>
      <c r="P18" s="19"/>
      <c r="Q18" s="19"/>
      <c r="R18" s="19"/>
      <c r="S18" s="19"/>
      <c r="T18" s="19"/>
      <c r="U18" s="19"/>
      <c r="V18" s="19"/>
      <c r="W18" s="19"/>
      <c r="X18" s="19"/>
      <c r="Y18" s="19"/>
      <c r="Z18" s="19"/>
    </row>
    <row r="19">
      <c r="A19" s="17">
        <v>45763.0</v>
      </c>
      <c r="B19" s="18" t="s">
        <v>203</v>
      </c>
      <c r="C19" s="18" t="s">
        <v>23</v>
      </c>
      <c r="D19" s="18" t="s">
        <v>204</v>
      </c>
      <c r="E19" s="19"/>
      <c r="F19" s="19"/>
      <c r="G19" s="19"/>
      <c r="H19" s="19"/>
      <c r="I19" s="19"/>
      <c r="J19" s="19"/>
      <c r="K19" s="19"/>
      <c r="L19" s="19"/>
      <c r="M19" s="19"/>
      <c r="N19" s="19"/>
      <c r="O19" s="19"/>
      <c r="P19" s="19"/>
      <c r="Q19" s="19"/>
      <c r="R19" s="19"/>
      <c r="S19" s="19"/>
      <c r="T19" s="19"/>
      <c r="U19" s="19"/>
      <c r="V19" s="19"/>
      <c r="W19" s="19"/>
      <c r="X19" s="19"/>
      <c r="Y19" s="19"/>
      <c r="Z19" s="19"/>
    </row>
    <row r="20">
      <c r="A20" s="17">
        <v>45763.0</v>
      </c>
      <c r="B20" s="18" t="s">
        <v>205</v>
      </c>
      <c r="C20" s="18" t="s">
        <v>23</v>
      </c>
      <c r="D20" s="18" t="s">
        <v>206</v>
      </c>
      <c r="E20" s="19"/>
      <c r="F20" s="19"/>
      <c r="G20" s="19"/>
      <c r="H20" s="19"/>
      <c r="I20" s="19"/>
      <c r="J20" s="19"/>
      <c r="K20" s="19"/>
      <c r="L20" s="19"/>
      <c r="M20" s="19"/>
      <c r="N20" s="19"/>
      <c r="O20" s="19"/>
      <c r="P20" s="19"/>
      <c r="Q20" s="19"/>
      <c r="R20" s="19"/>
      <c r="S20" s="19"/>
      <c r="T20" s="19"/>
      <c r="U20" s="19"/>
      <c r="V20" s="19"/>
      <c r="W20" s="19"/>
      <c r="X20" s="19"/>
      <c r="Y20" s="19"/>
      <c r="Z20" s="19"/>
    </row>
    <row r="21">
      <c r="A21" s="17">
        <v>45763.0</v>
      </c>
      <c r="B21" s="18" t="s">
        <v>207</v>
      </c>
      <c r="C21" s="18" t="s">
        <v>23</v>
      </c>
      <c r="D21" s="18" t="s">
        <v>208</v>
      </c>
      <c r="E21" s="19"/>
      <c r="F21" s="19"/>
      <c r="G21" s="19"/>
      <c r="H21" s="19"/>
      <c r="I21" s="19"/>
      <c r="J21" s="19"/>
      <c r="K21" s="19"/>
      <c r="L21" s="19"/>
      <c r="M21" s="19"/>
      <c r="N21" s="19"/>
      <c r="O21" s="19"/>
      <c r="P21" s="19"/>
      <c r="Q21" s="19"/>
      <c r="R21" s="19"/>
      <c r="S21" s="19"/>
      <c r="T21" s="19"/>
      <c r="U21" s="19"/>
      <c r="V21" s="19"/>
      <c r="W21" s="19"/>
      <c r="X21" s="19"/>
      <c r="Y21" s="19"/>
      <c r="Z21" s="19"/>
    </row>
    <row r="22">
      <c r="A22" s="17">
        <v>45776.0</v>
      </c>
      <c r="B22" s="18" t="s">
        <v>209</v>
      </c>
      <c r="C22" s="18" t="s">
        <v>23</v>
      </c>
      <c r="D22" s="19"/>
      <c r="E22" s="19"/>
      <c r="F22" s="19"/>
      <c r="G22" s="19"/>
      <c r="H22" s="19"/>
      <c r="I22" s="19"/>
      <c r="J22" s="19"/>
      <c r="K22" s="19"/>
      <c r="L22" s="19"/>
      <c r="M22" s="19"/>
      <c r="N22" s="19"/>
      <c r="O22" s="19"/>
      <c r="P22" s="19"/>
      <c r="Q22" s="19"/>
      <c r="R22" s="19"/>
      <c r="S22" s="19"/>
      <c r="T22" s="19"/>
      <c r="U22" s="19"/>
      <c r="V22" s="19"/>
      <c r="W22" s="19"/>
      <c r="X22" s="19"/>
      <c r="Y22" s="19"/>
      <c r="Z22" s="19"/>
    </row>
    <row r="23">
      <c r="A23" s="17">
        <v>45777.0</v>
      </c>
      <c r="B23" s="18" t="s">
        <v>210</v>
      </c>
      <c r="C23" s="18" t="s">
        <v>23</v>
      </c>
      <c r="D23" s="19"/>
      <c r="E23" s="19"/>
      <c r="F23" s="19"/>
      <c r="G23" s="19"/>
      <c r="H23" s="19"/>
      <c r="I23" s="19"/>
      <c r="J23" s="19"/>
      <c r="K23" s="19"/>
      <c r="L23" s="19"/>
      <c r="M23" s="19"/>
      <c r="N23" s="19"/>
      <c r="O23" s="19"/>
      <c r="P23" s="19"/>
      <c r="Q23" s="19"/>
      <c r="R23" s="19"/>
      <c r="S23" s="19"/>
      <c r="T23" s="19"/>
      <c r="U23" s="19"/>
      <c r="V23" s="19"/>
      <c r="W23" s="19"/>
      <c r="X23" s="19"/>
      <c r="Y23" s="19"/>
      <c r="Z23" s="19"/>
    </row>
    <row r="24">
      <c r="A24" s="17">
        <v>45778.0</v>
      </c>
      <c r="B24" s="22" t="s">
        <v>211</v>
      </c>
      <c r="C24" s="18" t="s">
        <v>212</v>
      </c>
      <c r="D24" s="19"/>
      <c r="E24" s="19"/>
      <c r="F24" s="19"/>
      <c r="G24" s="19"/>
      <c r="H24" s="19"/>
      <c r="I24" s="19"/>
      <c r="J24" s="19"/>
      <c r="K24" s="19"/>
      <c r="L24" s="19"/>
      <c r="M24" s="19"/>
      <c r="N24" s="19"/>
      <c r="O24" s="19"/>
      <c r="P24" s="19"/>
      <c r="Q24" s="19"/>
      <c r="R24" s="19"/>
      <c r="S24" s="19"/>
      <c r="T24" s="19"/>
      <c r="U24" s="19"/>
      <c r="V24" s="19"/>
      <c r="W24" s="19"/>
      <c r="X24" s="19"/>
      <c r="Y24" s="19"/>
      <c r="Z24" s="19"/>
    </row>
    <row r="25">
      <c r="A25" s="17">
        <v>45780.0</v>
      </c>
      <c r="B25" s="18" t="s">
        <v>213</v>
      </c>
      <c r="C25" s="18" t="s">
        <v>23</v>
      </c>
      <c r="D25" s="19"/>
      <c r="E25" s="19"/>
      <c r="F25" s="19"/>
      <c r="G25" s="19"/>
      <c r="H25" s="19"/>
      <c r="I25" s="19"/>
      <c r="J25" s="19"/>
      <c r="K25" s="19"/>
      <c r="L25" s="19"/>
      <c r="M25" s="19"/>
      <c r="N25" s="19"/>
      <c r="O25" s="19"/>
      <c r="P25" s="19"/>
      <c r="Q25" s="19"/>
      <c r="R25" s="19"/>
      <c r="S25" s="19"/>
      <c r="T25" s="19"/>
      <c r="U25" s="19"/>
      <c r="V25" s="19"/>
      <c r="W25" s="19"/>
      <c r="X25" s="19"/>
      <c r="Y25" s="19"/>
      <c r="Z25" s="19"/>
    </row>
    <row r="26">
      <c r="A26" s="17">
        <v>45780.0</v>
      </c>
      <c r="B26" s="18" t="s">
        <v>214</v>
      </c>
      <c r="C26" s="18" t="s">
        <v>23</v>
      </c>
      <c r="D26" s="18" t="s">
        <v>215</v>
      </c>
      <c r="E26" s="19"/>
      <c r="F26" s="19"/>
      <c r="G26" s="19"/>
      <c r="H26" s="19"/>
      <c r="I26" s="19"/>
      <c r="J26" s="19"/>
      <c r="K26" s="19"/>
      <c r="L26" s="19"/>
      <c r="M26" s="19"/>
      <c r="N26" s="19"/>
      <c r="O26" s="19"/>
      <c r="P26" s="19"/>
      <c r="Q26" s="19"/>
      <c r="R26" s="19"/>
      <c r="S26" s="19"/>
      <c r="T26" s="19"/>
      <c r="U26" s="19"/>
      <c r="V26" s="19"/>
      <c r="W26" s="19"/>
      <c r="X26" s="19"/>
      <c r="Y26" s="19"/>
      <c r="Z26" s="19"/>
    </row>
    <row r="27">
      <c r="A27" s="17">
        <v>45780.0</v>
      </c>
      <c r="B27" s="18" t="s">
        <v>216</v>
      </c>
      <c r="C27" s="18" t="s">
        <v>23</v>
      </c>
      <c r="D27" s="18" t="s">
        <v>217</v>
      </c>
      <c r="E27" s="19"/>
      <c r="F27" s="19"/>
      <c r="G27" s="19"/>
      <c r="H27" s="19"/>
      <c r="I27" s="19"/>
      <c r="J27" s="19"/>
      <c r="K27" s="19"/>
      <c r="L27" s="19"/>
      <c r="M27" s="19"/>
      <c r="N27" s="19"/>
      <c r="O27" s="19"/>
      <c r="P27" s="19"/>
      <c r="Q27" s="19"/>
      <c r="R27" s="19"/>
      <c r="S27" s="19"/>
      <c r="T27" s="19"/>
      <c r="U27" s="19"/>
      <c r="V27" s="19"/>
      <c r="W27" s="19"/>
      <c r="X27" s="19"/>
      <c r="Y27" s="19"/>
      <c r="Z27" s="19"/>
    </row>
    <row r="28">
      <c r="A28" s="17">
        <v>45780.0</v>
      </c>
      <c r="B28" s="18" t="s">
        <v>218</v>
      </c>
      <c r="C28" s="18" t="s">
        <v>23</v>
      </c>
      <c r="D28" s="19"/>
      <c r="E28" s="19"/>
      <c r="F28" s="19"/>
      <c r="G28" s="19"/>
      <c r="H28" s="19"/>
      <c r="I28" s="19"/>
      <c r="J28" s="19"/>
      <c r="K28" s="19"/>
      <c r="L28" s="19"/>
      <c r="M28" s="19"/>
      <c r="N28" s="19"/>
      <c r="O28" s="19"/>
      <c r="P28" s="19"/>
      <c r="Q28" s="19"/>
      <c r="R28" s="19"/>
      <c r="S28" s="19"/>
      <c r="T28" s="19"/>
      <c r="U28" s="19"/>
      <c r="V28" s="19"/>
      <c r="W28" s="19"/>
      <c r="X28" s="19"/>
      <c r="Y28" s="19"/>
      <c r="Z28" s="19"/>
    </row>
    <row r="29">
      <c r="A29" s="17">
        <v>45782.0</v>
      </c>
      <c r="B29" s="18" t="s">
        <v>219</v>
      </c>
      <c r="C29" s="18" t="s">
        <v>23</v>
      </c>
      <c r="D29" s="19"/>
      <c r="E29" s="19"/>
      <c r="F29" s="19"/>
      <c r="G29" s="19"/>
      <c r="H29" s="19"/>
      <c r="I29" s="19"/>
      <c r="J29" s="19"/>
      <c r="K29" s="19"/>
      <c r="L29" s="19"/>
      <c r="M29" s="19"/>
      <c r="N29" s="19"/>
      <c r="O29" s="19"/>
      <c r="P29" s="19"/>
      <c r="Q29" s="19"/>
      <c r="R29" s="19"/>
      <c r="S29" s="19"/>
      <c r="T29" s="19"/>
      <c r="U29" s="19"/>
      <c r="V29" s="19"/>
      <c r="W29" s="19"/>
      <c r="X29" s="19"/>
      <c r="Y29" s="19"/>
      <c r="Z29" s="19"/>
    </row>
    <row r="30">
      <c r="A30" s="17">
        <v>45782.0</v>
      </c>
      <c r="B30" s="18" t="s">
        <v>220</v>
      </c>
      <c r="C30" s="18" t="s">
        <v>23</v>
      </c>
      <c r="D30" s="19"/>
      <c r="E30" s="19"/>
      <c r="F30" s="19"/>
      <c r="G30" s="19"/>
      <c r="H30" s="19"/>
      <c r="I30" s="19"/>
      <c r="J30" s="19"/>
      <c r="K30" s="19"/>
      <c r="L30" s="19"/>
      <c r="M30" s="19"/>
      <c r="N30" s="19"/>
      <c r="O30" s="19"/>
      <c r="P30" s="19"/>
      <c r="Q30" s="19"/>
      <c r="R30" s="19"/>
      <c r="S30" s="19"/>
      <c r="T30" s="19"/>
      <c r="U30" s="19"/>
      <c r="V30" s="19"/>
      <c r="W30" s="19"/>
      <c r="X30" s="19"/>
      <c r="Y30" s="19"/>
      <c r="Z30" s="19"/>
    </row>
    <row r="31">
      <c r="A31" s="17">
        <v>45782.0</v>
      </c>
      <c r="B31" s="18" t="s">
        <v>221</v>
      </c>
      <c r="C31" s="18" t="s">
        <v>23</v>
      </c>
      <c r="D31" s="19"/>
      <c r="E31" s="19"/>
      <c r="F31" s="19"/>
      <c r="G31" s="19"/>
      <c r="H31" s="19"/>
      <c r="I31" s="19"/>
      <c r="J31" s="19"/>
      <c r="K31" s="19"/>
      <c r="L31" s="19"/>
      <c r="M31" s="19"/>
      <c r="N31" s="19"/>
      <c r="O31" s="19"/>
      <c r="P31" s="19"/>
      <c r="Q31" s="19"/>
      <c r="R31" s="19"/>
      <c r="S31" s="19"/>
      <c r="T31" s="19"/>
      <c r="U31" s="19"/>
      <c r="V31" s="19"/>
      <c r="W31" s="19"/>
      <c r="X31" s="19"/>
      <c r="Y31" s="19"/>
      <c r="Z31" s="19"/>
    </row>
    <row r="32">
      <c r="A32" s="17">
        <v>45783.0</v>
      </c>
      <c r="B32" s="18" t="s">
        <v>222</v>
      </c>
      <c r="C32" s="18" t="s">
        <v>23</v>
      </c>
      <c r="D32" s="19"/>
      <c r="E32" s="19"/>
      <c r="F32" s="19"/>
      <c r="G32" s="19"/>
      <c r="H32" s="19"/>
      <c r="I32" s="19"/>
      <c r="J32" s="19"/>
      <c r="K32" s="19"/>
      <c r="L32" s="19"/>
      <c r="M32" s="19"/>
      <c r="N32" s="19"/>
      <c r="O32" s="19"/>
      <c r="P32" s="19"/>
      <c r="Q32" s="19"/>
      <c r="R32" s="19"/>
      <c r="S32" s="19"/>
      <c r="T32" s="19"/>
      <c r="U32" s="19"/>
      <c r="V32" s="19"/>
      <c r="W32" s="19"/>
      <c r="X32" s="19"/>
      <c r="Y32" s="19"/>
      <c r="Z32" s="19"/>
    </row>
    <row r="33">
      <c r="A33" s="17">
        <v>45784.0</v>
      </c>
      <c r="B33" s="18" t="s">
        <v>223</v>
      </c>
      <c r="C33" s="18" t="s">
        <v>23</v>
      </c>
      <c r="D33" s="18" t="s">
        <v>224</v>
      </c>
      <c r="E33" s="19"/>
      <c r="F33" s="19"/>
      <c r="G33" s="19"/>
      <c r="H33" s="19"/>
      <c r="I33" s="19"/>
      <c r="J33" s="19"/>
      <c r="K33" s="19"/>
      <c r="L33" s="19"/>
      <c r="M33" s="19"/>
      <c r="N33" s="19"/>
      <c r="O33" s="19"/>
      <c r="P33" s="19"/>
      <c r="Q33" s="19"/>
      <c r="R33" s="19"/>
      <c r="S33" s="19"/>
      <c r="T33" s="19"/>
      <c r="U33" s="19"/>
      <c r="V33" s="19"/>
      <c r="W33" s="19"/>
      <c r="X33" s="19"/>
      <c r="Y33" s="19"/>
      <c r="Z33" s="19"/>
    </row>
    <row r="34">
      <c r="A34" s="17">
        <v>45784.0</v>
      </c>
      <c r="B34" s="18" t="s">
        <v>225</v>
      </c>
      <c r="C34" s="18" t="s">
        <v>23</v>
      </c>
      <c r="D34" s="18" t="s">
        <v>226</v>
      </c>
      <c r="E34" s="19"/>
      <c r="F34" s="19"/>
      <c r="G34" s="19"/>
      <c r="H34" s="19"/>
      <c r="I34" s="19"/>
      <c r="J34" s="19"/>
      <c r="K34" s="19"/>
      <c r="L34" s="19"/>
      <c r="M34" s="19"/>
      <c r="N34" s="19"/>
      <c r="O34" s="19"/>
      <c r="P34" s="19"/>
      <c r="Q34" s="19"/>
      <c r="R34" s="19"/>
      <c r="S34" s="19"/>
      <c r="T34" s="19"/>
      <c r="U34" s="19"/>
      <c r="V34" s="19"/>
      <c r="W34" s="19"/>
      <c r="X34" s="19"/>
      <c r="Y34" s="19"/>
      <c r="Z34" s="19"/>
    </row>
    <row r="35">
      <c r="A35" s="17">
        <v>45784.0</v>
      </c>
      <c r="B35" s="18" t="s">
        <v>227</v>
      </c>
      <c r="C35" s="18" t="s">
        <v>23</v>
      </c>
      <c r="D35" s="18" t="s">
        <v>228</v>
      </c>
      <c r="E35" s="19"/>
      <c r="F35" s="19"/>
      <c r="G35" s="19"/>
      <c r="H35" s="19"/>
      <c r="I35" s="19"/>
      <c r="J35" s="19"/>
      <c r="K35" s="19"/>
      <c r="L35" s="19"/>
      <c r="M35" s="19"/>
      <c r="N35" s="19"/>
      <c r="O35" s="19"/>
      <c r="P35" s="19"/>
      <c r="Q35" s="19"/>
      <c r="R35" s="19"/>
      <c r="S35" s="19"/>
      <c r="T35" s="19"/>
      <c r="U35" s="19"/>
      <c r="V35" s="19"/>
      <c r="W35" s="19"/>
      <c r="X35" s="19"/>
      <c r="Y35" s="19"/>
      <c r="Z35" s="19"/>
    </row>
    <row r="36">
      <c r="A36" s="17">
        <v>45786.0</v>
      </c>
      <c r="B36" s="18" t="s">
        <v>229</v>
      </c>
      <c r="C36" s="18" t="s">
        <v>23</v>
      </c>
      <c r="D36" s="18" t="s">
        <v>230</v>
      </c>
      <c r="E36" s="19"/>
      <c r="F36" s="19"/>
      <c r="G36" s="19"/>
      <c r="H36" s="19"/>
      <c r="I36" s="19"/>
      <c r="J36" s="19"/>
      <c r="K36" s="19"/>
      <c r="L36" s="19"/>
      <c r="M36" s="19"/>
      <c r="N36" s="19"/>
      <c r="O36" s="19"/>
      <c r="P36" s="19"/>
      <c r="Q36" s="19"/>
      <c r="R36" s="19"/>
      <c r="S36" s="19"/>
      <c r="T36" s="19"/>
      <c r="U36" s="19"/>
      <c r="V36" s="19"/>
      <c r="W36" s="19"/>
      <c r="X36" s="19"/>
      <c r="Y36" s="19"/>
      <c r="Z36" s="19"/>
    </row>
    <row r="37">
      <c r="A37" s="17">
        <v>45786.0</v>
      </c>
      <c r="B37" s="18" t="s">
        <v>231</v>
      </c>
      <c r="C37" s="18" t="s">
        <v>23</v>
      </c>
      <c r="D37" s="18" t="s">
        <v>232</v>
      </c>
      <c r="E37" s="19"/>
      <c r="F37" s="19"/>
      <c r="G37" s="19"/>
      <c r="H37" s="19"/>
      <c r="I37" s="19"/>
      <c r="J37" s="19"/>
      <c r="K37" s="19"/>
      <c r="L37" s="19"/>
      <c r="M37" s="19"/>
      <c r="N37" s="19"/>
      <c r="O37" s="19"/>
      <c r="P37" s="19"/>
      <c r="Q37" s="19"/>
      <c r="R37" s="19"/>
      <c r="S37" s="19"/>
      <c r="T37" s="19"/>
      <c r="U37" s="19"/>
      <c r="V37" s="19"/>
      <c r="W37" s="19"/>
      <c r="X37" s="19"/>
      <c r="Y37" s="19"/>
      <c r="Z37" s="19"/>
    </row>
    <row r="38">
      <c r="A38" s="17">
        <v>45790.0</v>
      </c>
      <c r="B38" s="18" t="s">
        <v>233</v>
      </c>
      <c r="C38" s="18" t="s">
        <v>23</v>
      </c>
      <c r="D38" s="19"/>
      <c r="E38" s="19"/>
      <c r="F38" s="19"/>
      <c r="G38" s="19"/>
      <c r="H38" s="19"/>
      <c r="I38" s="19"/>
      <c r="J38" s="19"/>
      <c r="K38" s="19"/>
      <c r="L38" s="19"/>
      <c r="M38" s="19"/>
      <c r="N38" s="19"/>
      <c r="O38" s="19"/>
      <c r="P38" s="19"/>
      <c r="Q38" s="19"/>
      <c r="R38" s="19"/>
      <c r="S38" s="19"/>
      <c r="T38" s="19"/>
      <c r="U38" s="19"/>
      <c r="V38" s="19"/>
      <c r="W38" s="19"/>
      <c r="X38" s="19"/>
      <c r="Y38" s="19"/>
      <c r="Z38" s="19"/>
    </row>
    <row r="39">
      <c r="A39" s="17">
        <v>45791.0</v>
      </c>
      <c r="B39" s="18" t="s">
        <v>234</v>
      </c>
      <c r="C39" s="18" t="s">
        <v>23</v>
      </c>
      <c r="D39" s="19"/>
      <c r="E39" s="19"/>
      <c r="F39" s="19"/>
      <c r="G39" s="19"/>
      <c r="H39" s="19"/>
      <c r="I39" s="19"/>
      <c r="J39" s="19"/>
      <c r="K39" s="19"/>
      <c r="L39" s="19"/>
      <c r="M39" s="19"/>
      <c r="N39" s="19"/>
      <c r="O39" s="19"/>
      <c r="P39" s="19"/>
      <c r="Q39" s="19"/>
      <c r="R39" s="19"/>
      <c r="S39" s="19"/>
      <c r="T39" s="19"/>
      <c r="U39" s="19"/>
      <c r="V39" s="19"/>
      <c r="W39" s="19"/>
      <c r="X39" s="19"/>
      <c r="Y39" s="19"/>
      <c r="Z39" s="19"/>
    </row>
    <row r="40">
      <c r="A40" s="17">
        <v>45791.0</v>
      </c>
      <c r="B40" s="23" t="s">
        <v>235</v>
      </c>
      <c r="C40" s="18" t="s">
        <v>23</v>
      </c>
      <c r="D40" s="18" t="s">
        <v>236</v>
      </c>
      <c r="E40" s="19"/>
      <c r="F40" s="19"/>
      <c r="G40" s="19"/>
      <c r="H40" s="19"/>
      <c r="I40" s="19"/>
      <c r="J40" s="19"/>
      <c r="K40" s="19"/>
      <c r="L40" s="19"/>
      <c r="M40" s="19"/>
      <c r="N40" s="19"/>
      <c r="O40" s="19"/>
      <c r="P40" s="19"/>
      <c r="Q40" s="19"/>
      <c r="R40" s="19"/>
      <c r="S40" s="19"/>
      <c r="T40" s="19"/>
      <c r="U40" s="19"/>
      <c r="V40" s="19"/>
      <c r="W40" s="19"/>
      <c r="X40" s="19"/>
      <c r="Y40" s="19"/>
      <c r="Z40" s="19"/>
    </row>
    <row r="41">
      <c r="A41" s="17">
        <v>45791.0</v>
      </c>
      <c r="B41" s="18" t="s">
        <v>237</v>
      </c>
      <c r="C41" s="18" t="s">
        <v>23</v>
      </c>
      <c r="D41" s="18" t="s">
        <v>238</v>
      </c>
      <c r="E41" s="19"/>
      <c r="F41" s="19"/>
      <c r="G41" s="19"/>
      <c r="H41" s="19"/>
      <c r="I41" s="19"/>
      <c r="J41" s="19"/>
      <c r="K41" s="19"/>
      <c r="L41" s="19"/>
      <c r="M41" s="19"/>
      <c r="N41" s="19"/>
      <c r="O41" s="19"/>
      <c r="P41" s="19"/>
      <c r="Q41" s="19"/>
      <c r="R41" s="19"/>
      <c r="S41" s="19"/>
      <c r="T41" s="19"/>
      <c r="U41" s="19"/>
      <c r="V41" s="19"/>
      <c r="W41" s="19"/>
      <c r="X41" s="19"/>
      <c r="Y41" s="19"/>
      <c r="Z41" s="19"/>
    </row>
    <row r="42">
      <c r="A42" s="17">
        <v>45791.0</v>
      </c>
      <c r="B42" s="18" t="s">
        <v>239</v>
      </c>
      <c r="C42" s="18" t="s">
        <v>23</v>
      </c>
      <c r="D42" s="18" t="s">
        <v>240</v>
      </c>
      <c r="E42" s="19"/>
      <c r="F42" s="19"/>
      <c r="G42" s="19"/>
      <c r="H42" s="19"/>
      <c r="I42" s="19"/>
      <c r="J42" s="19"/>
      <c r="K42" s="19"/>
      <c r="L42" s="19"/>
      <c r="M42" s="19"/>
      <c r="N42" s="19"/>
      <c r="O42" s="19"/>
      <c r="P42" s="19"/>
      <c r="Q42" s="19"/>
      <c r="R42" s="19"/>
      <c r="S42" s="19"/>
      <c r="T42" s="19"/>
      <c r="U42" s="19"/>
      <c r="V42" s="19"/>
      <c r="W42" s="19"/>
      <c r="X42" s="19"/>
      <c r="Y42" s="19"/>
      <c r="Z42" s="19"/>
    </row>
    <row r="43">
      <c r="A43" s="17">
        <v>45791.0</v>
      </c>
      <c r="B43" s="18" t="s">
        <v>241</v>
      </c>
      <c r="C43" s="18" t="s">
        <v>23</v>
      </c>
      <c r="D43" s="18" t="s">
        <v>242</v>
      </c>
      <c r="E43" s="19"/>
      <c r="F43" s="19"/>
      <c r="G43" s="19"/>
      <c r="H43" s="19"/>
      <c r="I43" s="19"/>
      <c r="J43" s="19"/>
      <c r="K43" s="19"/>
      <c r="L43" s="19"/>
      <c r="M43" s="19"/>
      <c r="N43" s="19"/>
      <c r="O43" s="19"/>
      <c r="P43" s="19"/>
      <c r="Q43" s="19"/>
      <c r="R43" s="19"/>
      <c r="S43" s="19"/>
      <c r="T43" s="19"/>
      <c r="U43" s="19"/>
      <c r="V43" s="19"/>
      <c r="W43" s="19"/>
      <c r="X43" s="19"/>
      <c r="Y43" s="19"/>
      <c r="Z43" s="19"/>
    </row>
    <row r="44">
      <c r="A44" s="17">
        <v>45792.0</v>
      </c>
      <c r="B44" s="18" t="s">
        <v>243</v>
      </c>
      <c r="C44" s="18" t="s">
        <v>23</v>
      </c>
      <c r="D44" s="19"/>
      <c r="E44" s="19"/>
      <c r="F44" s="19"/>
      <c r="G44" s="19"/>
      <c r="H44" s="19"/>
      <c r="I44" s="19"/>
      <c r="J44" s="19"/>
      <c r="K44" s="19"/>
      <c r="L44" s="19"/>
      <c r="M44" s="19"/>
      <c r="N44" s="19"/>
      <c r="O44" s="19"/>
      <c r="P44" s="19"/>
      <c r="Q44" s="19"/>
      <c r="R44" s="19"/>
      <c r="S44" s="19"/>
      <c r="T44" s="19"/>
      <c r="U44" s="19"/>
      <c r="V44" s="19"/>
      <c r="W44" s="19"/>
      <c r="X44" s="19"/>
      <c r="Y44" s="19"/>
      <c r="Z44" s="19"/>
    </row>
    <row r="45">
      <c r="A45" s="17">
        <v>45796.0</v>
      </c>
      <c r="B45" s="18" t="s">
        <v>244</v>
      </c>
      <c r="C45" s="18" t="s">
        <v>23</v>
      </c>
      <c r="D45" s="19"/>
      <c r="E45" s="19"/>
      <c r="F45" s="19"/>
      <c r="G45" s="19"/>
      <c r="H45" s="19"/>
      <c r="I45" s="19"/>
      <c r="J45" s="19"/>
      <c r="K45" s="19"/>
      <c r="L45" s="19"/>
      <c r="M45" s="19"/>
      <c r="N45" s="19"/>
      <c r="O45" s="19"/>
      <c r="P45" s="19"/>
      <c r="Q45" s="19"/>
      <c r="R45" s="19"/>
      <c r="S45" s="19"/>
      <c r="T45" s="19"/>
      <c r="U45" s="19"/>
      <c r="V45" s="19"/>
      <c r="W45" s="19"/>
      <c r="X45" s="19"/>
      <c r="Y45" s="19"/>
      <c r="Z45" s="19"/>
    </row>
    <row r="46">
      <c r="A46" s="17">
        <v>45796.0</v>
      </c>
      <c r="B46" s="18" t="s">
        <v>245</v>
      </c>
      <c r="C46" s="18" t="s">
        <v>23</v>
      </c>
      <c r="D46" s="18" t="s">
        <v>246</v>
      </c>
      <c r="E46" s="24" t="s">
        <v>247</v>
      </c>
      <c r="F46" s="19"/>
      <c r="G46" s="19"/>
      <c r="H46" s="19"/>
      <c r="I46" s="19"/>
      <c r="J46" s="19"/>
      <c r="K46" s="19"/>
      <c r="L46" s="19"/>
      <c r="M46" s="19"/>
      <c r="N46" s="19"/>
      <c r="O46" s="19"/>
      <c r="P46" s="19"/>
      <c r="Q46" s="19"/>
      <c r="R46" s="19"/>
      <c r="S46" s="19"/>
      <c r="T46" s="19"/>
      <c r="U46" s="19"/>
      <c r="V46" s="19"/>
      <c r="W46" s="19"/>
      <c r="X46" s="19"/>
      <c r="Y46" s="19"/>
      <c r="Z46" s="19"/>
    </row>
    <row r="47">
      <c r="A47" s="17">
        <v>45803.0</v>
      </c>
      <c r="B47" s="18" t="s">
        <v>248</v>
      </c>
      <c r="C47" s="18" t="s">
        <v>23</v>
      </c>
      <c r="D47" s="19"/>
      <c r="E47" s="19"/>
      <c r="F47" s="19"/>
      <c r="G47" s="19"/>
      <c r="H47" s="19"/>
      <c r="I47" s="19"/>
      <c r="J47" s="19"/>
      <c r="K47" s="19"/>
      <c r="L47" s="19"/>
      <c r="M47" s="19"/>
      <c r="N47" s="19"/>
      <c r="O47" s="19"/>
      <c r="P47" s="19"/>
      <c r="Q47" s="19"/>
      <c r="R47" s="19"/>
      <c r="S47" s="19"/>
      <c r="T47" s="19"/>
      <c r="U47" s="19"/>
      <c r="V47" s="19"/>
      <c r="W47" s="19"/>
      <c r="X47" s="19"/>
      <c r="Y47" s="19"/>
      <c r="Z47" s="19"/>
    </row>
    <row r="48">
      <c r="A48" s="17">
        <v>45804.0</v>
      </c>
      <c r="B48" s="18" t="s">
        <v>249</v>
      </c>
      <c r="C48" s="18" t="s">
        <v>23</v>
      </c>
      <c r="D48" s="19"/>
      <c r="E48" s="19"/>
      <c r="F48" s="19"/>
      <c r="G48" s="19"/>
      <c r="H48" s="19"/>
      <c r="I48" s="19"/>
      <c r="J48" s="19"/>
      <c r="K48" s="19"/>
      <c r="L48" s="19"/>
      <c r="M48" s="19"/>
      <c r="N48" s="19"/>
      <c r="O48" s="19"/>
      <c r="P48" s="19"/>
      <c r="Q48" s="19"/>
      <c r="R48" s="19"/>
      <c r="S48" s="19"/>
      <c r="T48" s="19"/>
      <c r="U48" s="19"/>
      <c r="V48" s="19"/>
      <c r="W48" s="19"/>
      <c r="X48" s="19"/>
      <c r="Y48" s="19"/>
      <c r="Z48" s="19"/>
    </row>
    <row r="49">
      <c r="A49" s="17">
        <v>45804.0</v>
      </c>
      <c r="B49" s="18" t="s">
        <v>250</v>
      </c>
      <c r="C49" s="18" t="s">
        <v>23</v>
      </c>
      <c r="D49" s="18" t="s">
        <v>251</v>
      </c>
      <c r="E49" s="19"/>
      <c r="F49" s="19"/>
      <c r="G49" s="19"/>
      <c r="H49" s="19"/>
      <c r="I49" s="19"/>
      <c r="J49" s="19"/>
      <c r="K49" s="19"/>
      <c r="L49" s="19"/>
      <c r="M49" s="19"/>
      <c r="N49" s="19"/>
      <c r="O49" s="19"/>
      <c r="P49" s="19"/>
      <c r="Q49" s="19"/>
      <c r="R49" s="19"/>
      <c r="S49" s="19"/>
      <c r="T49" s="19"/>
      <c r="U49" s="19"/>
      <c r="V49" s="19"/>
      <c r="W49" s="19"/>
      <c r="X49" s="19"/>
      <c r="Y49" s="19"/>
      <c r="Z49" s="19"/>
    </row>
    <row r="50">
      <c r="A50" s="17">
        <v>45805.0</v>
      </c>
      <c r="B50" s="18" t="s">
        <v>252</v>
      </c>
      <c r="C50" s="18" t="s">
        <v>23</v>
      </c>
      <c r="D50" s="18" t="s">
        <v>253</v>
      </c>
      <c r="E50" s="19"/>
      <c r="F50" s="19"/>
      <c r="G50" s="19"/>
      <c r="H50" s="19"/>
      <c r="I50" s="19"/>
      <c r="J50" s="19"/>
      <c r="K50" s="19"/>
      <c r="L50" s="19"/>
      <c r="M50" s="19"/>
      <c r="N50" s="19"/>
      <c r="O50" s="19"/>
      <c r="P50" s="19"/>
      <c r="Q50" s="19"/>
      <c r="R50" s="19"/>
      <c r="S50" s="19"/>
      <c r="T50" s="19"/>
      <c r="U50" s="19"/>
      <c r="V50" s="19"/>
      <c r="W50" s="19"/>
      <c r="X50" s="19"/>
      <c r="Y50" s="19"/>
      <c r="Z50" s="19"/>
    </row>
    <row r="51">
      <c r="A51" s="17">
        <v>45805.0</v>
      </c>
      <c r="B51" s="18" t="s">
        <v>254</v>
      </c>
      <c r="C51" s="18" t="s">
        <v>23</v>
      </c>
      <c r="D51" s="18" t="s">
        <v>255</v>
      </c>
      <c r="E51" s="25" t="s">
        <v>256</v>
      </c>
      <c r="F51" s="19"/>
      <c r="G51" s="19"/>
      <c r="H51" s="19"/>
      <c r="I51" s="19"/>
      <c r="J51" s="19"/>
      <c r="K51" s="19"/>
      <c r="L51" s="19"/>
      <c r="M51" s="19"/>
      <c r="N51" s="19"/>
      <c r="O51" s="19"/>
      <c r="P51" s="19"/>
      <c r="Q51" s="19"/>
      <c r="R51" s="19"/>
      <c r="S51" s="19"/>
      <c r="T51" s="19"/>
      <c r="U51" s="19"/>
      <c r="V51" s="19"/>
      <c r="W51" s="19"/>
      <c r="X51" s="19"/>
      <c r="Y51" s="19"/>
      <c r="Z51" s="19"/>
    </row>
    <row r="52">
      <c r="A52" s="17">
        <v>45807.0</v>
      </c>
      <c r="B52" s="18" t="s">
        <v>257</v>
      </c>
      <c r="C52" s="18" t="s">
        <v>23</v>
      </c>
      <c r="D52" s="18" t="s">
        <v>258</v>
      </c>
      <c r="E52" s="19"/>
      <c r="F52" s="19"/>
      <c r="G52" s="19"/>
      <c r="H52" s="19"/>
      <c r="I52" s="19"/>
      <c r="J52" s="19"/>
      <c r="K52" s="19"/>
      <c r="L52" s="19"/>
      <c r="M52" s="19"/>
      <c r="N52" s="19"/>
      <c r="O52" s="19"/>
      <c r="P52" s="19"/>
      <c r="Q52" s="19"/>
      <c r="R52" s="19"/>
      <c r="S52" s="19"/>
      <c r="T52" s="19"/>
      <c r="U52" s="19"/>
      <c r="V52" s="19"/>
      <c r="W52" s="19"/>
      <c r="X52" s="19"/>
      <c r="Y52" s="19"/>
      <c r="Z52" s="19"/>
    </row>
    <row r="53">
      <c r="A53" s="17">
        <v>45807.0</v>
      </c>
      <c r="B53" s="18" t="s">
        <v>259</v>
      </c>
      <c r="C53" s="18" t="s">
        <v>23</v>
      </c>
      <c r="D53" s="18" t="s">
        <v>260</v>
      </c>
      <c r="E53" s="19"/>
      <c r="F53" s="19"/>
      <c r="G53" s="19"/>
      <c r="H53" s="19"/>
      <c r="I53" s="19"/>
      <c r="J53" s="19"/>
      <c r="K53" s="19"/>
      <c r="L53" s="19"/>
      <c r="M53" s="19"/>
      <c r="N53" s="19"/>
      <c r="O53" s="19"/>
      <c r="P53" s="19"/>
      <c r="Q53" s="19"/>
      <c r="R53" s="19"/>
      <c r="S53" s="19"/>
      <c r="T53" s="19"/>
      <c r="U53" s="19"/>
      <c r="V53" s="19"/>
      <c r="W53" s="19"/>
      <c r="X53" s="19"/>
      <c r="Y53" s="19"/>
      <c r="Z53" s="19"/>
    </row>
    <row r="54">
      <c r="A54" s="17">
        <v>45807.0</v>
      </c>
      <c r="B54" s="18" t="s">
        <v>261</v>
      </c>
      <c r="C54" s="18" t="s">
        <v>23</v>
      </c>
      <c r="D54" s="19"/>
      <c r="E54" s="19"/>
      <c r="F54" s="19"/>
      <c r="G54" s="19"/>
      <c r="H54" s="19"/>
      <c r="I54" s="19"/>
      <c r="J54" s="19"/>
      <c r="K54" s="19"/>
      <c r="L54" s="19"/>
      <c r="M54" s="19"/>
      <c r="N54" s="19"/>
      <c r="O54" s="19"/>
      <c r="P54" s="19"/>
      <c r="Q54" s="19"/>
      <c r="R54" s="19"/>
      <c r="S54" s="19"/>
      <c r="T54" s="19"/>
      <c r="U54" s="19"/>
      <c r="V54" s="19"/>
      <c r="W54" s="19"/>
      <c r="X54" s="19"/>
      <c r="Y54" s="19"/>
      <c r="Z54" s="19"/>
    </row>
    <row r="55">
      <c r="A55" s="17">
        <v>45810.0</v>
      </c>
      <c r="B55" s="18" t="s">
        <v>262</v>
      </c>
      <c r="C55" s="18" t="s">
        <v>23</v>
      </c>
      <c r="D55" s="18" t="s">
        <v>263</v>
      </c>
      <c r="E55" s="19"/>
      <c r="F55" s="19"/>
      <c r="G55" s="19"/>
      <c r="H55" s="19"/>
      <c r="I55" s="19"/>
      <c r="J55" s="19"/>
      <c r="K55" s="19"/>
      <c r="L55" s="19"/>
      <c r="M55" s="19"/>
      <c r="N55" s="19"/>
      <c r="O55" s="19"/>
      <c r="P55" s="19"/>
      <c r="Q55" s="19"/>
      <c r="R55" s="19"/>
      <c r="S55" s="19"/>
      <c r="T55" s="19"/>
      <c r="U55" s="19"/>
      <c r="V55" s="19"/>
      <c r="W55" s="19"/>
      <c r="X55" s="19"/>
      <c r="Y55" s="19"/>
      <c r="Z55" s="19"/>
    </row>
    <row r="56">
      <c r="A56" s="17">
        <v>45814.0</v>
      </c>
      <c r="B56" s="18" t="s">
        <v>264</v>
      </c>
      <c r="C56" s="18" t="s">
        <v>23</v>
      </c>
      <c r="D56" s="18" t="s">
        <v>265</v>
      </c>
      <c r="E56" s="19"/>
      <c r="F56" s="19"/>
      <c r="G56" s="19"/>
      <c r="H56" s="19"/>
      <c r="I56" s="19"/>
      <c r="J56" s="19"/>
      <c r="K56" s="19"/>
      <c r="L56" s="19"/>
      <c r="M56" s="19"/>
      <c r="N56" s="19"/>
      <c r="O56" s="19"/>
      <c r="P56" s="19"/>
      <c r="Q56" s="19"/>
      <c r="R56" s="19"/>
      <c r="S56" s="19"/>
      <c r="T56" s="19"/>
      <c r="U56" s="19"/>
      <c r="V56" s="19"/>
      <c r="W56" s="19"/>
      <c r="X56" s="19"/>
      <c r="Y56" s="19"/>
      <c r="Z56" s="19"/>
    </row>
    <row r="57">
      <c r="A57" s="17">
        <v>45818.0</v>
      </c>
      <c r="B57" s="18" t="s">
        <v>266</v>
      </c>
      <c r="C57" s="18" t="s">
        <v>23</v>
      </c>
      <c r="D57" s="18" t="s">
        <v>267</v>
      </c>
      <c r="E57" s="19"/>
      <c r="F57" s="19"/>
      <c r="G57" s="19"/>
      <c r="H57" s="19"/>
      <c r="I57" s="19"/>
      <c r="J57" s="19"/>
      <c r="K57" s="19"/>
      <c r="L57" s="19"/>
      <c r="M57" s="19"/>
      <c r="N57" s="19"/>
      <c r="O57" s="19"/>
      <c r="P57" s="19"/>
      <c r="Q57" s="19"/>
      <c r="R57" s="19"/>
      <c r="S57" s="19"/>
      <c r="T57" s="19"/>
      <c r="U57" s="19"/>
      <c r="V57" s="19"/>
      <c r="W57" s="19"/>
      <c r="X57" s="19"/>
      <c r="Y57" s="19"/>
      <c r="Z57" s="19"/>
    </row>
    <row r="58">
      <c r="A58" s="17">
        <v>45818.0</v>
      </c>
      <c r="B58" s="18" t="s">
        <v>268</v>
      </c>
      <c r="C58" s="18" t="s">
        <v>23</v>
      </c>
      <c r="D58" s="19"/>
      <c r="E58" s="19"/>
      <c r="F58" s="19"/>
      <c r="G58" s="19"/>
      <c r="H58" s="19"/>
      <c r="I58" s="19"/>
      <c r="J58" s="19"/>
      <c r="K58" s="19"/>
      <c r="L58" s="19"/>
      <c r="M58" s="19"/>
      <c r="N58" s="19"/>
      <c r="O58" s="19"/>
      <c r="P58" s="19"/>
      <c r="Q58" s="19"/>
      <c r="R58" s="19"/>
      <c r="S58" s="19"/>
      <c r="T58" s="19"/>
      <c r="U58" s="19"/>
      <c r="V58" s="19"/>
      <c r="W58" s="19"/>
      <c r="X58" s="19"/>
      <c r="Y58" s="19"/>
      <c r="Z58" s="19"/>
    </row>
    <row r="59">
      <c r="A59" s="17">
        <v>45829.0</v>
      </c>
      <c r="B59" s="18" t="s">
        <v>269</v>
      </c>
      <c r="C59" s="18" t="s">
        <v>23</v>
      </c>
      <c r="D59" s="18" t="s">
        <v>270</v>
      </c>
      <c r="E59" s="19"/>
      <c r="F59" s="19"/>
      <c r="G59" s="19"/>
      <c r="H59" s="19"/>
      <c r="I59" s="19"/>
      <c r="J59" s="19"/>
      <c r="K59" s="19"/>
      <c r="L59" s="19"/>
      <c r="M59" s="19"/>
      <c r="N59" s="19"/>
      <c r="O59" s="19"/>
      <c r="P59" s="19"/>
      <c r="Q59" s="19"/>
      <c r="R59" s="19"/>
      <c r="S59" s="19"/>
      <c r="T59" s="19"/>
      <c r="U59" s="19"/>
      <c r="V59" s="19"/>
      <c r="W59" s="19"/>
      <c r="X59" s="19"/>
      <c r="Y59" s="19"/>
      <c r="Z59" s="19"/>
    </row>
    <row r="60">
      <c r="A60" s="17">
        <v>45831.0</v>
      </c>
      <c r="B60" s="18" t="s">
        <v>271</v>
      </c>
      <c r="C60" s="18" t="s">
        <v>23</v>
      </c>
      <c r="D60" s="18" t="s">
        <v>272</v>
      </c>
      <c r="E60" s="19"/>
      <c r="F60" s="19"/>
      <c r="G60" s="19"/>
      <c r="H60" s="19"/>
      <c r="I60" s="19"/>
      <c r="J60" s="19"/>
      <c r="K60" s="19"/>
      <c r="L60" s="19"/>
      <c r="M60" s="19"/>
      <c r="N60" s="19"/>
      <c r="O60" s="19"/>
      <c r="P60" s="19"/>
      <c r="Q60" s="19"/>
      <c r="R60" s="19"/>
      <c r="S60" s="19"/>
      <c r="T60" s="19"/>
      <c r="U60" s="19"/>
      <c r="V60" s="19"/>
      <c r="W60" s="19"/>
      <c r="X60" s="19"/>
      <c r="Y60" s="19"/>
      <c r="Z60" s="19"/>
    </row>
    <row r="61">
      <c r="A61" s="17">
        <v>45832.0</v>
      </c>
      <c r="B61" s="18" t="s">
        <v>273</v>
      </c>
      <c r="C61" s="18" t="s">
        <v>23</v>
      </c>
      <c r="D61" s="19"/>
      <c r="E61" s="19"/>
      <c r="F61" s="19"/>
      <c r="G61" s="19"/>
      <c r="H61" s="19"/>
      <c r="I61" s="19"/>
      <c r="J61" s="19"/>
      <c r="K61" s="19"/>
      <c r="L61" s="19"/>
      <c r="M61" s="19"/>
      <c r="N61" s="19"/>
      <c r="O61" s="19"/>
      <c r="P61" s="19"/>
      <c r="Q61" s="19"/>
      <c r="R61" s="19"/>
      <c r="S61" s="19"/>
      <c r="T61" s="19"/>
      <c r="U61" s="19"/>
      <c r="V61" s="19"/>
      <c r="W61" s="19"/>
      <c r="X61" s="19"/>
      <c r="Y61" s="19"/>
      <c r="Z61" s="19"/>
    </row>
    <row r="62">
      <c r="A62" s="17">
        <v>45833.0</v>
      </c>
      <c r="B62" s="18" t="s">
        <v>274</v>
      </c>
      <c r="C62" s="18" t="s">
        <v>23</v>
      </c>
      <c r="D62" s="19"/>
      <c r="E62" s="19"/>
      <c r="F62" s="19"/>
      <c r="G62" s="19"/>
      <c r="H62" s="19"/>
      <c r="I62" s="19"/>
      <c r="J62" s="19"/>
      <c r="K62" s="19"/>
      <c r="L62" s="19"/>
      <c r="M62" s="19"/>
      <c r="N62" s="19"/>
      <c r="O62" s="19"/>
      <c r="P62" s="19"/>
      <c r="Q62" s="19"/>
      <c r="R62" s="19"/>
      <c r="S62" s="19"/>
      <c r="T62" s="19"/>
      <c r="U62" s="19"/>
      <c r="V62" s="19"/>
      <c r="W62" s="19"/>
      <c r="X62" s="19"/>
      <c r="Y62" s="19"/>
      <c r="Z62" s="19"/>
    </row>
    <row r="63">
      <c r="A63" s="17">
        <v>45835.0</v>
      </c>
      <c r="B63" s="18" t="s">
        <v>275</v>
      </c>
      <c r="C63" s="18" t="s">
        <v>23</v>
      </c>
      <c r="D63" s="19"/>
      <c r="E63" s="19"/>
      <c r="F63" s="19"/>
      <c r="G63" s="19"/>
      <c r="H63" s="19"/>
      <c r="I63" s="19"/>
      <c r="J63" s="19"/>
      <c r="K63" s="19"/>
      <c r="L63" s="19"/>
      <c r="M63" s="19"/>
      <c r="N63" s="19"/>
      <c r="O63" s="19"/>
      <c r="P63" s="19"/>
      <c r="Q63" s="19"/>
      <c r="R63" s="19"/>
      <c r="S63" s="19"/>
      <c r="T63" s="19"/>
      <c r="U63" s="19"/>
      <c r="V63" s="19"/>
      <c r="W63" s="19"/>
      <c r="X63" s="19"/>
      <c r="Y63" s="19"/>
      <c r="Z63" s="19"/>
    </row>
    <row r="64">
      <c r="A64" s="17">
        <v>45838.0</v>
      </c>
      <c r="B64" s="18" t="s">
        <v>276</v>
      </c>
      <c r="C64" s="18" t="s">
        <v>23</v>
      </c>
      <c r="D64" s="19"/>
      <c r="E64" s="19"/>
      <c r="F64" s="19"/>
      <c r="G64" s="19"/>
      <c r="H64" s="19"/>
      <c r="I64" s="19"/>
      <c r="J64" s="19"/>
      <c r="K64" s="19"/>
      <c r="L64" s="19"/>
      <c r="M64" s="19"/>
      <c r="N64" s="19"/>
      <c r="O64" s="19"/>
      <c r="P64" s="19"/>
      <c r="Q64" s="19"/>
      <c r="R64" s="19"/>
      <c r="S64" s="19"/>
      <c r="T64" s="19"/>
      <c r="U64" s="19"/>
      <c r="V64" s="19"/>
      <c r="W64" s="19"/>
      <c r="X64" s="19"/>
      <c r="Y64" s="19"/>
      <c r="Z64" s="19"/>
    </row>
    <row r="65">
      <c r="A65" s="17">
        <v>45839.0</v>
      </c>
      <c r="B65" s="18" t="s">
        <v>277</v>
      </c>
      <c r="C65" s="18" t="s">
        <v>23</v>
      </c>
      <c r="D65" s="18" t="s">
        <v>278</v>
      </c>
      <c r="E65" s="19"/>
      <c r="F65" s="19"/>
      <c r="G65" s="19"/>
      <c r="H65" s="19"/>
      <c r="I65" s="19"/>
      <c r="J65" s="19"/>
      <c r="K65" s="19"/>
      <c r="L65" s="19"/>
      <c r="M65" s="19"/>
      <c r="N65" s="19"/>
      <c r="O65" s="19"/>
      <c r="P65" s="19"/>
      <c r="Q65" s="19"/>
      <c r="R65" s="19"/>
      <c r="S65" s="19"/>
      <c r="T65" s="19"/>
      <c r="U65" s="19"/>
      <c r="V65" s="19"/>
      <c r="W65" s="19"/>
      <c r="X65" s="19"/>
      <c r="Y65" s="19"/>
      <c r="Z65" s="19"/>
    </row>
    <row r="66">
      <c r="A66" s="17">
        <v>45839.0</v>
      </c>
      <c r="B66" s="18" t="s">
        <v>279</v>
      </c>
      <c r="C66" s="18" t="s">
        <v>23</v>
      </c>
      <c r="D66" s="18" t="s">
        <v>280</v>
      </c>
      <c r="E66" s="19"/>
      <c r="F66" s="19"/>
      <c r="G66" s="19"/>
      <c r="H66" s="19"/>
      <c r="I66" s="19"/>
      <c r="J66" s="19"/>
      <c r="K66" s="19"/>
      <c r="L66" s="19"/>
      <c r="M66" s="19"/>
      <c r="N66" s="19"/>
      <c r="O66" s="19"/>
      <c r="P66" s="19"/>
      <c r="Q66" s="19"/>
      <c r="R66" s="19"/>
      <c r="S66" s="19"/>
      <c r="T66" s="19"/>
      <c r="U66" s="19"/>
      <c r="V66" s="19"/>
      <c r="W66" s="19"/>
      <c r="X66" s="19"/>
      <c r="Y66" s="19"/>
      <c r="Z66" s="19"/>
    </row>
    <row r="67">
      <c r="A67" s="17">
        <v>45840.0</v>
      </c>
      <c r="B67" s="18" t="s">
        <v>281</v>
      </c>
      <c r="C67" s="18" t="s">
        <v>23</v>
      </c>
      <c r="D67" s="18" t="s">
        <v>282</v>
      </c>
      <c r="E67" s="19"/>
      <c r="F67" s="19"/>
      <c r="G67" s="19"/>
      <c r="H67" s="19"/>
      <c r="I67" s="19"/>
      <c r="J67" s="19"/>
      <c r="K67" s="19"/>
      <c r="L67" s="19"/>
      <c r="M67" s="19"/>
      <c r="N67" s="19"/>
      <c r="O67" s="19"/>
      <c r="P67" s="19"/>
      <c r="Q67" s="19"/>
      <c r="R67" s="19"/>
      <c r="S67" s="19"/>
      <c r="T67" s="19"/>
      <c r="U67" s="19"/>
      <c r="V67" s="19"/>
      <c r="W67" s="19"/>
      <c r="X67" s="19"/>
      <c r="Y67" s="19"/>
      <c r="Z67" s="19"/>
    </row>
    <row r="68">
      <c r="A68" s="17">
        <v>45840.0</v>
      </c>
      <c r="B68" s="18" t="s">
        <v>283</v>
      </c>
      <c r="C68" s="18" t="s">
        <v>23</v>
      </c>
      <c r="D68" s="18" t="s">
        <v>284</v>
      </c>
      <c r="E68" s="19"/>
      <c r="F68" s="19"/>
      <c r="G68" s="19"/>
      <c r="H68" s="19"/>
      <c r="I68" s="19"/>
      <c r="J68" s="19"/>
      <c r="K68" s="19"/>
      <c r="L68" s="19"/>
      <c r="M68" s="19"/>
      <c r="N68" s="19"/>
      <c r="O68" s="19"/>
      <c r="P68" s="19"/>
      <c r="Q68" s="19"/>
      <c r="R68" s="19"/>
      <c r="S68" s="19"/>
      <c r="T68" s="19"/>
      <c r="U68" s="19"/>
      <c r="V68" s="19"/>
      <c r="W68" s="19"/>
      <c r="X68" s="19"/>
      <c r="Y68" s="19"/>
      <c r="Z68" s="19"/>
    </row>
    <row r="69">
      <c r="A69" s="17">
        <v>45840.0</v>
      </c>
      <c r="B69" s="18" t="s">
        <v>285</v>
      </c>
      <c r="C69" s="18" t="s">
        <v>23</v>
      </c>
      <c r="D69" s="19"/>
      <c r="E69" s="19"/>
      <c r="F69" s="19"/>
      <c r="G69" s="19"/>
      <c r="H69" s="19"/>
      <c r="I69" s="19"/>
      <c r="J69" s="19"/>
      <c r="K69" s="19"/>
      <c r="L69" s="19"/>
      <c r="M69" s="19"/>
      <c r="N69" s="19"/>
      <c r="O69" s="19"/>
      <c r="P69" s="19"/>
      <c r="Q69" s="19"/>
      <c r="R69" s="19"/>
      <c r="S69" s="19"/>
      <c r="T69" s="19"/>
      <c r="U69" s="19"/>
      <c r="V69" s="19"/>
      <c r="W69" s="19"/>
      <c r="X69" s="19"/>
      <c r="Y69" s="19"/>
      <c r="Z69" s="19"/>
    </row>
    <row r="70">
      <c r="A70" s="17">
        <v>45840.0</v>
      </c>
      <c r="B70" s="18" t="s">
        <v>286</v>
      </c>
      <c r="C70" s="18" t="s">
        <v>23</v>
      </c>
      <c r="D70" s="19"/>
      <c r="E70" s="19"/>
      <c r="F70" s="19"/>
      <c r="G70" s="19"/>
      <c r="H70" s="19"/>
      <c r="I70" s="19"/>
      <c r="J70" s="19"/>
      <c r="K70" s="19"/>
      <c r="L70" s="19"/>
      <c r="M70" s="19"/>
      <c r="N70" s="19"/>
      <c r="O70" s="19"/>
      <c r="P70" s="19"/>
      <c r="Q70" s="19"/>
      <c r="R70" s="19"/>
      <c r="S70" s="19"/>
      <c r="T70" s="19"/>
      <c r="U70" s="19"/>
      <c r="V70" s="19"/>
      <c r="W70" s="19"/>
      <c r="X70" s="19"/>
      <c r="Y70" s="19"/>
      <c r="Z70" s="19"/>
    </row>
    <row r="71">
      <c r="A71" s="17">
        <v>45842.0</v>
      </c>
      <c r="B71" s="18" t="s">
        <v>287</v>
      </c>
      <c r="C71" s="18" t="s">
        <v>23</v>
      </c>
      <c r="D71" s="19"/>
      <c r="E71" s="19"/>
      <c r="F71" s="19"/>
      <c r="G71" s="19"/>
      <c r="H71" s="19"/>
      <c r="I71" s="19"/>
      <c r="J71" s="19"/>
      <c r="K71" s="19"/>
      <c r="L71" s="19"/>
      <c r="M71" s="19"/>
      <c r="N71" s="19"/>
      <c r="O71" s="19"/>
      <c r="P71" s="19"/>
      <c r="Q71" s="19"/>
      <c r="R71" s="19"/>
      <c r="S71" s="19"/>
      <c r="T71" s="19"/>
      <c r="U71" s="19"/>
      <c r="V71" s="19"/>
      <c r="W71" s="19"/>
      <c r="X71" s="19"/>
      <c r="Y71" s="19"/>
      <c r="Z71" s="19"/>
    </row>
    <row r="72">
      <c r="A72" s="17">
        <v>45842.0</v>
      </c>
      <c r="B72" s="18" t="s">
        <v>288</v>
      </c>
      <c r="C72" s="18" t="s">
        <v>23</v>
      </c>
      <c r="D72" s="19"/>
      <c r="E72" s="19"/>
      <c r="F72" s="19"/>
      <c r="G72" s="19"/>
      <c r="H72" s="19"/>
      <c r="I72" s="19"/>
      <c r="J72" s="19"/>
      <c r="K72" s="19"/>
      <c r="L72" s="19"/>
      <c r="M72" s="19"/>
      <c r="N72" s="19"/>
      <c r="O72" s="19"/>
      <c r="P72" s="19"/>
      <c r="Q72" s="19"/>
      <c r="R72" s="19"/>
      <c r="S72" s="19"/>
      <c r="T72" s="19"/>
      <c r="U72" s="19"/>
      <c r="V72" s="19"/>
      <c r="W72" s="19"/>
      <c r="X72" s="19"/>
      <c r="Y72" s="19"/>
      <c r="Z72" s="19"/>
    </row>
    <row r="73">
      <c r="A73" s="17">
        <v>45852.0</v>
      </c>
      <c r="B73" s="18" t="s">
        <v>289</v>
      </c>
      <c r="C73" s="18" t="s">
        <v>23</v>
      </c>
      <c r="D73" s="19"/>
      <c r="E73" s="19"/>
      <c r="F73" s="19"/>
      <c r="G73" s="19"/>
      <c r="H73" s="19"/>
      <c r="I73" s="19"/>
      <c r="J73" s="19"/>
      <c r="K73" s="19"/>
      <c r="L73" s="19"/>
      <c r="M73" s="19"/>
      <c r="N73" s="19"/>
      <c r="O73" s="19"/>
      <c r="P73" s="19"/>
      <c r="Q73" s="19"/>
      <c r="R73" s="19"/>
      <c r="S73" s="19"/>
      <c r="T73" s="19"/>
      <c r="U73" s="19"/>
      <c r="V73" s="19"/>
      <c r="W73" s="19"/>
      <c r="X73" s="19"/>
      <c r="Y73" s="19"/>
      <c r="Z73" s="19"/>
    </row>
    <row r="74">
      <c r="A74" s="17">
        <v>45852.0</v>
      </c>
      <c r="B74" s="18" t="s">
        <v>290</v>
      </c>
      <c r="C74" s="18" t="s">
        <v>23</v>
      </c>
      <c r="D74" s="19"/>
      <c r="E74" s="19"/>
      <c r="F74" s="19"/>
      <c r="G74" s="19"/>
      <c r="H74" s="19"/>
      <c r="I74" s="19"/>
      <c r="J74" s="19"/>
      <c r="K74" s="19"/>
      <c r="L74" s="19"/>
      <c r="M74" s="19"/>
      <c r="N74" s="19"/>
      <c r="O74" s="19"/>
      <c r="P74" s="19"/>
      <c r="Q74" s="19"/>
      <c r="R74" s="19"/>
      <c r="S74" s="19"/>
      <c r="T74" s="19"/>
      <c r="U74" s="19"/>
      <c r="V74" s="19"/>
      <c r="W74" s="19"/>
      <c r="X74" s="19"/>
      <c r="Y74" s="19"/>
      <c r="Z74" s="19"/>
    </row>
    <row r="75">
      <c r="A75" s="17">
        <v>45852.0</v>
      </c>
      <c r="B75" s="18" t="s">
        <v>291</v>
      </c>
      <c r="C75" s="18" t="s">
        <v>23</v>
      </c>
      <c r="D75" s="19"/>
      <c r="E75" s="19"/>
      <c r="F75" s="19"/>
      <c r="G75" s="19"/>
      <c r="H75" s="19"/>
      <c r="I75" s="19"/>
      <c r="J75" s="19"/>
      <c r="K75" s="19"/>
      <c r="L75" s="19"/>
      <c r="M75" s="19"/>
      <c r="N75" s="19"/>
      <c r="O75" s="19"/>
      <c r="P75" s="19"/>
      <c r="Q75" s="19"/>
      <c r="R75" s="19"/>
      <c r="S75" s="19"/>
      <c r="T75" s="19"/>
      <c r="U75" s="19"/>
      <c r="V75" s="19"/>
      <c r="W75" s="19"/>
      <c r="X75" s="19"/>
      <c r="Y75" s="19"/>
      <c r="Z75" s="19"/>
    </row>
    <row r="76">
      <c r="A76" s="17">
        <v>45853.0</v>
      </c>
      <c r="B76" s="18" t="s">
        <v>292</v>
      </c>
      <c r="C76" s="18" t="s">
        <v>23</v>
      </c>
      <c r="D76" s="18" t="s">
        <v>293</v>
      </c>
      <c r="E76" s="19"/>
      <c r="F76" s="19"/>
      <c r="G76" s="19"/>
      <c r="H76" s="19"/>
      <c r="I76" s="19"/>
      <c r="J76" s="19"/>
      <c r="K76" s="19"/>
      <c r="L76" s="19"/>
      <c r="M76" s="19"/>
      <c r="N76" s="19"/>
      <c r="O76" s="19"/>
      <c r="P76" s="19"/>
      <c r="Q76" s="19"/>
      <c r="R76" s="19"/>
      <c r="S76" s="19"/>
      <c r="T76" s="19"/>
      <c r="U76" s="19"/>
      <c r="V76" s="19"/>
      <c r="W76" s="19"/>
      <c r="X76" s="19"/>
      <c r="Y76" s="19"/>
      <c r="Z76" s="19"/>
    </row>
    <row r="77">
      <c r="A77" s="17">
        <v>45854.0</v>
      </c>
      <c r="B77" s="18" t="s">
        <v>294</v>
      </c>
      <c r="C77" s="18" t="s">
        <v>23</v>
      </c>
      <c r="D77" s="18" t="s">
        <v>295</v>
      </c>
      <c r="E77" s="19"/>
      <c r="F77" s="19"/>
      <c r="G77" s="19"/>
      <c r="H77" s="19"/>
      <c r="I77" s="19"/>
      <c r="J77" s="19"/>
      <c r="K77" s="19"/>
      <c r="L77" s="19"/>
      <c r="M77" s="19"/>
      <c r="N77" s="19"/>
      <c r="O77" s="19"/>
      <c r="P77" s="19"/>
      <c r="Q77" s="19"/>
      <c r="R77" s="19"/>
      <c r="S77" s="19"/>
      <c r="T77" s="19"/>
      <c r="U77" s="19"/>
      <c r="V77" s="19"/>
      <c r="W77" s="19"/>
      <c r="X77" s="19"/>
      <c r="Y77" s="19"/>
      <c r="Z77" s="19"/>
    </row>
    <row r="78">
      <c r="A78" s="17">
        <v>45856.0</v>
      </c>
      <c r="B78" s="18" t="s">
        <v>296</v>
      </c>
      <c r="C78" s="18" t="s">
        <v>23</v>
      </c>
      <c r="D78" s="18" t="s">
        <v>297</v>
      </c>
      <c r="E78" s="19"/>
      <c r="F78" s="19"/>
      <c r="G78" s="19"/>
      <c r="H78" s="19"/>
      <c r="I78" s="19"/>
      <c r="J78" s="19"/>
      <c r="K78" s="19"/>
      <c r="L78" s="19"/>
      <c r="M78" s="19"/>
      <c r="N78" s="19"/>
      <c r="O78" s="19"/>
      <c r="P78" s="19"/>
      <c r="Q78" s="19"/>
      <c r="R78" s="19"/>
      <c r="S78" s="19"/>
      <c r="T78" s="19"/>
      <c r="U78" s="19"/>
      <c r="V78" s="19"/>
      <c r="W78" s="19"/>
      <c r="X78" s="19"/>
      <c r="Y78" s="19"/>
      <c r="Z78" s="19"/>
    </row>
    <row r="79">
      <c r="A79" s="17">
        <v>45857.0</v>
      </c>
      <c r="B79" s="18" t="s">
        <v>298</v>
      </c>
      <c r="C79" s="18" t="s">
        <v>23</v>
      </c>
      <c r="D79" s="18" t="s">
        <v>299</v>
      </c>
      <c r="E79" s="19"/>
      <c r="F79" s="19"/>
      <c r="G79" s="19"/>
      <c r="H79" s="19"/>
      <c r="I79" s="19"/>
      <c r="J79" s="19"/>
      <c r="K79" s="19"/>
      <c r="L79" s="19"/>
      <c r="M79" s="19"/>
      <c r="N79" s="19"/>
      <c r="O79" s="19"/>
      <c r="P79" s="19"/>
      <c r="Q79" s="19"/>
      <c r="R79" s="19"/>
      <c r="S79" s="19"/>
      <c r="T79" s="19"/>
      <c r="U79" s="19"/>
      <c r="V79" s="19"/>
      <c r="W79" s="19"/>
      <c r="X79" s="19"/>
      <c r="Y79" s="19"/>
      <c r="Z79" s="19"/>
    </row>
    <row r="80">
      <c r="A80" s="17">
        <v>45857.0</v>
      </c>
      <c r="B80" s="18" t="s">
        <v>300</v>
      </c>
      <c r="C80" s="18" t="s">
        <v>23</v>
      </c>
      <c r="D80" s="18" t="s">
        <v>301</v>
      </c>
      <c r="E80" s="19"/>
      <c r="F80" s="19"/>
      <c r="G80" s="19"/>
      <c r="H80" s="19"/>
      <c r="I80" s="19"/>
      <c r="J80" s="19"/>
      <c r="K80" s="19"/>
      <c r="L80" s="19"/>
      <c r="M80" s="19"/>
      <c r="N80" s="19"/>
      <c r="O80" s="19"/>
      <c r="P80" s="19"/>
      <c r="Q80" s="19"/>
      <c r="R80" s="19"/>
      <c r="S80" s="19"/>
      <c r="T80" s="19"/>
      <c r="U80" s="19"/>
      <c r="V80" s="19"/>
      <c r="W80" s="19"/>
      <c r="X80" s="19"/>
      <c r="Y80" s="19"/>
      <c r="Z80" s="19"/>
    </row>
    <row r="81">
      <c r="A81" s="17">
        <v>45857.0</v>
      </c>
      <c r="B81" s="18" t="s">
        <v>302</v>
      </c>
      <c r="C81" s="18" t="s">
        <v>23</v>
      </c>
      <c r="D81" s="19"/>
      <c r="E81" s="19"/>
      <c r="F81" s="19"/>
      <c r="G81" s="19"/>
      <c r="H81" s="19"/>
      <c r="I81" s="19"/>
      <c r="J81" s="19"/>
      <c r="K81" s="19"/>
      <c r="L81" s="19"/>
      <c r="M81" s="19"/>
      <c r="N81" s="19"/>
      <c r="O81" s="19"/>
      <c r="P81" s="19"/>
      <c r="Q81" s="19"/>
      <c r="R81" s="19"/>
      <c r="S81" s="19"/>
      <c r="T81" s="19"/>
      <c r="U81" s="19"/>
      <c r="V81" s="19"/>
      <c r="W81" s="19"/>
      <c r="X81" s="19"/>
      <c r="Y81" s="19"/>
      <c r="Z81" s="19"/>
    </row>
    <row r="82">
      <c r="A82" s="17">
        <v>45857.0</v>
      </c>
      <c r="B82" s="18" t="s">
        <v>303</v>
      </c>
      <c r="C82" s="18" t="s">
        <v>23</v>
      </c>
      <c r="D82" s="19"/>
      <c r="E82" s="19"/>
      <c r="F82" s="19"/>
      <c r="G82" s="19"/>
      <c r="H82" s="19"/>
      <c r="I82" s="19"/>
      <c r="J82" s="19"/>
      <c r="K82" s="19"/>
      <c r="L82" s="19"/>
      <c r="M82" s="19"/>
      <c r="N82" s="19"/>
      <c r="O82" s="19"/>
      <c r="P82" s="19"/>
      <c r="Q82" s="19"/>
      <c r="R82" s="19"/>
      <c r="S82" s="19"/>
      <c r="T82" s="19"/>
      <c r="U82" s="19"/>
      <c r="V82" s="19"/>
      <c r="W82" s="19"/>
      <c r="X82" s="19"/>
      <c r="Y82" s="19"/>
      <c r="Z82" s="19"/>
    </row>
    <row r="83">
      <c r="A83" s="17">
        <v>45860.0</v>
      </c>
      <c r="B83" s="18" t="s">
        <v>304</v>
      </c>
      <c r="C83" s="18" t="s">
        <v>23</v>
      </c>
      <c r="D83" s="18" t="s">
        <v>305</v>
      </c>
      <c r="E83" s="19"/>
      <c r="F83" s="19"/>
      <c r="G83" s="19"/>
      <c r="H83" s="19"/>
      <c r="I83" s="19"/>
      <c r="J83" s="19"/>
      <c r="K83" s="19"/>
      <c r="L83" s="19"/>
      <c r="M83" s="19"/>
      <c r="N83" s="19"/>
      <c r="O83" s="19"/>
      <c r="P83" s="19"/>
      <c r="Q83" s="19"/>
      <c r="R83" s="19"/>
      <c r="S83" s="19"/>
      <c r="T83" s="19"/>
      <c r="U83" s="19"/>
      <c r="V83" s="19"/>
      <c r="W83" s="19"/>
      <c r="X83" s="19"/>
      <c r="Y83" s="19"/>
      <c r="Z83" s="19"/>
    </row>
    <row r="84">
      <c r="A84" s="17">
        <v>45860.0</v>
      </c>
      <c r="B84" s="18" t="s">
        <v>306</v>
      </c>
      <c r="C84" s="18" t="s">
        <v>23</v>
      </c>
      <c r="D84" s="19"/>
      <c r="E84" s="19"/>
      <c r="F84" s="19"/>
      <c r="G84" s="19"/>
      <c r="H84" s="19"/>
      <c r="I84" s="19"/>
      <c r="J84" s="19"/>
      <c r="K84" s="19"/>
      <c r="L84" s="19"/>
      <c r="M84" s="19"/>
      <c r="N84" s="19"/>
      <c r="O84" s="19"/>
      <c r="P84" s="19"/>
      <c r="Q84" s="19"/>
      <c r="R84" s="19"/>
      <c r="S84" s="19"/>
      <c r="T84" s="19"/>
      <c r="U84" s="19"/>
      <c r="V84" s="19"/>
      <c r="W84" s="19"/>
      <c r="X84" s="19"/>
      <c r="Y84" s="19"/>
      <c r="Z84" s="19"/>
    </row>
    <row r="85">
      <c r="A85" s="17">
        <v>45860.0</v>
      </c>
      <c r="B85" s="18" t="s">
        <v>307</v>
      </c>
      <c r="C85" s="18" t="s">
        <v>23</v>
      </c>
      <c r="D85" s="18" t="s">
        <v>308</v>
      </c>
      <c r="E85" s="19"/>
      <c r="F85" s="19"/>
      <c r="G85" s="19"/>
      <c r="H85" s="19"/>
      <c r="I85" s="19"/>
      <c r="J85" s="19"/>
      <c r="K85" s="19"/>
      <c r="L85" s="19"/>
      <c r="M85" s="19"/>
      <c r="N85" s="19"/>
      <c r="O85" s="19"/>
      <c r="P85" s="19"/>
      <c r="Q85" s="19"/>
      <c r="R85" s="19"/>
      <c r="S85" s="19"/>
      <c r="T85" s="19"/>
      <c r="U85" s="19"/>
      <c r="V85" s="19"/>
      <c r="W85" s="19"/>
      <c r="X85" s="19"/>
      <c r="Y85" s="19"/>
      <c r="Z85" s="19"/>
    </row>
    <row r="86">
      <c r="A86" s="17">
        <v>45860.0</v>
      </c>
      <c r="B86" s="18" t="s">
        <v>309</v>
      </c>
      <c r="C86" s="18" t="s">
        <v>23</v>
      </c>
      <c r="D86" s="18" t="s">
        <v>310</v>
      </c>
      <c r="E86" s="19"/>
      <c r="F86" s="19"/>
      <c r="G86" s="19"/>
      <c r="H86" s="19"/>
      <c r="I86" s="19"/>
      <c r="J86" s="19"/>
      <c r="K86" s="19"/>
      <c r="L86" s="19"/>
      <c r="M86" s="19"/>
      <c r="N86" s="19"/>
      <c r="O86" s="19"/>
      <c r="P86" s="19"/>
      <c r="Q86" s="19"/>
      <c r="R86" s="19"/>
      <c r="S86" s="19"/>
      <c r="T86" s="19"/>
      <c r="U86" s="19"/>
      <c r="V86" s="19"/>
      <c r="W86" s="19"/>
      <c r="X86" s="19"/>
      <c r="Y86" s="19"/>
      <c r="Z86" s="19"/>
    </row>
    <row r="87">
      <c r="A87" s="17">
        <v>45861.0</v>
      </c>
      <c r="B87" s="18" t="s">
        <v>311</v>
      </c>
      <c r="C87" s="18" t="s">
        <v>23</v>
      </c>
      <c r="D87" s="18" t="s">
        <v>312</v>
      </c>
      <c r="E87" s="19"/>
      <c r="F87" s="19"/>
      <c r="G87" s="19"/>
      <c r="H87" s="19"/>
      <c r="I87" s="19"/>
      <c r="J87" s="19"/>
      <c r="K87" s="19"/>
      <c r="L87" s="19"/>
      <c r="M87" s="19"/>
      <c r="N87" s="19"/>
      <c r="O87" s="19"/>
      <c r="P87" s="19"/>
      <c r="Q87" s="19"/>
      <c r="R87" s="19"/>
      <c r="S87" s="19"/>
      <c r="T87" s="19"/>
      <c r="U87" s="19"/>
      <c r="V87" s="19"/>
      <c r="W87" s="19"/>
      <c r="X87" s="19"/>
      <c r="Y87" s="19"/>
      <c r="Z87" s="19"/>
    </row>
    <row r="88">
      <c r="A88" s="17">
        <v>45862.0</v>
      </c>
      <c r="B88" s="18" t="s">
        <v>313</v>
      </c>
      <c r="C88" s="18" t="s">
        <v>23</v>
      </c>
      <c r="D88" s="19"/>
      <c r="E88" s="19"/>
      <c r="F88" s="19"/>
      <c r="G88" s="19"/>
      <c r="H88" s="19"/>
      <c r="I88" s="19"/>
      <c r="J88" s="19"/>
      <c r="K88" s="19"/>
      <c r="L88" s="19"/>
      <c r="M88" s="19"/>
      <c r="N88" s="19"/>
      <c r="O88" s="19"/>
      <c r="P88" s="19"/>
      <c r="Q88" s="19"/>
      <c r="R88" s="19"/>
      <c r="S88" s="19"/>
      <c r="T88" s="19"/>
      <c r="U88" s="19"/>
      <c r="V88" s="19"/>
      <c r="W88" s="19"/>
      <c r="X88" s="19"/>
      <c r="Y88" s="19"/>
      <c r="Z88" s="19"/>
    </row>
    <row r="89">
      <c r="A89" s="17">
        <v>45862.0</v>
      </c>
      <c r="B89" s="18" t="s">
        <v>314</v>
      </c>
      <c r="C89" s="18" t="s">
        <v>23</v>
      </c>
      <c r="D89" s="18" t="s">
        <v>315</v>
      </c>
      <c r="E89" s="19"/>
      <c r="F89" s="19"/>
      <c r="G89" s="19"/>
      <c r="H89" s="19"/>
      <c r="I89" s="19"/>
      <c r="J89" s="19"/>
      <c r="K89" s="19"/>
      <c r="L89" s="19"/>
      <c r="M89" s="19"/>
      <c r="N89" s="19"/>
      <c r="O89" s="19"/>
      <c r="P89" s="19"/>
      <c r="Q89" s="19"/>
      <c r="R89" s="19"/>
      <c r="S89" s="19"/>
      <c r="T89" s="19"/>
      <c r="U89" s="19"/>
      <c r="V89" s="19"/>
      <c r="W89" s="19"/>
      <c r="X89" s="19"/>
      <c r="Y89" s="19"/>
      <c r="Z89" s="19"/>
    </row>
    <row r="90">
      <c r="A90" s="17">
        <v>45862.0</v>
      </c>
      <c r="B90" s="18" t="s">
        <v>316</v>
      </c>
      <c r="C90" s="18" t="s">
        <v>23</v>
      </c>
      <c r="D90" s="19"/>
      <c r="E90" s="19"/>
      <c r="F90" s="19"/>
      <c r="G90" s="19"/>
      <c r="H90" s="19"/>
      <c r="I90" s="19"/>
      <c r="J90" s="19"/>
      <c r="K90" s="19"/>
      <c r="L90" s="19"/>
      <c r="M90" s="19"/>
      <c r="N90" s="19"/>
      <c r="O90" s="19"/>
      <c r="P90" s="19"/>
      <c r="Q90" s="19"/>
      <c r="R90" s="19"/>
      <c r="S90" s="19"/>
      <c r="T90" s="19"/>
      <c r="U90" s="19"/>
      <c r="V90" s="19"/>
      <c r="W90" s="19"/>
      <c r="X90" s="19"/>
      <c r="Y90" s="19"/>
      <c r="Z90" s="19"/>
    </row>
    <row r="91">
      <c r="A91" s="17">
        <v>45864.0</v>
      </c>
      <c r="B91" s="18" t="s">
        <v>317</v>
      </c>
      <c r="C91" s="18" t="s">
        <v>23</v>
      </c>
      <c r="D91" s="18" t="s">
        <v>318</v>
      </c>
      <c r="E91" s="19"/>
      <c r="F91" s="19"/>
      <c r="G91" s="19"/>
      <c r="H91" s="19"/>
      <c r="I91" s="19"/>
      <c r="J91" s="19"/>
      <c r="K91" s="19"/>
      <c r="L91" s="19"/>
      <c r="M91" s="19"/>
      <c r="N91" s="19"/>
      <c r="O91" s="19"/>
      <c r="P91" s="19"/>
      <c r="Q91" s="19"/>
      <c r="R91" s="19"/>
      <c r="S91" s="19"/>
      <c r="T91" s="19"/>
      <c r="U91" s="19"/>
      <c r="V91" s="19"/>
      <c r="W91" s="19"/>
      <c r="X91" s="19"/>
      <c r="Y91" s="19"/>
      <c r="Z91" s="19"/>
    </row>
    <row r="92">
      <c r="A92" s="17">
        <v>45867.0</v>
      </c>
      <c r="B92" s="18" t="s">
        <v>319</v>
      </c>
      <c r="C92" s="18" t="s">
        <v>23</v>
      </c>
      <c r="D92" s="19"/>
      <c r="E92" s="19"/>
      <c r="F92" s="19"/>
      <c r="G92" s="19"/>
      <c r="H92" s="19"/>
      <c r="I92" s="19"/>
      <c r="J92" s="19"/>
      <c r="K92" s="19"/>
      <c r="L92" s="19"/>
      <c r="M92" s="19"/>
      <c r="N92" s="19"/>
      <c r="O92" s="19"/>
      <c r="P92" s="19"/>
      <c r="Q92" s="19"/>
      <c r="R92" s="19"/>
      <c r="S92" s="19"/>
      <c r="T92" s="19"/>
      <c r="U92" s="19"/>
      <c r="V92" s="19"/>
      <c r="W92" s="19"/>
      <c r="X92" s="19"/>
      <c r="Y92" s="19"/>
      <c r="Z92" s="19"/>
    </row>
    <row r="93">
      <c r="A93" s="17">
        <v>45867.0</v>
      </c>
      <c r="B93" s="18" t="s">
        <v>320</v>
      </c>
      <c r="C93" s="18" t="s">
        <v>23</v>
      </c>
      <c r="D93" s="18" t="s">
        <v>321</v>
      </c>
      <c r="E93" s="19"/>
      <c r="F93" s="19"/>
      <c r="G93" s="19"/>
      <c r="H93" s="19"/>
      <c r="I93" s="19"/>
      <c r="J93" s="19"/>
      <c r="K93" s="19"/>
      <c r="L93" s="19"/>
      <c r="M93" s="19"/>
      <c r="N93" s="19"/>
      <c r="O93" s="19"/>
      <c r="P93" s="19"/>
      <c r="Q93" s="19"/>
      <c r="R93" s="19"/>
      <c r="S93" s="19"/>
      <c r="T93" s="19"/>
      <c r="U93" s="19"/>
      <c r="V93" s="19"/>
      <c r="W93" s="19"/>
      <c r="X93" s="19"/>
      <c r="Y93" s="19"/>
      <c r="Z93" s="19"/>
    </row>
    <row r="94">
      <c r="A94" s="17">
        <v>45869.0</v>
      </c>
      <c r="B94" s="18" t="s">
        <v>322</v>
      </c>
      <c r="C94" s="18" t="s">
        <v>23</v>
      </c>
      <c r="D94" s="18" t="s">
        <v>323</v>
      </c>
      <c r="E94" s="19"/>
      <c r="F94" s="19"/>
      <c r="G94" s="19"/>
      <c r="H94" s="19"/>
      <c r="I94" s="19"/>
      <c r="J94" s="19"/>
      <c r="K94" s="19"/>
      <c r="L94" s="19"/>
      <c r="M94" s="19"/>
      <c r="N94" s="19"/>
      <c r="O94" s="19"/>
      <c r="P94" s="19"/>
      <c r="Q94" s="19"/>
      <c r="R94" s="19"/>
      <c r="S94" s="19"/>
      <c r="T94" s="19"/>
      <c r="U94" s="19"/>
      <c r="V94" s="19"/>
      <c r="W94" s="19"/>
      <c r="X94" s="19"/>
      <c r="Y94" s="19"/>
      <c r="Z94" s="19"/>
    </row>
    <row r="95">
      <c r="A95" s="17">
        <v>45873.0</v>
      </c>
      <c r="B95" s="18" t="s">
        <v>324</v>
      </c>
      <c r="C95" s="18" t="s">
        <v>23</v>
      </c>
      <c r="D95" s="18" t="s">
        <v>325</v>
      </c>
      <c r="E95" s="19"/>
      <c r="F95" s="19"/>
      <c r="G95" s="19"/>
      <c r="H95" s="19"/>
      <c r="I95" s="19"/>
      <c r="J95" s="19"/>
      <c r="K95" s="19"/>
      <c r="L95" s="19"/>
      <c r="M95" s="19"/>
      <c r="N95" s="19"/>
      <c r="O95" s="19"/>
      <c r="P95" s="19"/>
      <c r="Q95" s="19"/>
      <c r="R95" s="19"/>
      <c r="S95" s="19"/>
      <c r="T95" s="19"/>
      <c r="U95" s="19"/>
      <c r="V95" s="19"/>
      <c r="W95" s="19"/>
      <c r="X95" s="19"/>
      <c r="Y95" s="19"/>
      <c r="Z95" s="19"/>
    </row>
    <row r="96">
      <c r="A96" s="17">
        <v>45873.0</v>
      </c>
      <c r="B96" s="18" t="s">
        <v>326</v>
      </c>
      <c r="C96" s="18" t="s">
        <v>23</v>
      </c>
      <c r="D96" s="19"/>
      <c r="E96" s="19"/>
      <c r="F96" s="19"/>
      <c r="G96" s="19"/>
      <c r="H96" s="19"/>
      <c r="I96" s="19"/>
      <c r="J96" s="19"/>
      <c r="K96" s="19"/>
      <c r="L96" s="19"/>
      <c r="M96" s="19"/>
      <c r="N96" s="19"/>
      <c r="O96" s="19"/>
      <c r="P96" s="19"/>
      <c r="Q96" s="19"/>
      <c r="R96" s="19"/>
      <c r="S96" s="19"/>
      <c r="T96" s="19"/>
      <c r="U96" s="19"/>
      <c r="V96" s="19"/>
      <c r="W96" s="19"/>
      <c r="X96" s="19"/>
      <c r="Y96" s="19"/>
      <c r="Z96" s="19"/>
    </row>
    <row r="97">
      <c r="A97" s="17">
        <v>45873.0</v>
      </c>
      <c r="B97" s="18" t="s">
        <v>327</v>
      </c>
      <c r="C97" s="18" t="s">
        <v>23</v>
      </c>
      <c r="D97" s="19"/>
      <c r="E97" s="19"/>
      <c r="F97" s="19"/>
      <c r="G97" s="19"/>
      <c r="H97" s="19"/>
      <c r="I97" s="19"/>
      <c r="J97" s="19"/>
      <c r="K97" s="19"/>
      <c r="L97" s="19"/>
      <c r="M97" s="19"/>
      <c r="N97" s="19"/>
      <c r="O97" s="19"/>
      <c r="P97" s="19"/>
      <c r="Q97" s="19"/>
      <c r="R97" s="19"/>
      <c r="S97" s="19"/>
      <c r="T97" s="19"/>
      <c r="U97" s="19"/>
      <c r="V97" s="19"/>
      <c r="W97" s="19"/>
      <c r="X97" s="19"/>
      <c r="Y97" s="19"/>
      <c r="Z97" s="19"/>
    </row>
    <row r="98">
      <c r="A98" s="17">
        <v>45880.0</v>
      </c>
      <c r="B98" s="18" t="s">
        <v>328</v>
      </c>
      <c r="C98" s="18" t="s">
        <v>23</v>
      </c>
      <c r="D98" s="18" t="s">
        <v>329</v>
      </c>
      <c r="E98" s="19"/>
      <c r="F98" s="19"/>
      <c r="G98" s="19"/>
      <c r="H98" s="19"/>
      <c r="I98" s="19"/>
      <c r="J98" s="19"/>
      <c r="K98" s="19"/>
      <c r="L98" s="19"/>
      <c r="M98" s="19"/>
      <c r="N98" s="19"/>
      <c r="O98" s="19"/>
      <c r="P98" s="19"/>
      <c r="Q98" s="19"/>
      <c r="R98" s="19"/>
      <c r="S98" s="19"/>
      <c r="T98" s="19"/>
      <c r="U98" s="19"/>
      <c r="V98" s="19"/>
      <c r="W98" s="19"/>
      <c r="X98" s="19"/>
      <c r="Y98" s="19"/>
      <c r="Z98" s="19"/>
    </row>
    <row r="99">
      <c r="A99" s="17">
        <v>45881.0</v>
      </c>
      <c r="B99" s="18" t="s">
        <v>330</v>
      </c>
      <c r="C99" s="18" t="s">
        <v>23</v>
      </c>
      <c r="D99" s="19"/>
      <c r="E99" s="19"/>
      <c r="F99" s="19"/>
      <c r="G99" s="19"/>
      <c r="H99" s="19"/>
      <c r="I99" s="19"/>
      <c r="J99" s="19"/>
      <c r="K99" s="19"/>
      <c r="L99" s="19"/>
      <c r="M99" s="19"/>
      <c r="N99" s="19"/>
      <c r="O99" s="19"/>
      <c r="P99" s="19"/>
      <c r="Q99" s="19"/>
      <c r="R99" s="19"/>
      <c r="S99" s="19"/>
      <c r="T99" s="19"/>
      <c r="U99" s="19"/>
      <c r="V99" s="19"/>
      <c r="W99" s="19"/>
      <c r="X99" s="19"/>
      <c r="Y99" s="19"/>
      <c r="Z99" s="19"/>
    </row>
    <row r="100">
      <c r="A100" s="17">
        <v>45881.0</v>
      </c>
      <c r="B100" s="18" t="s">
        <v>331</v>
      </c>
      <c r="C100" s="18" t="s">
        <v>23</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7">
        <v>45881.0</v>
      </c>
      <c r="B101" s="18" t="s">
        <v>332</v>
      </c>
      <c r="C101" s="18" t="s">
        <v>23</v>
      </c>
      <c r="D101" s="18" t="s">
        <v>333</v>
      </c>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7">
        <v>45883.0</v>
      </c>
      <c r="B102" s="18" t="s">
        <v>334</v>
      </c>
      <c r="C102" s="18" t="s">
        <v>23</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7">
        <v>45887.0</v>
      </c>
      <c r="B103" s="18" t="s">
        <v>335</v>
      </c>
      <c r="C103" s="18" t="s">
        <v>23</v>
      </c>
      <c r="D103" s="18" t="s">
        <v>336</v>
      </c>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7">
        <v>45889.0</v>
      </c>
      <c r="B104" s="18" t="s">
        <v>337</v>
      </c>
      <c r="C104" s="18" t="s">
        <v>23</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7">
        <v>45889.0</v>
      </c>
      <c r="B105" s="18" t="s">
        <v>338</v>
      </c>
      <c r="C105" s="18" t="s">
        <v>23</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7">
        <v>45889.0</v>
      </c>
      <c r="B106" s="26" t="s">
        <v>339</v>
      </c>
      <c r="C106" s="18" t="s">
        <v>23</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7">
        <v>45891.0</v>
      </c>
      <c r="B107" s="18" t="s">
        <v>340</v>
      </c>
      <c r="C107" s="18" t="s">
        <v>23</v>
      </c>
      <c r="D107" s="18" t="s">
        <v>341</v>
      </c>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7">
        <v>45891.0</v>
      </c>
      <c r="B108" s="18" t="s">
        <v>342</v>
      </c>
      <c r="C108" s="18" t="s">
        <v>23</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7">
        <v>45895.0</v>
      </c>
      <c r="B109" s="18" t="s">
        <v>343</v>
      </c>
      <c r="C109" s="18" t="s">
        <v>23</v>
      </c>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7">
        <v>45897.0</v>
      </c>
      <c r="B110" s="18" t="s">
        <v>344</v>
      </c>
      <c r="C110" s="18" t="s">
        <v>23</v>
      </c>
      <c r="D110" s="18" t="s">
        <v>345</v>
      </c>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7">
        <v>45899.0</v>
      </c>
      <c r="B111" s="18" t="s">
        <v>346</v>
      </c>
      <c r="C111" s="18" t="s">
        <v>23</v>
      </c>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7">
        <v>45899.0</v>
      </c>
      <c r="B112" s="18" t="s">
        <v>347</v>
      </c>
      <c r="C112" s="18" t="s">
        <v>23</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7">
        <v>45902.0</v>
      </c>
      <c r="B113" s="18" t="s">
        <v>348</v>
      </c>
      <c r="C113" s="18" t="s">
        <v>23</v>
      </c>
      <c r="D113" s="18" t="s">
        <v>349</v>
      </c>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7">
        <v>45902.0</v>
      </c>
      <c r="B114" s="18" t="s">
        <v>350</v>
      </c>
      <c r="C114" s="18" t="s">
        <v>23</v>
      </c>
      <c r="D114" s="18" t="s">
        <v>351</v>
      </c>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7">
        <v>45905.0</v>
      </c>
      <c r="B115" s="18" t="s">
        <v>352</v>
      </c>
      <c r="C115" s="18" t="s">
        <v>23</v>
      </c>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7">
        <v>45906.0</v>
      </c>
      <c r="B116" s="18" t="s">
        <v>353</v>
      </c>
      <c r="C116" s="18" t="s">
        <v>23</v>
      </c>
      <c r="D116" s="18" t="s">
        <v>354</v>
      </c>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7">
        <v>45908.0</v>
      </c>
      <c r="B117" s="18" t="s">
        <v>355</v>
      </c>
      <c r="C117" s="18" t="s">
        <v>23</v>
      </c>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7">
        <v>45910.0</v>
      </c>
      <c r="B118" s="18" t="s">
        <v>356</v>
      </c>
      <c r="C118" s="18" t="s">
        <v>23</v>
      </c>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7">
        <v>45910.0</v>
      </c>
      <c r="B119" s="18" t="s">
        <v>357</v>
      </c>
      <c r="C119" s="18" t="s">
        <v>23</v>
      </c>
      <c r="D119" s="18" t="s">
        <v>358</v>
      </c>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7">
        <v>45916.0</v>
      </c>
      <c r="B120" s="18" t="s">
        <v>359</v>
      </c>
      <c r="C120" s="18" t="s">
        <v>23</v>
      </c>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7">
        <v>45922.0</v>
      </c>
      <c r="B121" s="18" t="s">
        <v>360</v>
      </c>
      <c r="C121" s="18" t="s">
        <v>23</v>
      </c>
      <c r="D121" s="18" t="s">
        <v>361</v>
      </c>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7">
        <v>45923.0</v>
      </c>
      <c r="B122" s="18" t="s">
        <v>362</v>
      </c>
      <c r="C122" s="18" t="s">
        <v>23</v>
      </c>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7">
        <v>45926.0</v>
      </c>
      <c r="B123" s="18" t="s">
        <v>363</v>
      </c>
      <c r="C123" s="18" t="s">
        <v>23</v>
      </c>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7">
        <v>45930.0</v>
      </c>
      <c r="B124" s="18" t="s">
        <v>364</v>
      </c>
      <c r="C124" s="18" t="s">
        <v>23</v>
      </c>
      <c r="D124" s="18" t="s">
        <v>365</v>
      </c>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7">
        <v>45931.0</v>
      </c>
      <c r="B125" s="18" t="s">
        <v>366</v>
      </c>
      <c r="C125" s="18" t="s">
        <v>23</v>
      </c>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7">
        <v>45931.0</v>
      </c>
      <c r="B126" s="18" t="s">
        <v>367</v>
      </c>
      <c r="C126" s="18" t="s">
        <v>23</v>
      </c>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7">
        <v>45933.0</v>
      </c>
      <c r="B127" s="18" t="s">
        <v>368</v>
      </c>
      <c r="C127" s="18" t="s">
        <v>23</v>
      </c>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7">
        <v>45934.0</v>
      </c>
      <c r="B128" s="18" t="s">
        <v>369</v>
      </c>
      <c r="C128" s="18" t="s">
        <v>23</v>
      </c>
      <c r="D128" s="18" t="s">
        <v>370</v>
      </c>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7">
        <v>45936.0</v>
      </c>
      <c r="B129" s="18" t="s">
        <v>371</v>
      </c>
      <c r="C129" s="18" t="s">
        <v>23</v>
      </c>
      <c r="D129" s="18" t="s">
        <v>372</v>
      </c>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7">
        <v>45936.0</v>
      </c>
      <c r="B130" s="18" t="s">
        <v>373</v>
      </c>
      <c r="C130" s="18" t="s">
        <v>23</v>
      </c>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7">
        <v>45937.0</v>
      </c>
      <c r="B131" s="18" t="s">
        <v>374</v>
      </c>
      <c r="C131" s="18" t="s">
        <v>23</v>
      </c>
      <c r="D131" s="18" t="s">
        <v>375</v>
      </c>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7">
        <v>45940.0</v>
      </c>
      <c r="B132" s="18" t="s">
        <v>376</v>
      </c>
      <c r="C132" s="18" t="s">
        <v>23</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7">
        <v>45940.0</v>
      </c>
      <c r="B133" s="18" t="s">
        <v>377</v>
      </c>
      <c r="C133" s="18" t="s">
        <v>23</v>
      </c>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7">
        <v>45943.0</v>
      </c>
      <c r="B134" s="18" t="s">
        <v>378</v>
      </c>
      <c r="C134" s="18" t="s">
        <v>23</v>
      </c>
      <c r="D134" s="18" t="s">
        <v>379</v>
      </c>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7">
        <v>45946.0</v>
      </c>
      <c r="B135" s="18" t="s">
        <v>380</v>
      </c>
      <c r="C135" s="18" t="s">
        <v>23</v>
      </c>
      <c r="D135" s="18" t="s">
        <v>381</v>
      </c>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7">
        <v>45947.0</v>
      </c>
      <c r="B136" s="26" t="s">
        <v>382</v>
      </c>
      <c r="C136" s="18" t="s">
        <v>23</v>
      </c>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7">
        <v>45952.0</v>
      </c>
      <c r="B137" s="18" t="s">
        <v>383</v>
      </c>
      <c r="C137" s="18" t="s">
        <v>23</v>
      </c>
      <c r="D137" s="18" t="s">
        <v>384</v>
      </c>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7">
        <v>45952.0</v>
      </c>
      <c r="B138" s="18" t="s">
        <v>385</v>
      </c>
      <c r="C138" s="18" t="s">
        <v>23</v>
      </c>
      <c r="D138" s="18" t="s">
        <v>386</v>
      </c>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7">
        <v>45952.0</v>
      </c>
      <c r="B139" s="18" t="s">
        <v>387</v>
      </c>
      <c r="C139" s="18" t="s">
        <v>23</v>
      </c>
      <c r="D139" s="18" t="s">
        <v>388</v>
      </c>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7">
        <v>45955.0</v>
      </c>
      <c r="B140" s="18" t="s">
        <v>389</v>
      </c>
      <c r="C140" s="18" t="s">
        <v>23</v>
      </c>
      <c r="D140" s="18" t="s">
        <v>390</v>
      </c>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7">
        <v>45957.0</v>
      </c>
      <c r="B141" s="18" t="s">
        <v>391</v>
      </c>
      <c r="C141" s="18" t="s">
        <v>23</v>
      </c>
      <c r="D141" s="18" t="s">
        <v>392</v>
      </c>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7">
        <v>45957.0</v>
      </c>
      <c r="B142" s="18" t="s">
        <v>393</v>
      </c>
      <c r="C142" s="18" t="s">
        <v>23</v>
      </c>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7">
        <v>45960.0</v>
      </c>
      <c r="B143" s="26" t="s">
        <v>394</v>
      </c>
      <c r="C143" s="18" t="s">
        <v>23</v>
      </c>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7">
        <v>45962.0</v>
      </c>
      <c r="B144" s="18" t="s">
        <v>395</v>
      </c>
      <c r="C144" s="18" t="s">
        <v>23</v>
      </c>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7">
        <v>45962.0</v>
      </c>
      <c r="B145" s="18" t="s">
        <v>396</v>
      </c>
      <c r="C145" s="18" t="s">
        <v>23</v>
      </c>
      <c r="D145" s="18" t="s">
        <v>397</v>
      </c>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7">
        <v>45964.0</v>
      </c>
      <c r="B146" s="18" t="s">
        <v>398</v>
      </c>
      <c r="C146" s="18" t="s">
        <v>23</v>
      </c>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7">
        <v>45964.0</v>
      </c>
      <c r="B147" s="18" t="s">
        <v>399</v>
      </c>
      <c r="C147" s="18" t="s">
        <v>23</v>
      </c>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7">
        <v>45964.0</v>
      </c>
      <c r="B148" s="18" t="s">
        <v>400</v>
      </c>
      <c r="C148" s="18" t="s">
        <v>23</v>
      </c>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7">
        <v>45966.0</v>
      </c>
      <c r="B149" s="18" t="s">
        <v>401</v>
      </c>
      <c r="C149" s="18" t="s">
        <v>23</v>
      </c>
      <c r="D149" s="18" t="s">
        <v>402</v>
      </c>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7">
        <v>45966.0</v>
      </c>
      <c r="B150" s="18" t="s">
        <v>403</v>
      </c>
      <c r="C150" s="18" t="s">
        <v>23</v>
      </c>
      <c r="D150" s="18" t="s">
        <v>404</v>
      </c>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7">
        <v>45968.0</v>
      </c>
      <c r="B151" s="18" t="s">
        <v>405</v>
      </c>
      <c r="C151" s="18" t="s">
        <v>23</v>
      </c>
      <c r="D151" s="18" t="s">
        <v>406</v>
      </c>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7">
        <v>45969.0</v>
      </c>
      <c r="B152" s="18" t="s">
        <v>407</v>
      </c>
      <c r="C152" s="18" t="s">
        <v>23</v>
      </c>
      <c r="D152" s="18" t="s">
        <v>408</v>
      </c>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7">
        <v>45971.0</v>
      </c>
      <c r="B153" s="18" t="s">
        <v>409</v>
      </c>
      <c r="C153" s="18" t="s">
        <v>23</v>
      </c>
      <c r="D153" s="18" t="s">
        <v>410</v>
      </c>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7">
        <v>45971.0</v>
      </c>
      <c r="B154" s="18" t="s">
        <v>411</v>
      </c>
      <c r="C154" s="18" t="s">
        <v>23</v>
      </c>
      <c r="D154" s="18" t="s">
        <v>412</v>
      </c>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7">
        <v>45972.0</v>
      </c>
      <c r="B155" s="18" t="s">
        <v>413</v>
      </c>
      <c r="C155" s="18" t="s">
        <v>23</v>
      </c>
      <c r="D155" s="18" t="s">
        <v>414</v>
      </c>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7">
        <v>45978.0</v>
      </c>
      <c r="B156" s="18" t="s">
        <v>415</v>
      </c>
      <c r="C156" s="18" t="s">
        <v>23</v>
      </c>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7">
        <v>45978.0</v>
      </c>
      <c r="B157" s="18" t="s">
        <v>416</v>
      </c>
      <c r="C157" s="18" t="s">
        <v>23</v>
      </c>
      <c r="D157" s="18" t="s">
        <v>417</v>
      </c>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7">
        <v>45979.0</v>
      </c>
      <c r="B158" s="18" t="s">
        <v>418</v>
      </c>
      <c r="C158" s="18" t="s">
        <v>23</v>
      </c>
      <c r="D158" s="18" t="s">
        <v>419</v>
      </c>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7">
        <v>46002.0</v>
      </c>
      <c r="B159" s="18" t="s">
        <v>420</v>
      </c>
      <c r="C159" s="18" t="s">
        <v>23</v>
      </c>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7">
        <v>46003.0</v>
      </c>
      <c r="B160" s="18" t="s">
        <v>421</v>
      </c>
      <c r="C160" s="18" t="s">
        <v>23</v>
      </c>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7">
        <v>46009.0</v>
      </c>
      <c r="B161" s="18" t="s">
        <v>422</v>
      </c>
      <c r="C161" s="18" t="s">
        <v>23</v>
      </c>
      <c r="D161" s="18" t="s">
        <v>423</v>
      </c>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7">
        <v>46009.0</v>
      </c>
      <c r="B162" s="18" t="s">
        <v>424</v>
      </c>
      <c r="C162" s="18" t="s">
        <v>23</v>
      </c>
      <c r="D162" s="18" t="s">
        <v>425</v>
      </c>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7">
        <v>46009.0</v>
      </c>
      <c r="B163" s="18" t="s">
        <v>426</v>
      </c>
      <c r="C163" s="18" t="s">
        <v>23</v>
      </c>
      <c r="D163" s="18" t="s">
        <v>427</v>
      </c>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7">
        <v>46009.0</v>
      </c>
      <c r="B164" s="18" t="s">
        <v>428</v>
      </c>
      <c r="C164" s="18" t="s">
        <v>23</v>
      </c>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7">
        <v>46009.0</v>
      </c>
      <c r="B165" s="18" t="s">
        <v>429</v>
      </c>
      <c r="C165" s="18" t="s">
        <v>23</v>
      </c>
      <c r="D165" s="18" t="s">
        <v>430</v>
      </c>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7">
        <v>46015.0</v>
      </c>
      <c r="B166" s="18" t="s">
        <v>431</v>
      </c>
      <c r="C166" s="18" t="s">
        <v>23</v>
      </c>
      <c r="D166" s="18" t="s">
        <v>432</v>
      </c>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7">
        <v>46017.0</v>
      </c>
      <c r="B167" s="18" t="s">
        <v>433</v>
      </c>
      <c r="C167" s="18" t="s">
        <v>23</v>
      </c>
      <c r="D167" s="18" t="s">
        <v>434</v>
      </c>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7">
        <v>46017.0</v>
      </c>
      <c r="B168" s="18" t="s">
        <v>435</v>
      </c>
      <c r="C168" s="18" t="s">
        <v>23</v>
      </c>
      <c r="D168" s="18" t="s">
        <v>425</v>
      </c>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7">
        <v>45314.0</v>
      </c>
      <c r="B169" s="18" t="s">
        <v>436</v>
      </c>
      <c r="C169" s="18" t="s">
        <v>5</v>
      </c>
      <c r="D169" s="18" t="s">
        <v>437</v>
      </c>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7">
        <v>45446.0</v>
      </c>
      <c r="B170" s="18" t="s">
        <v>438</v>
      </c>
      <c r="C170" s="18" t="s">
        <v>5</v>
      </c>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7">
        <v>45454.0</v>
      </c>
      <c r="B171" s="18" t="s">
        <v>439</v>
      </c>
      <c r="C171" s="18" t="s">
        <v>5</v>
      </c>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7">
        <v>45460.0</v>
      </c>
      <c r="B172" s="18" t="s">
        <v>440</v>
      </c>
      <c r="C172" s="18" t="s">
        <v>5</v>
      </c>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7">
        <v>45485.0</v>
      </c>
      <c r="B173" s="18" t="s">
        <v>441</v>
      </c>
      <c r="C173" s="18" t="s">
        <v>5</v>
      </c>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7">
        <v>45547.0</v>
      </c>
      <c r="B174" s="18" t="s">
        <v>442</v>
      </c>
      <c r="C174" s="18" t="s">
        <v>5</v>
      </c>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7">
        <v>45560.0</v>
      </c>
      <c r="B175" s="18" t="s">
        <v>443</v>
      </c>
      <c r="C175" s="18" t="s">
        <v>5</v>
      </c>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7">
        <v>45576.0</v>
      </c>
      <c r="B176" s="18" t="s">
        <v>444</v>
      </c>
      <c r="C176" s="18" t="s">
        <v>5</v>
      </c>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7">
        <v>45580.0</v>
      </c>
      <c r="B177" s="18" t="s">
        <v>445</v>
      </c>
      <c r="C177" s="18" t="s">
        <v>5</v>
      </c>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7">
        <v>45652.0</v>
      </c>
      <c r="B178" s="18" t="s">
        <v>446</v>
      </c>
      <c r="C178" s="18" t="s">
        <v>5</v>
      </c>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7">
        <v>46055.0</v>
      </c>
      <c r="B179" s="18" t="s">
        <v>95</v>
      </c>
      <c r="C179" s="18" t="s">
        <v>63</v>
      </c>
      <c r="D179" s="18" t="s">
        <v>447</v>
      </c>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7">
        <v>46055.0</v>
      </c>
      <c r="B180" s="18" t="s">
        <v>96</v>
      </c>
      <c r="C180" s="19"/>
      <c r="D180" s="18" t="s">
        <v>448</v>
      </c>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7">
        <v>46059.0</v>
      </c>
      <c r="B181" s="18" t="s">
        <v>105</v>
      </c>
      <c r="C181" s="18" t="s">
        <v>63</v>
      </c>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7">
        <v>46063.0</v>
      </c>
      <c r="B182" s="18" t="s">
        <v>120</v>
      </c>
      <c r="C182" s="18" t="s">
        <v>63</v>
      </c>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7">
        <v>46065.0</v>
      </c>
      <c r="B183" s="18" t="s">
        <v>126</v>
      </c>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7">
        <v>46065.0</v>
      </c>
      <c r="B184" s="18" t="s">
        <v>128</v>
      </c>
      <c r="C184" s="18" t="s">
        <v>63</v>
      </c>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7">
        <v>46066.0</v>
      </c>
      <c r="B185" s="18" t="s">
        <v>131</v>
      </c>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7">
        <v>46072.0</v>
      </c>
      <c r="B186" s="18" t="s">
        <v>157</v>
      </c>
      <c r="C186" s="19"/>
      <c r="D186" s="18" t="s">
        <v>449</v>
      </c>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1">
        <v>46074.0</v>
      </c>
      <c r="B187" s="16" t="s">
        <v>450</v>
      </c>
      <c r="C187" s="10" t="s">
        <v>63</v>
      </c>
      <c r="D187" s="9" t="s">
        <v>451</v>
      </c>
    </row>
    <row r="188">
      <c r="A188" s="11">
        <v>46074.0</v>
      </c>
      <c r="B188" s="9" t="s">
        <v>164</v>
      </c>
      <c r="C188" s="10" t="s">
        <v>63</v>
      </c>
    </row>
    <row r="189">
      <c r="A189" s="11">
        <v>46074.0</v>
      </c>
      <c r="B189" s="9" t="s">
        <v>164</v>
      </c>
      <c r="C189" s="10" t="s">
        <v>63</v>
      </c>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hyperlinks>
    <hyperlink r:id="rId1" ref="B4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88.5"/>
    <col customWidth="1" min="3" max="3" width="32.88"/>
    <col customWidth="1" min="4" max="4" width="16.25"/>
  </cols>
  <sheetData>
    <row r="1">
      <c r="A1" s="1" t="s">
        <v>0</v>
      </c>
      <c r="B1" s="1" t="s">
        <v>1</v>
      </c>
      <c r="C1" s="1" t="s">
        <v>2</v>
      </c>
      <c r="D1" s="2" t="s">
        <v>3</v>
      </c>
      <c r="E1" s="3"/>
      <c r="F1" s="4"/>
      <c r="G1" s="3"/>
      <c r="H1" s="3"/>
    </row>
    <row r="2">
      <c r="A2" s="27">
        <v>45659.0</v>
      </c>
      <c r="B2" s="28" t="s">
        <v>452</v>
      </c>
      <c r="C2" s="28" t="s">
        <v>5</v>
      </c>
      <c r="D2" s="19"/>
    </row>
    <row r="3">
      <c r="A3" s="27">
        <v>45659.0</v>
      </c>
      <c r="B3" s="28" t="s">
        <v>453</v>
      </c>
      <c r="C3" s="28" t="s">
        <v>5</v>
      </c>
      <c r="D3" s="19"/>
    </row>
    <row r="4">
      <c r="A4" s="27">
        <v>45659.0</v>
      </c>
      <c r="B4" s="28" t="s">
        <v>454</v>
      </c>
      <c r="C4" s="28" t="s">
        <v>5</v>
      </c>
      <c r="D4" s="19"/>
    </row>
    <row r="5">
      <c r="A5" s="27">
        <v>45659.0</v>
      </c>
      <c r="B5" s="28" t="s">
        <v>455</v>
      </c>
      <c r="C5" s="28" t="s">
        <v>5</v>
      </c>
      <c r="D5" s="19"/>
    </row>
    <row r="6">
      <c r="A6" s="27">
        <v>45659.0</v>
      </c>
      <c r="B6" s="28" t="s">
        <v>456</v>
      </c>
      <c r="C6" s="28" t="s">
        <v>5</v>
      </c>
      <c r="D6" s="19"/>
    </row>
    <row r="7">
      <c r="A7" s="27">
        <v>45663.0</v>
      </c>
      <c r="B7" s="28" t="s">
        <v>457</v>
      </c>
      <c r="C7" s="28" t="s">
        <v>5</v>
      </c>
      <c r="D7" s="19"/>
    </row>
    <row r="8">
      <c r="A8" s="27">
        <v>45663.0</v>
      </c>
      <c r="B8" s="28" t="s">
        <v>458</v>
      </c>
      <c r="C8" s="28" t="s">
        <v>5</v>
      </c>
      <c r="D8" s="19"/>
    </row>
    <row r="9">
      <c r="A9" s="27">
        <v>45663.0</v>
      </c>
      <c r="B9" s="28" t="s">
        <v>459</v>
      </c>
      <c r="C9" s="28" t="s">
        <v>5</v>
      </c>
      <c r="D9" s="19"/>
    </row>
    <row r="10">
      <c r="A10" s="27">
        <v>45663.0</v>
      </c>
      <c r="B10" s="28" t="s">
        <v>460</v>
      </c>
      <c r="C10" s="28" t="s">
        <v>5</v>
      </c>
      <c r="D10" s="19"/>
    </row>
    <row r="11">
      <c r="A11" s="27">
        <v>45663.0</v>
      </c>
      <c r="B11" s="28" t="s">
        <v>461</v>
      </c>
      <c r="C11" s="28" t="s">
        <v>5</v>
      </c>
      <c r="D11" s="19"/>
    </row>
    <row r="12">
      <c r="A12" s="27">
        <v>45663.0</v>
      </c>
      <c r="B12" s="28" t="s">
        <v>462</v>
      </c>
      <c r="C12" s="28" t="s">
        <v>5</v>
      </c>
      <c r="D12" s="19"/>
    </row>
    <row r="13">
      <c r="A13" s="27">
        <v>45663.0</v>
      </c>
      <c r="B13" s="28" t="s">
        <v>463</v>
      </c>
      <c r="C13" s="28" t="s">
        <v>5</v>
      </c>
      <c r="D13" s="19"/>
    </row>
    <row r="14">
      <c r="A14" s="27">
        <v>45663.0</v>
      </c>
      <c r="B14" s="28" t="s">
        <v>464</v>
      </c>
      <c r="C14" s="28" t="s">
        <v>5</v>
      </c>
      <c r="D14" s="19"/>
    </row>
    <row r="15">
      <c r="A15" s="27">
        <v>45663.0</v>
      </c>
      <c r="B15" s="28" t="s">
        <v>465</v>
      </c>
      <c r="C15" s="28" t="s">
        <v>5</v>
      </c>
      <c r="D15" s="19"/>
    </row>
    <row r="16">
      <c r="A16" s="27">
        <v>45663.0</v>
      </c>
      <c r="B16" s="29" t="s">
        <v>466</v>
      </c>
      <c r="C16" s="28" t="s">
        <v>5</v>
      </c>
      <c r="D16" s="19"/>
    </row>
    <row r="17">
      <c r="A17" s="27">
        <v>45665.0</v>
      </c>
      <c r="B17" s="28" t="s">
        <v>467</v>
      </c>
      <c r="C17" s="28" t="s">
        <v>5</v>
      </c>
      <c r="D17" s="19"/>
    </row>
    <row r="18">
      <c r="A18" s="27">
        <v>45665.0</v>
      </c>
      <c r="B18" s="28" t="s">
        <v>468</v>
      </c>
      <c r="C18" s="28" t="s">
        <v>5</v>
      </c>
      <c r="D18" s="19"/>
    </row>
    <row r="19">
      <c r="A19" s="27">
        <v>45665.0</v>
      </c>
      <c r="B19" s="28" t="s">
        <v>469</v>
      </c>
      <c r="C19" s="28" t="s">
        <v>5</v>
      </c>
      <c r="D19" s="19"/>
    </row>
    <row r="20">
      <c r="A20" s="27">
        <v>45665.0</v>
      </c>
      <c r="B20" s="28" t="s">
        <v>470</v>
      </c>
      <c r="C20" s="28" t="s">
        <v>5</v>
      </c>
      <c r="D20" s="19"/>
    </row>
    <row r="21">
      <c r="A21" s="27">
        <v>45665.0</v>
      </c>
      <c r="B21" s="28" t="s">
        <v>471</v>
      </c>
      <c r="C21" s="28" t="s">
        <v>5</v>
      </c>
      <c r="D21" s="19"/>
    </row>
    <row r="22">
      <c r="A22" s="27">
        <v>45665.0</v>
      </c>
      <c r="B22" s="28" t="s">
        <v>472</v>
      </c>
      <c r="C22" s="28" t="s">
        <v>5</v>
      </c>
      <c r="D22" s="19"/>
    </row>
    <row r="23">
      <c r="A23" s="27">
        <v>45665.0</v>
      </c>
      <c r="B23" s="29" t="s">
        <v>473</v>
      </c>
      <c r="C23" s="28" t="s">
        <v>5</v>
      </c>
      <c r="D23" s="19"/>
    </row>
    <row r="24">
      <c r="A24" s="27">
        <v>45665.0</v>
      </c>
      <c r="B24" s="28" t="s">
        <v>474</v>
      </c>
      <c r="C24" s="28" t="s">
        <v>5</v>
      </c>
      <c r="D24" s="19"/>
    </row>
    <row r="25">
      <c r="A25" s="27">
        <v>45666.0</v>
      </c>
      <c r="B25" s="29" t="s">
        <v>475</v>
      </c>
      <c r="C25" s="28" t="s">
        <v>5</v>
      </c>
      <c r="D25" s="19"/>
    </row>
    <row r="26">
      <c r="A26" s="27">
        <v>45667.0</v>
      </c>
      <c r="B26" s="28" t="s">
        <v>476</v>
      </c>
      <c r="C26" s="28" t="s">
        <v>5</v>
      </c>
      <c r="D26" s="19"/>
    </row>
    <row r="27">
      <c r="A27" s="27">
        <v>45667.0</v>
      </c>
      <c r="B27" s="28" t="s">
        <v>477</v>
      </c>
      <c r="C27" s="28" t="s">
        <v>5</v>
      </c>
      <c r="D27" s="19"/>
    </row>
    <row r="28">
      <c r="A28" s="27">
        <v>45672.0</v>
      </c>
      <c r="B28" s="28" t="s">
        <v>478</v>
      </c>
      <c r="C28" s="28" t="s">
        <v>5</v>
      </c>
      <c r="D28" s="19"/>
    </row>
    <row r="29">
      <c r="A29" s="27">
        <v>45672.0</v>
      </c>
      <c r="B29" s="28" t="s">
        <v>479</v>
      </c>
      <c r="C29" s="28" t="s">
        <v>5</v>
      </c>
      <c r="D29" s="19"/>
    </row>
    <row r="30">
      <c r="A30" s="27">
        <v>45672.0</v>
      </c>
      <c r="B30" s="28" t="s">
        <v>480</v>
      </c>
      <c r="C30" s="28" t="s">
        <v>5</v>
      </c>
      <c r="D30" s="19"/>
    </row>
    <row r="31">
      <c r="A31" s="27">
        <v>45672.0</v>
      </c>
      <c r="B31" s="28" t="s">
        <v>481</v>
      </c>
      <c r="C31" s="28" t="s">
        <v>5</v>
      </c>
      <c r="D31" s="19"/>
    </row>
    <row r="32">
      <c r="A32" s="27">
        <v>45672.0</v>
      </c>
      <c r="B32" s="28" t="s">
        <v>482</v>
      </c>
      <c r="C32" s="28" t="s">
        <v>5</v>
      </c>
      <c r="D32" s="19"/>
    </row>
    <row r="33">
      <c r="A33" s="27">
        <v>45672.0</v>
      </c>
      <c r="B33" s="28" t="s">
        <v>483</v>
      </c>
      <c r="C33" s="28" t="s">
        <v>5</v>
      </c>
      <c r="D33" s="19"/>
    </row>
    <row r="34">
      <c r="A34" s="27">
        <v>45672.0</v>
      </c>
      <c r="B34" s="28" t="s">
        <v>484</v>
      </c>
      <c r="C34" s="28" t="s">
        <v>5</v>
      </c>
      <c r="D34" s="19"/>
    </row>
    <row r="35">
      <c r="A35" s="27">
        <v>45672.0</v>
      </c>
      <c r="B35" s="28" t="s">
        <v>485</v>
      </c>
      <c r="C35" s="28" t="s">
        <v>5</v>
      </c>
      <c r="D35" s="19"/>
    </row>
    <row r="36">
      <c r="A36" s="27">
        <v>45672.0</v>
      </c>
      <c r="B36" s="28" t="s">
        <v>486</v>
      </c>
      <c r="C36" s="28" t="s">
        <v>5</v>
      </c>
      <c r="D36" s="19"/>
    </row>
    <row r="37">
      <c r="A37" s="27">
        <v>45672.0</v>
      </c>
      <c r="B37" s="28" t="s">
        <v>487</v>
      </c>
      <c r="C37" s="28" t="s">
        <v>5</v>
      </c>
      <c r="D37" s="19"/>
    </row>
    <row r="38">
      <c r="A38" s="27">
        <v>45672.0</v>
      </c>
      <c r="B38" s="28" t="s">
        <v>488</v>
      </c>
      <c r="C38" s="28" t="s">
        <v>5</v>
      </c>
      <c r="D38" s="19"/>
    </row>
    <row r="39">
      <c r="A39" s="27">
        <v>45672.0</v>
      </c>
      <c r="B39" s="28" t="s">
        <v>489</v>
      </c>
      <c r="C39" s="28" t="s">
        <v>5</v>
      </c>
      <c r="D39" s="19"/>
    </row>
    <row r="40">
      <c r="A40" s="27">
        <v>45672.0</v>
      </c>
      <c r="B40" s="28" t="s">
        <v>490</v>
      </c>
      <c r="C40" s="28" t="s">
        <v>5</v>
      </c>
      <c r="D40" s="19"/>
    </row>
    <row r="41">
      <c r="A41" s="27">
        <v>45672.0</v>
      </c>
      <c r="B41" s="28" t="s">
        <v>491</v>
      </c>
      <c r="C41" s="28" t="s">
        <v>5</v>
      </c>
      <c r="D41" s="19"/>
    </row>
    <row r="42">
      <c r="A42" s="27">
        <v>45672.0</v>
      </c>
      <c r="B42" s="28" t="s">
        <v>492</v>
      </c>
      <c r="C42" s="28" t="s">
        <v>5</v>
      </c>
      <c r="D42" s="19"/>
    </row>
    <row r="43">
      <c r="A43" s="27">
        <v>45675.0</v>
      </c>
      <c r="B43" s="28" t="s">
        <v>493</v>
      </c>
      <c r="C43" s="28" t="s">
        <v>5</v>
      </c>
      <c r="D43" s="19"/>
    </row>
    <row r="44">
      <c r="A44" s="27">
        <v>45675.0</v>
      </c>
      <c r="B44" s="28" t="s">
        <v>494</v>
      </c>
      <c r="C44" s="28" t="s">
        <v>5</v>
      </c>
      <c r="D44" s="19"/>
    </row>
    <row r="45">
      <c r="A45" s="27">
        <v>45675.0</v>
      </c>
      <c r="B45" s="28" t="s">
        <v>495</v>
      </c>
      <c r="C45" s="28" t="s">
        <v>5</v>
      </c>
      <c r="D45" s="19"/>
    </row>
    <row r="46">
      <c r="A46" s="27">
        <v>45675.0</v>
      </c>
      <c r="B46" s="28" t="s">
        <v>496</v>
      </c>
      <c r="C46" s="28" t="s">
        <v>5</v>
      </c>
      <c r="D46" s="19"/>
    </row>
    <row r="47">
      <c r="A47" s="27">
        <v>45675.0</v>
      </c>
      <c r="B47" s="28" t="s">
        <v>497</v>
      </c>
      <c r="C47" s="28" t="s">
        <v>5</v>
      </c>
      <c r="D47" s="19"/>
    </row>
    <row r="48">
      <c r="A48" s="27">
        <v>45675.0</v>
      </c>
      <c r="B48" s="28" t="s">
        <v>498</v>
      </c>
      <c r="C48" s="28" t="s">
        <v>5</v>
      </c>
      <c r="D48" s="19"/>
    </row>
    <row r="49">
      <c r="A49" s="27">
        <v>45675.0</v>
      </c>
      <c r="B49" s="28" t="s">
        <v>499</v>
      </c>
      <c r="C49" s="28" t="s">
        <v>5</v>
      </c>
      <c r="D49" s="19"/>
    </row>
    <row r="50">
      <c r="A50" s="27">
        <v>45677.0</v>
      </c>
      <c r="B50" s="28" t="s">
        <v>500</v>
      </c>
      <c r="C50" s="28" t="s">
        <v>5</v>
      </c>
      <c r="D50" s="19"/>
    </row>
    <row r="51">
      <c r="A51" s="27">
        <v>45677.0</v>
      </c>
      <c r="B51" s="28" t="s">
        <v>501</v>
      </c>
      <c r="C51" s="28" t="s">
        <v>5</v>
      </c>
      <c r="D51" s="19"/>
    </row>
    <row r="52">
      <c r="A52" s="27">
        <v>45677.0</v>
      </c>
      <c r="B52" s="28" t="s">
        <v>502</v>
      </c>
      <c r="C52" s="28" t="s">
        <v>5</v>
      </c>
      <c r="D52" s="19"/>
    </row>
    <row r="53">
      <c r="A53" s="27">
        <v>45679.0</v>
      </c>
      <c r="B53" s="28" t="s">
        <v>503</v>
      </c>
      <c r="C53" s="28" t="s">
        <v>5</v>
      </c>
      <c r="D53" s="19"/>
    </row>
    <row r="54">
      <c r="A54" s="27">
        <v>45679.0</v>
      </c>
      <c r="B54" s="28" t="s">
        <v>504</v>
      </c>
      <c r="C54" s="28" t="s">
        <v>5</v>
      </c>
      <c r="D54" s="19"/>
    </row>
    <row r="55">
      <c r="A55" s="27">
        <v>45679.0</v>
      </c>
      <c r="B55" s="28" t="s">
        <v>505</v>
      </c>
      <c r="C55" s="28" t="s">
        <v>5</v>
      </c>
      <c r="D55" s="19"/>
    </row>
    <row r="56">
      <c r="A56" s="27">
        <v>45679.0</v>
      </c>
      <c r="B56" s="28" t="s">
        <v>506</v>
      </c>
      <c r="C56" s="28" t="s">
        <v>5</v>
      </c>
      <c r="D56" s="19"/>
    </row>
    <row r="57">
      <c r="A57" s="27">
        <v>45679.0</v>
      </c>
      <c r="B57" s="28" t="s">
        <v>507</v>
      </c>
      <c r="C57" s="28" t="s">
        <v>5</v>
      </c>
      <c r="D57" s="19"/>
    </row>
    <row r="58">
      <c r="A58" s="27">
        <v>45680.0</v>
      </c>
      <c r="B58" s="28" t="s">
        <v>508</v>
      </c>
      <c r="C58" s="28" t="s">
        <v>5</v>
      </c>
      <c r="D58" s="19"/>
    </row>
    <row r="59">
      <c r="A59" s="27">
        <v>45680.0</v>
      </c>
      <c r="B59" s="28" t="s">
        <v>509</v>
      </c>
      <c r="C59" s="28" t="s">
        <v>5</v>
      </c>
      <c r="D59" s="19"/>
    </row>
    <row r="60">
      <c r="A60" s="27">
        <v>45680.0</v>
      </c>
      <c r="B60" s="28" t="s">
        <v>510</v>
      </c>
      <c r="C60" s="28" t="s">
        <v>5</v>
      </c>
      <c r="D60" s="19"/>
    </row>
    <row r="61">
      <c r="A61" s="27">
        <v>45680.0</v>
      </c>
      <c r="B61" s="28" t="s">
        <v>511</v>
      </c>
      <c r="C61" s="28" t="s">
        <v>5</v>
      </c>
      <c r="D61" s="19"/>
    </row>
    <row r="62">
      <c r="A62" s="27">
        <v>45680.0</v>
      </c>
      <c r="B62" s="28" t="s">
        <v>512</v>
      </c>
      <c r="C62" s="28" t="s">
        <v>5</v>
      </c>
      <c r="D62" s="19"/>
    </row>
    <row r="63">
      <c r="A63" s="27">
        <v>45681.0</v>
      </c>
      <c r="B63" s="28" t="s">
        <v>513</v>
      </c>
      <c r="C63" s="28" t="s">
        <v>5</v>
      </c>
      <c r="D63" s="19"/>
    </row>
    <row r="64">
      <c r="A64" s="27">
        <v>45681.0</v>
      </c>
      <c r="B64" s="28" t="s">
        <v>514</v>
      </c>
      <c r="C64" s="28" t="s">
        <v>5</v>
      </c>
      <c r="D64" s="19"/>
    </row>
    <row r="65">
      <c r="A65" s="27">
        <v>45681.0</v>
      </c>
      <c r="B65" s="28" t="s">
        <v>515</v>
      </c>
      <c r="C65" s="28" t="s">
        <v>5</v>
      </c>
      <c r="D65" s="19"/>
    </row>
    <row r="66">
      <c r="A66" s="27">
        <v>45681.0</v>
      </c>
      <c r="B66" s="28" t="s">
        <v>516</v>
      </c>
      <c r="C66" s="28" t="s">
        <v>5</v>
      </c>
      <c r="D66" s="19"/>
    </row>
    <row r="67">
      <c r="A67" s="27">
        <v>45681.0</v>
      </c>
      <c r="B67" s="29" t="s">
        <v>517</v>
      </c>
      <c r="C67" s="28" t="s">
        <v>5</v>
      </c>
      <c r="D67" s="19"/>
    </row>
    <row r="68">
      <c r="A68" s="27">
        <v>45681.0</v>
      </c>
      <c r="B68" s="28" t="s">
        <v>518</v>
      </c>
      <c r="C68" s="28" t="s">
        <v>5</v>
      </c>
      <c r="D68" s="19"/>
    </row>
    <row r="69">
      <c r="A69" s="27">
        <v>45682.0</v>
      </c>
      <c r="B69" s="28" t="s">
        <v>519</v>
      </c>
      <c r="C69" s="28" t="s">
        <v>5</v>
      </c>
      <c r="D69" s="19"/>
    </row>
    <row r="70">
      <c r="A70" s="27">
        <v>45682.0</v>
      </c>
      <c r="B70" s="28" t="s">
        <v>520</v>
      </c>
      <c r="C70" s="28" t="s">
        <v>5</v>
      </c>
      <c r="D70" s="19"/>
    </row>
    <row r="71">
      <c r="A71" s="27">
        <v>45682.0</v>
      </c>
      <c r="B71" s="28" t="s">
        <v>521</v>
      </c>
      <c r="C71" s="28" t="s">
        <v>5</v>
      </c>
      <c r="D71" s="19"/>
    </row>
    <row r="72">
      <c r="A72" s="27">
        <v>45682.0</v>
      </c>
      <c r="B72" s="28" t="s">
        <v>522</v>
      </c>
      <c r="C72" s="28" t="s">
        <v>5</v>
      </c>
      <c r="D72" s="19"/>
    </row>
    <row r="73">
      <c r="A73" s="27">
        <v>45682.0</v>
      </c>
      <c r="B73" s="28" t="s">
        <v>523</v>
      </c>
      <c r="C73" s="28" t="s">
        <v>5</v>
      </c>
      <c r="D73" s="19"/>
    </row>
    <row r="74">
      <c r="A74" s="27">
        <v>45684.0</v>
      </c>
      <c r="B74" s="28" t="s">
        <v>524</v>
      </c>
      <c r="C74" s="28" t="s">
        <v>5</v>
      </c>
      <c r="D74" s="19"/>
    </row>
    <row r="75">
      <c r="A75" s="27">
        <v>45684.0</v>
      </c>
      <c r="B75" s="28" t="s">
        <v>525</v>
      </c>
      <c r="C75" s="28" t="s">
        <v>5</v>
      </c>
      <c r="D75" s="19"/>
    </row>
    <row r="76">
      <c r="A76" s="27">
        <v>45684.0</v>
      </c>
      <c r="B76" s="28" t="s">
        <v>526</v>
      </c>
      <c r="C76" s="28" t="s">
        <v>5</v>
      </c>
      <c r="D76" s="19"/>
    </row>
    <row r="77">
      <c r="A77" s="27">
        <v>45684.0</v>
      </c>
      <c r="B77" s="29" t="s">
        <v>527</v>
      </c>
      <c r="C77" s="28" t="s">
        <v>5</v>
      </c>
      <c r="D77" s="19"/>
    </row>
    <row r="78">
      <c r="A78" s="27">
        <v>45684.0</v>
      </c>
      <c r="B78" s="28" t="s">
        <v>528</v>
      </c>
      <c r="C78" s="28" t="s">
        <v>5</v>
      </c>
      <c r="D78" s="19"/>
    </row>
    <row r="79">
      <c r="A79" s="27">
        <v>45684.0</v>
      </c>
      <c r="B79" s="28" t="s">
        <v>529</v>
      </c>
      <c r="C79" s="28" t="s">
        <v>5</v>
      </c>
      <c r="D79" s="19"/>
    </row>
    <row r="80">
      <c r="A80" s="27">
        <v>45684.0</v>
      </c>
      <c r="B80" s="28" t="s">
        <v>530</v>
      </c>
      <c r="C80" s="28" t="s">
        <v>5</v>
      </c>
      <c r="D80" s="19"/>
    </row>
    <row r="81">
      <c r="A81" s="27">
        <v>45686.0</v>
      </c>
      <c r="B81" s="28" t="s">
        <v>531</v>
      </c>
      <c r="C81" s="28" t="s">
        <v>5</v>
      </c>
      <c r="D81" s="19"/>
    </row>
    <row r="82">
      <c r="A82" s="27">
        <v>45686.0</v>
      </c>
      <c r="B82" s="28" t="s">
        <v>532</v>
      </c>
      <c r="C82" s="28" t="s">
        <v>5</v>
      </c>
      <c r="D82" s="19"/>
    </row>
    <row r="83">
      <c r="A83" s="27">
        <v>45686.0</v>
      </c>
      <c r="B83" s="28" t="s">
        <v>533</v>
      </c>
      <c r="C83" s="28" t="s">
        <v>5</v>
      </c>
      <c r="D83" s="19"/>
    </row>
    <row r="84">
      <c r="A84" s="27">
        <v>45686.0</v>
      </c>
      <c r="B84" s="28" t="s">
        <v>534</v>
      </c>
      <c r="C84" s="28" t="s">
        <v>5</v>
      </c>
      <c r="D84" s="19"/>
    </row>
    <row r="85">
      <c r="A85" s="27">
        <v>45688.0</v>
      </c>
      <c r="B85" s="28" t="s">
        <v>535</v>
      </c>
      <c r="C85" s="28" t="s">
        <v>5</v>
      </c>
      <c r="D85" s="19"/>
    </row>
    <row r="86">
      <c r="A86" s="27">
        <v>45688.0</v>
      </c>
      <c r="B86" s="28" t="s">
        <v>536</v>
      </c>
      <c r="C86" s="28" t="s">
        <v>5</v>
      </c>
      <c r="D86" s="19"/>
    </row>
    <row r="87">
      <c r="A87" s="27">
        <v>45688.0</v>
      </c>
      <c r="B87" s="28" t="s">
        <v>537</v>
      </c>
      <c r="C87" s="28" t="s">
        <v>5</v>
      </c>
      <c r="D87" s="19"/>
    </row>
    <row r="88">
      <c r="A88" s="27">
        <v>45688.0</v>
      </c>
      <c r="B88" s="28" t="s">
        <v>538</v>
      </c>
      <c r="C88" s="28" t="s">
        <v>5</v>
      </c>
      <c r="D88" s="19"/>
    </row>
    <row r="89">
      <c r="A89" s="27">
        <v>45691.0</v>
      </c>
      <c r="B89" s="28" t="s">
        <v>539</v>
      </c>
      <c r="C89" s="28" t="s">
        <v>5</v>
      </c>
      <c r="D89" s="19"/>
    </row>
    <row r="90">
      <c r="A90" s="27">
        <v>45691.0</v>
      </c>
      <c r="B90" s="29" t="s">
        <v>540</v>
      </c>
      <c r="C90" s="28" t="s">
        <v>5</v>
      </c>
      <c r="D90" s="19"/>
    </row>
    <row r="91">
      <c r="A91" s="27">
        <v>45691.0</v>
      </c>
      <c r="B91" s="28" t="s">
        <v>541</v>
      </c>
      <c r="C91" s="28" t="s">
        <v>5</v>
      </c>
      <c r="D91" s="19"/>
    </row>
    <row r="92">
      <c r="A92" s="27">
        <v>45691.0</v>
      </c>
      <c r="B92" s="28" t="s">
        <v>542</v>
      </c>
      <c r="C92" s="28" t="s">
        <v>5</v>
      </c>
      <c r="D92" s="19"/>
    </row>
    <row r="93">
      <c r="A93" s="27">
        <v>45691.0</v>
      </c>
      <c r="B93" s="28" t="s">
        <v>543</v>
      </c>
      <c r="C93" s="28" t="s">
        <v>5</v>
      </c>
      <c r="D93" s="19"/>
    </row>
    <row r="94">
      <c r="A94" s="27">
        <v>45691.0</v>
      </c>
      <c r="B94" s="28" t="s">
        <v>544</v>
      </c>
      <c r="C94" s="28" t="s">
        <v>5</v>
      </c>
      <c r="D94" s="19"/>
    </row>
    <row r="95">
      <c r="A95" s="27">
        <v>45691.0</v>
      </c>
      <c r="B95" s="28" t="s">
        <v>545</v>
      </c>
      <c r="C95" s="28" t="s">
        <v>5</v>
      </c>
      <c r="D95" s="19"/>
    </row>
    <row r="96">
      <c r="A96" s="27">
        <v>45691.0</v>
      </c>
      <c r="B96" s="28" t="s">
        <v>546</v>
      </c>
      <c r="C96" s="28" t="s">
        <v>5</v>
      </c>
      <c r="D96" s="19"/>
    </row>
    <row r="97">
      <c r="A97" s="27">
        <v>45691.0</v>
      </c>
      <c r="B97" s="28" t="s">
        <v>547</v>
      </c>
      <c r="C97" s="28" t="s">
        <v>5</v>
      </c>
      <c r="D97" s="19"/>
    </row>
    <row r="98">
      <c r="A98" s="27">
        <v>45692.0</v>
      </c>
      <c r="B98" s="28" t="s">
        <v>548</v>
      </c>
      <c r="C98" s="28" t="s">
        <v>5</v>
      </c>
      <c r="D98" s="19"/>
    </row>
    <row r="99">
      <c r="A99" s="27">
        <v>45692.0</v>
      </c>
      <c r="B99" s="29" t="s">
        <v>549</v>
      </c>
      <c r="C99" s="28" t="s">
        <v>5</v>
      </c>
      <c r="D99" s="19"/>
    </row>
    <row r="100">
      <c r="A100" s="27">
        <v>45693.0</v>
      </c>
      <c r="B100" s="10" t="s">
        <v>550</v>
      </c>
      <c r="C100" s="28" t="s">
        <v>5</v>
      </c>
      <c r="D100" s="19"/>
    </row>
    <row r="101">
      <c r="A101" s="27">
        <v>45693.0</v>
      </c>
      <c r="B101" s="28" t="s">
        <v>551</v>
      </c>
      <c r="C101" s="28" t="s">
        <v>5</v>
      </c>
      <c r="D101" s="19"/>
    </row>
    <row r="102">
      <c r="A102" s="27">
        <v>45694.0</v>
      </c>
      <c r="B102" s="28" t="s">
        <v>552</v>
      </c>
      <c r="C102" s="28" t="s">
        <v>5</v>
      </c>
      <c r="D102" s="19"/>
    </row>
    <row r="103">
      <c r="A103" s="27">
        <v>45694.0</v>
      </c>
      <c r="B103" s="28" t="s">
        <v>553</v>
      </c>
      <c r="C103" s="28" t="s">
        <v>5</v>
      </c>
      <c r="D103" s="19"/>
    </row>
    <row r="104">
      <c r="A104" s="27">
        <v>45694.0</v>
      </c>
      <c r="B104" s="28" t="s">
        <v>554</v>
      </c>
      <c r="C104" s="28" t="s">
        <v>5</v>
      </c>
      <c r="D104" s="19"/>
    </row>
    <row r="105">
      <c r="A105" s="27">
        <v>45694.0</v>
      </c>
      <c r="B105" s="28" t="s">
        <v>555</v>
      </c>
      <c r="C105" s="28" t="s">
        <v>5</v>
      </c>
      <c r="D105" s="19"/>
    </row>
    <row r="106">
      <c r="A106" s="27">
        <v>45694.0</v>
      </c>
      <c r="B106" s="28" t="s">
        <v>556</v>
      </c>
      <c r="C106" s="28" t="s">
        <v>5</v>
      </c>
      <c r="D106" s="19"/>
    </row>
    <row r="107">
      <c r="A107" s="27">
        <v>45694.0</v>
      </c>
      <c r="B107" s="28" t="s">
        <v>557</v>
      </c>
      <c r="C107" s="28" t="s">
        <v>5</v>
      </c>
      <c r="D107" s="19"/>
    </row>
    <row r="108">
      <c r="A108" s="27">
        <v>45694.0</v>
      </c>
      <c r="B108" s="28" t="s">
        <v>558</v>
      </c>
      <c r="C108" s="28" t="s">
        <v>5</v>
      </c>
      <c r="D108" s="19"/>
    </row>
    <row r="109">
      <c r="A109" s="27">
        <v>45694.0</v>
      </c>
      <c r="B109" s="28" t="s">
        <v>559</v>
      </c>
      <c r="C109" s="28" t="s">
        <v>5</v>
      </c>
      <c r="D109" s="19"/>
    </row>
    <row r="110">
      <c r="A110" s="27">
        <v>45695.0</v>
      </c>
      <c r="B110" s="28" t="s">
        <v>560</v>
      </c>
      <c r="C110" s="28" t="s">
        <v>5</v>
      </c>
      <c r="D110" s="19"/>
    </row>
    <row r="111">
      <c r="A111" s="27">
        <v>45695.0</v>
      </c>
      <c r="B111" s="10" t="s">
        <v>561</v>
      </c>
      <c r="C111" s="28" t="s">
        <v>5</v>
      </c>
      <c r="D111" s="19"/>
    </row>
    <row r="112">
      <c r="A112" s="27">
        <v>45695.0</v>
      </c>
      <c r="B112" s="28" t="s">
        <v>562</v>
      </c>
      <c r="C112" s="28" t="s">
        <v>5</v>
      </c>
      <c r="D112" s="19"/>
    </row>
    <row r="113">
      <c r="A113" s="27">
        <v>45696.0</v>
      </c>
      <c r="B113" s="28" t="s">
        <v>563</v>
      </c>
      <c r="C113" s="28" t="s">
        <v>5</v>
      </c>
      <c r="D113" s="19"/>
    </row>
    <row r="114">
      <c r="A114" s="27">
        <v>45696.0</v>
      </c>
      <c r="B114" s="28" t="s">
        <v>564</v>
      </c>
      <c r="C114" s="28" t="s">
        <v>5</v>
      </c>
      <c r="D114" s="19"/>
    </row>
    <row r="115">
      <c r="A115" s="27">
        <v>45696.0</v>
      </c>
      <c r="B115" s="28" t="s">
        <v>565</v>
      </c>
      <c r="C115" s="28" t="s">
        <v>5</v>
      </c>
      <c r="D115" s="19"/>
    </row>
    <row r="116">
      <c r="A116" s="27">
        <v>45696.0</v>
      </c>
      <c r="B116" s="28" t="s">
        <v>566</v>
      </c>
      <c r="C116" s="28" t="s">
        <v>5</v>
      </c>
      <c r="D116" s="19"/>
    </row>
    <row r="117">
      <c r="A117" s="27">
        <v>45696.0</v>
      </c>
      <c r="B117" s="28" t="s">
        <v>567</v>
      </c>
      <c r="C117" s="28" t="s">
        <v>5</v>
      </c>
      <c r="D117" s="19"/>
    </row>
    <row r="118">
      <c r="A118" s="27">
        <v>45696.0</v>
      </c>
      <c r="B118" s="28" t="s">
        <v>568</v>
      </c>
      <c r="C118" s="28" t="s">
        <v>5</v>
      </c>
      <c r="D118" s="19"/>
    </row>
    <row r="119">
      <c r="A119" s="27">
        <v>45696.0</v>
      </c>
      <c r="B119" s="28" t="s">
        <v>569</v>
      </c>
      <c r="C119" s="28" t="s">
        <v>5</v>
      </c>
      <c r="D119" s="19"/>
    </row>
    <row r="120">
      <c r="A120" s="27">
        <v>45696.0</v>
      </c>
      <c r="B120" s="28" t="s">
        <v>570</v>
      </c>
      <c r="C120" s="28" t="s">
        <v>5</v>
      </c>
      <c r="D120" s="19"/>
    </row>
    <row r="121">
      <c r="A121" s="27">
        <v>45698.0</v>
      </c>
      <c r="B121" s="28" t="s">
        <v>571</v>
      </c>
      <c r="C121" s="28" t="s">
        <v>5</v>
      </c>
      <c r="D121" s="19"/>
    </row>
    <row r="122">
      <c r="A122" s="27">
        <v>45698.0</v>
      </c>
      <c r="B122" s="28" t="s">
        <v>572</v>
      </c>
      <c r="C122" s="28" t="s">
        <v>5</v>
      </c>
      <c r="D122" s="19"/>
    </row>
    <row r="123">
      <c r="A123" s="27">
        <v>45698.0</v>
      </c>
      <c r="B123" s="28" t="s">
        <v>573</v>
      </c>
      <c r="C123" s="28" t="s">
        <v>5</v>
      </c>
      <c r="D123" s="19"/>
    </row>
    <row r="124">
      <c r="A124" s="27">
        <v>45698.0</v>
      </c>
      <c r="B124" s="28" t="s">
        <v>574</v>
      </c>
      <c r="C124" s="28" t="s">
        <v>5</v>
      </c>
      <c r="D124" s="19"/>
    </row>
    <row r="125">
      <c r="A125" s="27">
        <v>45698.0</v>
      </c>
      <c r="B125" s="28" t="s">
        <v>575</v>
      </c>
      <c r="C125" s="28" t="s">
        <v>5</v>
      </c>
      <c r="D125" s="19"/>
    </row>
    <row r="126">
      <c r="A126" s="27">
        <v>45698.0</v>
      </c>
      <c r="B126" s="28" t="s">
        <v>576</v>
      </c>
      <c r="C126" s="28" t="s">
        <v>5</v>
      </c>
      <c r="D126" s="19"/>
    </row>
    <row r="127">
      <c r="A127" s="27">
        <v>45698.0</v>
      </c>
      <c r="B127" s="28" t="s">
        <v>577</v>
      </c>
      <c r="C127" s="28" t="s">
        <v>5</v>
      </c>
      <c r="D127" s="19"/>
    </row>
    <row r="128">
      <c r="A128" s="27">
        <v>45698.0</v>
      </c>
      <c r="B128" s="28" t="s">
        <v>578</v>
      </c>
      <c r="C128" s="28" t="s">
        <v>5</v>
      </c>
      <c r="D128" s="19"/>
    </row>
    <row r="129">
      <c r="A129" s="27">
        <v>45698.0</v>
      </c>
      <c r="B129" s="28" t="s">
        <v>579</v>
      </c>
      <c r="C129" s="28" t="s">
        <v>5</v>
      </c>
      <c r="D129" s="19"/>
    </row>
    <row r="130">
      <c r="A130" s="27">
        <v>45698.0</v>
      </c>
      <c r="B130" s="28" t="s">
        <v>580</v>
      </c>
      <c r="C130" s="28" t="s">
        <v>5</v>
      </c>
      <c r="D130" s="19"/>
    </row>
    <row r="131">
      <c r="A131" s="27">
        <v>45698.0</v>
      </c>
      <c r="B131" s="28" t="s">
        <v>581</v>
      </c>
      <c r="C131" s="28" t="s">
        <v>5</v>
      </c>
      <c r="D131" s="19"/>
    </row>
    <row r="132">
      <c r="A132" s="27">
        <v>45698.0</v>
      </c>
      <c r="B132" s="28" t="s">
        <v>582</v>
      </c>
      <c r="C132" s="28" t="s">
        <v>5</v>
      </c>
      <c r="D132" s="19"/>
    </row>
    <row r="133">
      <c r="A133" s="27">
        <v>45699.0</v>
      </c>
      <c r="B133" s="28" t="s">
        <v>583</v>
      </c>
      <c r="C133" s="28" t="s">
        <v>5</v>
      </c>
      <c r="D133" s="19"/>
    </row>
    <row r="134">
      <c r="A134" s="27">
        <v>45699.0</v>
      </c>
      <c r="B134" s="28" t="s">
        <v>584</v>
      </c>
      <c r="C134" s="28" t="s">
        <v>5</v>
      </c>
      <c r="D134" s="19"/>
    </row>
    <row r="135">
      <c r="A135" s="27">
        <v>45699.0</v>
      </c>
      <c r="B135" s="28" t="s">
        <v>585</v>
      </c>
      <c r="C135" s="28" t="s">
        <v>5</v>
      </c>
      <c r="D135" s="19"/>
    </row>
    <row r="136">
      <c r="A136" s="27">
        <v>45699.0</v>
      </c>
      <c r="B136" s="28" t="s">
        <v>586</v>
      </c>
      <c r="C136" s="28" t="s">
        <v>5</v>
      </c>
      <c r="D136" s="19"/>
    </row>
    <row r="137">
      <c r="A137" s="27">
        <v>45699.0</v>
      </c>
      <c r="B137" s="28" t="s">
        <v>587</v>
      </c>
      <c r="C137" s="28" t="s">
        <v>5</v>
      </c>
      <c r="D137" s="19"/>
    </row>
    <row r="138">
      <c r="A138" s="27">
        <v>45700.0</v>
      </c>
      <c r="B138" s="28" t="s">
        <v>588</v>
      </c>
      <c r="C138" s="28" t="s">
        <v>5</v>
      </c>
      <c r="D138" s="19"/>
    </row>
    <row r="139">
      <c r="A139" s="27">
        <v>45700.0</v>
      </c>
      <c r="B139" s="28" t="s">
        <v>589</v>
      </c>
      <c r="C139" s="28" t="s">
        <v>5</v>
      </c>
      <c r="D139" s="19"/>
    </row>
    <row r="140">
      <c r="A140" s="27">
        <v>45700.0</v>
      </c>
      <c r="B140" s="28" t="s">
        <v>590</v>
      </c>
      <c r="C140" s="28" t="s">
        <v>5</v>
      </c>
      <c r="D140" s="19"/>
    </row>
    <row r="141">
      <c r="A141" s="27">
        <v>45700.0</v>
      </c>
      <c r="B141" s="28" t="s">
        <v>591</v>
      </c>
      <c r="C141" s="28" t="s">
        <v>5</v>
      </c>
      <c r="D141" s="19"/>
    </row>
    <row r="142">
      <c r="A142" s="27">
        <v>45700.0</v>
      </c>
      <c r="B142" s="28" t="s">
        <v>592</v>
      </c>
      <c r="C142" s="28" t="s">
        <v>5</v>
      </c>
      <c r="D142" s="19"/>
    </row>
    <row r="143">
      <c r="A143" s="27">
        <v>45700.0</v>
      </c>
      <c r="B143" s="28" t="s">
        <v>593</v>
      </c>
      <c r="C143" s="28" t="s">
        <v>5</v>
      </c>
      <c r="D143" s="19"/>
    </row>
    <row r="144">
      <c r="A144" s="27">
        <v>45700.0</v>
      </c>
      <c r="B144" s="28" t="s">
        <v>594</v>
      </c>
      <c r="C144" s="28" t="s">
        <v>5</v>
      </c>
      <c r="D144" s="19"/>
    </row>
    <row r="145">
      <c r="A145" s="27">
        <v>45700.0</v>
      </c>
      <c r="B145" s="28" t="s">
        <v>595</v>
      </c>
      <c r="C145" s="28" t="s">
        <v>5</v>
      </c>
      <c r="D145" s="19"/>
    </row>
    <row r="146">
      <c r="A146" s="27">
        <v>45701.0</v>
      </c>
      <c r="B146" s="28" t="s">
        <v>596</v>
      </c>
      <c r="C146" s="28" t="s">
        <v>5</v>
      </c>
      <c r="D146" s="19"/>
    </row>
    <row r="147">
      <c r="A147" s="27">
        <v>45701.0</v>
      </c>
      <c r="B147" s="28" t="s">
        <v>597</v>
      </c>
      <c r="C147" s="28" t="s">
        <v>5</v>
      </c>
      <c r="D147" s="19"/>
    </row>
    <row r="148">
      <c r="A148" s="27">
        <v>45701.0</v>
      </c>
      <c r="B148" s="28" t="s">
        <v>598</v>
      </c>
      <c r="C148" s="28" t="s">
        <v>5</v>
      </c>
      <c r="D148" s="19"/>
    </row>
    <row r="149">
      <c r="A149" s="27">
        <v>45702.0</v>
      </c>
      <c r="B149" s="30" t="s">
        <v>599</v>
      </c>
      <c r="C149" s="28" t="s">
        <v>5</v>
      </c>
      <c r="D149" s="19"/>
    </row>
    <row r="150">
      <c r="A150" s="27">
        <v>45702.0</v>
      </c>
      <c r="B150" s="31" t="s">
        <v>600</v>
      </c>
      <c r="C150" s="28" t="s">
        <v>5</v>
      </c>
      <c r="D150" s="19"/>
    </row>
    <row r="151">
      <c r="A151" s="27">
        <v>45702.0</v>
      </c>
      <c r="B151" s="30" t="s">
        <v>601</v>
      </c>
      <c r="C151" s="28" t="s">
        <v>5</v>
      </c>
      <c r="D151" s="19"/>
    </row>
    <row r="152">
      <c r="A152" s="27">
        <v>45702.0</v>
      </c>
      <c r="B152" s="28" t="s">
        <v>602</v>
      </c>
      <c r="C152" s="28" t="s">
        <v>603</v>
      </c>
      <c r="D152" s="19"/>
    </row>
    <row r="153">
      <c r="A153" s="27">
        <v>45713.0</v>
      </c>
      <c r="B153" s="28" t="s">
        <v>604</v>
      </c>
      <c r="C153" s="28" t="s">
        <v>5</v>
      </c>
      <c r="D153" s="19"/>
    </row>
    <row r="154">
      <c r="A154" s="27">
        <v>45713.0</v>
      </c>
      <c r="B154" s="32" t="s">
        <v>605</v>
      </c>
      <c r="C154" s="28" t="s">
        <v>5</v>
      </c>
      <c r="D154" s="19"/>
    </row>
    <row r="155">
      <c r="A155" s="27">
        <v>45713.0</v>
      </c>
      <c r="B155" s="9" t="s">
        <v>606</v>
      </c>
      <c r="C155" s="28" t="s">
        <v>5</v>
      </c>
      <c r="D155" s="19"/>
    </row>
    <row r="156">
      <c r="A156" s="27">
        <v>45713.0</v>
      </c>
      <c r="B156" s="9" t="s">
        <v>607</v>
      </c>
      <c r="C156" s="28" t="s">
        <v>5</v>
      </c>
      <c r="D156" s="19"/>
    </row>
    <row r="157">
      <c r="A157" s="27">
        <v>45713.0</v>
      </c>
      <c r="B157" s="9" t="s">
        <v>608</v>
      </c>
      <c r="C157" s="28" t="s">
        <v>5</v>
      </c>
      <c r="D157" s="19"/>
    </row>
    <row r="158">
      <c r="A158" s="27">
        <v>45713.0</v>
      </c>
      <c r="B158" s="9" t="s">
        <v>609</v>
      </c>
      <c r="C158" s="28" t="s">
        <v>5</v>
      </c>
      <c r="D158" s="19"/>
    </row>
    <row r="159">
      <c r="A159" s="27">
        <v>45713.0</v>
      </c>
      <c r="B159" s="9" t="s">
        <v>610</v>
      </c>
      <c r="C159" s="28" t="s">
        <v>5</v>
      </c>
      <c r="D159" s="19"/>
    </row>
    <row r="160">
      <c r="A160" s="27">
        <v>45713.0</v>
      </c>
      <c r="B160" s="9" t="s">
        <v>611</v>
      </c>
      <c r="C160" s="28" t="s">
        <v>5</v>
      </c>
      <c r="D160" s="19"/>
    </row>
    <row r="161">
      <c r="A161" s="27">
        <v>45713.0</v>
      </c>
      <c r="B161" s="9" t="s">
        <v>612</v>
      </c>
      <c r="C161" s="9" t="s">
        <v>613</v>
      </c>
      <c r="D161" s="19"/>
    </row>
    <row r="162">
      <c r="A162" s="27">
        <v>45713.0</v>
      </c>
      <c r="B162" s="9" t="s">
        <v>614</v>
      </c>
      <c r="C162" s="28" t="s">
        <v>5</v>
      </c>
      <c r="D162" s="19"/>
    </row>
    <row r="163">
      <c r="A163" s="27">
        <v>45713.0</v>
      </c>
      <c r="B163" s="9" t="s">
        <v>615</v>
      </c>
      <c r="C163" s="28" t="s">
        <v>5</v>
      </c>
      <c r="D163" s="19"/>
    </row>
    <row r="164">
      <c r="A164" s="27">
        <v>45713.0</v>
      </c>
      <c r="B164" s="9" t="s">
        <v>616</v>
      </c>
      <c r="C164" s="28" t="s">
        <v>5</v>
      </c>
      <c r="D164" s="19"/>
    </row>
    <row r="165">
      <c r="A165" s="27">
        <v>45713.0</v>
      </c>
      <c r="B165" s="13" t="s">
        <v>617</v>
      </c>
      <c r="C165" s="28" t="s">
        <v>5</v>
      </c>
      <c r="D165" s="19"/>
    </row>
    <row r="166">
      <c r="A166" s="27">
        <v>45713.0</v>
      </c>
      <c r="B166" s="9" t="s">
        <v>618</v>
      </c>
      <c r="C166" s="28" t="s">
        <v>5</v>
      </c>
      <c r="D166" s="19"/>
    </row>
    <row r="167">
      <c r="A167" s="27">
        <v>45713.0</v>
      </c>
      <c r="B167" s="9" t="s">
        <v>619</v>
      </c>
      <c r="C167" s="28" t="s">
        <v>5</v>
      </c>
      <c r="D167" s="19"/>
    </row>
    <row r="168">
      <c r="A168" s="27">
        <v>45713.0</v>
      </c>
      <c r="B168" s="9" t="s">
        <v>620</v>
      </c>
      <c r="C168" s="9" t="s">
        <v>621</v>
      </c>
      <c r="D168" s="19"/>
    </row>
    <row r="169">
      <c r="A169" s="27">
        <v>45713.0</v>
      </c>
      <c r="B169" s="9" t="s">
        <v>622</v>
      </c>
      <c r="C169" s="28" t="s">
        <v>5</v>
      </c>
      <c r="D169" s="19"/>
    </row>
    <row r="170">
      <c r="A170" s="27">
        <v>45713.0</v>
      </c>
      <c r="B170" s="9" t="s">
        <v>623</v>
      </c>
      <c r="C170" s="28" t="s">
        <v>5</v>
      </c>
      <c r="D170" s="19"/>
    </row>
    <row r="171">
      <c r="A171" s="27">
        <v>45713.0</v>
      </c>
      <c r="B171" s="9" t="s">
        <v>624</v>
      </c>
      <c r="C171" s="28" t="s">
        <v>5</v>
      </c>
      <c r="D171" s="19"/>
    </row>
    <row r="172">
      <c r="A172" s="27">
        <v>45713.0</v>
      </c>
      <c r="B172" s="9" t="s">
        <v>625</v>
      </c>
      <c r="C172" s="28" t="s">
        <v>5</v>
      </c>
      <c r="D172" s="19"/>
    </row>
    <row r="173">
      <c r="A173" s="27">
        <v>45715.0</v>
      </c>
      <c r="B173" s="9" t="s">
        <v>626</v>
      </c>
      <c r="C173" s="28" t="s">
        <v>5</v>
      </c>
      <c r="D173" s="19"/>
    </row>
    <row r="174">
      <c r="A174" s="27">
        <v>45715.0</v>
      </c>
      <c r="B174" s="9" t="s">
        <v>627</v>
      </c>
      <c r="C174" s="28" t="s">
        <v>5</v>
      </c>
      <c r="D174" s="19"/>
    </row>
    <row r="175">
      <c r="A175" s="27">
        <v>45715.0</v>
      </c>
      <c r="B175" s="9" t="s">
        <v>628</v>
      </c>
      <c r="C175" s="28" t="s">
        <v>5</v>
      </c>
      <c r="D175" s="19"/>
    </row>
    <row r="176">
      <c r="A176" s="27">
        <v>45715.0</v>
      </c>
      <c r="B176" s="9" t="s">
        <v>629</v>
      </c>
      <c r="C176" s="28" t="s">
        <v>5</v>
      </c>
      <c r="D176" s="19"/>
    </row>
    <row r="177">
      <c r="A177" s="27">
        <v>45715.0</v>
      </c>
      <c r="B177" s="9" t="s">
        <v>630</v>
      </c>
      <c r="C177" s="28" t="s">
        <v>5</v>
      </c>
      <c r="D177" s="19"/>
    </row>
    <row r="178">
      <c r="A178" s="27">
        <v>45715.0</v>
      </c>
      <c r="B178" s="9" t="s">
        <v>631</v>
      </c>
      <c r="C178" s="28" t="s">
        <v>5</v>
      </c>
      <c r="D178" s="19"/>
    </row>
    <row r="179">
      <c r="A179" s="27">
        <v>45715.0</v>
      </c>
      <c r="B179" s="9" t="s">
        <v>632</v>
      </c>
      <c r="C179" s="9" t="s">
        <v>633</v>
      </c>
      <c r="D179" s="19"/>
    </row>
    <row r="180">
      <c r="A180" s="27">
        <v>45715.0</v>
      </c>
      <c r="B180" s="9" t="s">
        <v>634</v>
      </c>
      <c r="C180" s="28" t="s">
        <v>5</v>
      </c>
      <c r="D180" s="19"/>
    </row>
    <row r="181">
      <c r="A181" s="27">
        <v>45716.0</v>
      </c>
      <c r="B181" s="9" t="s">
        <v>635</v>
      </c>
      <c r="C181" s="28" t="s">
        <v>5</v>
      </c>
      <c r="D181" s="19"/>
    </row>
    <row r="182">
      <c r="A182" s="27">
        <v>45716.0</v>
      </c>
      <c r="B182" s="9" t="s">
        <v>636</v>
      </c>
      <c r="C182" s="28" t="s">
        <v>5</v>
      </c>
      <c r="D182" s="19"/>
    </row>
    <row r="183">
      <c r="A183" s="27">
        <v>45717.0</v>
      </c>
      <c r="B183" s="9" t="s">
        <v>637</v>
      </c>
      <c r="C183" s="28" t="s">
        <v>5</v>
      </c>
      <c r="D183" s="19"/>
    </row>
    <row r="184">
      <c r="A184" s="27">
        <v>45717.0</v>
      </c>
      <c r="B184" s="9" t="s">
        <v>638</v>
      </c>
      <c r="C184" s="28" t="s">
        <v>5</v>
      </c>
      <c r="D184" s="19"/>
    </row>
    <row r="185">
      <c r="A185" s="27">
        <v>45719.0</v>
      </c>
      <c r="B185" s="33" t="s">
        <v>179</v>
      </c>
      <c r="C185" s="6" t="s">
        <v>23</v>
      </c>
      <c r="D185" s="19"/>
    </row>
    <row r="186">
      <c r="A186" s="27">
        <v>45719.0</v>
      </c>
      <c r="B186" s="9" t="s">
        <v>181</v>
      </c>
      <c r="C186" s="6" t="s">
        <v>23</v>
      </c>
      <c r="D186" s="19"/>
    </row>
    <row r="187">
      <c r="A187" s="27">
        <v>45719.0</v>
      </c>
      <c r="B187" s="9" t="s">
        <v>639</v>
      </c>
      <c r="C187" s="28" t="s">
        <v>5</v>
      </c>
      <c r="D187" s="19"/>
    </row>
    <row r="188">
      <c r="A188" s="27">
        <v>45719.0</v>
      </c>
      <c r="B188" s="34" t="s">
        <v>640</v>
      </c>
      <c r="C188" s="28" t="s">
        <v>5</v>
      </c>
      <c r="D188" s="19"/>
    </row>
    <row r="189">
      <c r="A189" s="27">
        <v>45719.0</v>
      </c>
      <c r="B189" s="9" t="s">
        <v>641</v>
      </c>
      <c r="C189" s="28" t="s">
        <v>5</v>
      </c>
      <c r="D189" s="19"/>
    </row>
    <row r="190">
      <c r="A190" s="27">
        <v>45719.0</v>
      </c>
      <c r="B190" s="9" t="s">
        <v>642</v>
      </c>
      <c r="C190" s="28" t="s">
        <v>5</v>
      </c>
      <c r="D190" s="19"/>
    </row>
    <row r="191">
      <c r="A191" s="27">
        <v>45719.0</v>
      </c>
      <c r="B191" s="9" t="s">
        <v>643</v>
      </c>
      <c r="C191" s="28" t="s">
        <v>5</v>
      </c>
      <c r="D191" s="19"/>
    </row>
    <row r="192">
      <c r="A192" s="27">
        <v>45719.0</v>
      </c>
      <c r="B192" s="9" t="s">
        <v>644</v>
      </c>
      <c r="C192" s="28" t="s">
        <v>5</v>
      </c>
      <c r="D192" s="19"/>
    </row>
    <row r="193">
      <c r="A193" s="27">
        <v>45719.0</v>
      </c>
      <c r="B193" s="34" t="s">
        <v>645</v>
      </c>
      <c r="C193" s="28" t="s">
        <v>5</v>
      </c>
      <c r="D193" s="19"/>
    </row>
    <row r="194">
      <c r="A194" s="27">
        <v>45719.0</v>
      </c>
      <c r="B194" s="9" t="s">
        <v>646</v>
      </c>
      <c r="C194" s="6" t="s">
        <v>23</v>
      </c>
      <c r="D194" s="19"/>
    </row>
    <row r="195">
      <c r="A195" s="27">
        <v>45719.0</v>
      </c>
      <c r="B195" s="9" t="s">
        <v>647</v>
      </c>
      <c r="C195" s="28" t="s">
        <v>5</v>
      </c>
      <c r="D195" s="19"/>
    </row>
    <row r="196">
      <c r="A196" s="27">
        <v>45721.0</v>
      </c>
      <c r="B196" s="9" t="s">
        <v>648</v>
      </c>
      <c r="C196" s="28" t="s">
        <v>5</v>
      </c>
      <c r="D196" s="19"/>
    </row>
    <row r="197">
      <c r="A197" s="27">
        <v>45721.0</v>
      </c>
      <c r="B197" s="9" t="s">
        <v>649</v>
      </c>
      <c r="C197" s="28" t="s">
        <v>5</v>
      </c>
      <c r="D197" s="19"/>
    </row>
    <row r="198">
      <c r="A198" s="27">
        <v>45721.0</v>
      </c>
      <c r="B198" s="9" t="s">
        <v>650</v>
      </c>
      <c r="C198" s="28" t="s">
        <v>5</v>
      </c>
      <c r="D198" s="19"/>
    </row>
    <row r="199">
      <c r="A199" s="27">
        <v>45722.0</v>
      </c>
      <c r="B199" s="9" t="s">
        <v>651</v>
      </c>
      <c r="C199" s="28" t="s">
        <v>5</v>
      </c>
      <c r="D199" s="19"/>
    </row>
    <row r="200">
      <c r="A200" s="27">
        <v>45722.0</v>
      </c>
      <c r="B200" s="9" t="s">
        <v>652</v>
      </c>
      <c r="C200" s="28" t="s">
        <v>5</v>
      </c>
      <c r="D200" s="19"/>
    </row>
    <row r="201">
      <c r="A201" s="27">
        <v>45722.0</v>
      </c>
      <c r="B201" s="9" t="s">
        <v>653</v>
      </c>
      <c r="C201" s="28" t="s">
        <v>5</v>
      </c>
      <c r="D201" s="19"/>
    </row>
    <row r="202">
      <c r="A202" s="27">
        <v>45722.0</v>
      </c>
      <c r="B202" s="9" t="s">
        <v>654</v>
      </c>
      <c r="C202" s="28" t="s">
        <v>5</v>
      </c>
      <c r="D202" s="19"/>
    </row>
    <row r="203">
      <c r="A203" s="27">
        <v>45722.0</v>
      </c>
      <c r="B203" s="9" t="s">
        <v>655</v>
      </c>
      <c r="C203" s="28" t="s">
        <v>5</v>
      </c>
      <c r="D203" s="19"/>
    </row>
    <row r="204">
      <c r="A204" s="27">
        <v>45722.0</v>
      </c>
      <c r="B204" s="9" t="s">
        <v>656</v>
      </c>
      <c r="C204" s="28" t="s">
        <v>5</v>
      </c>
      <c r="D204" s="19"/>
    </row>
    <row r="205">
      <c r="A205" s="27">
        <v>45723.0</v>
      </c>
      <c r="B205" s="9" t="s">
        <v>657</v>
      </c>
      <c r="C205" s="28" t="s">
        <v>5</v>
      </c>
      <c r="D205" s="19"/>
    </row>
    <row r="206">
      <c r="A206" s="27">
        <v>45723.0</v>
      </c>
      <c r="B206" s="9" t="s">
        <v>658</v>
      </c>
      <c r="C206" s="28" t="s">
        <v>5</v>
      </c>
      <c r="D206" s="19"/>
    </row>
    <row r="207">
      <c r="A207" s="27">
        <v>45723.0</v>
      </c>
      <c r="B207" s="13" t="s">
        <v>659</v>
      </c>
      <c r="C207" s="28" t="s">
        <v>5</v>
      </c>
      <c r="D207" s="19"/>
    </row>
    <row r="208">
      <c r="A208" s="27">
        <v>45724.0</v>
      </c>
      <c r="B208" s="9" t="s">
        <v>660</v>
      </c>
      <c r="C208" s="28" t="s">
        <v>5</v>
      </c>
      <c r="D208" s="19"/>
    </row>
    <row r="209">
      <c r="A209" s="27">
        <v>45724.0</v>
      </c>
      <c r="B209" s="9" t="s">
        <v>661</v>
      </c>
      <c r="C209" s="28" t="s">
        <v>5</v>
      </c>
      <c r="D209" s="19"/>
    </row>
    <row r="210">
      <c r="A210" s="27">
        <v>45724.0</v>
      </c>
      <c r="B210" s="9" t="s">
        <v>662</v>
      </c>
      <c r="C210" s="28" t="s">
        <v>5</v>
      </c>
      <c r="D210" s="19"/>
    </row>
    <row r="211">
      <c r="A211" s="27">
        <v>45724.0</v>
      </c>
      <c r="B211" s="9" t="s">
        <v>663</v>
      </c>
      <c r="C211" s="28" t="s">
        <v>5</v>
      </c>
      <c r="D211" s="19"/>
    </row>
    <row r="212">
      <c r="A212" s="27">
        <v>45724.0</v>
      </c>
      <c r="B212" s="9" t="s">
        <v>664</v>
      </c>
      <c r="C212" s="28" t="s">
        <v>5</v>
      </c>
      <c r="D212" s="19"/>
    </row>
    <row r="213">
      <c r="A213" s="27">
        <v>45724.0</v>
      </c>
      <c r="B213" s="9" t="s">
        <v>665</v>
      </c>
      <c r="C213" s="6" t="s">
        <v>23</v>
      </c>
      <c r="D213" s="19"/>
    </row>
    <row r="214">
      <c r="A214" s="27">
        <v>45727.0</v>
      </c>
      <c r="B214" s="9" t="s">
        <v>666</v>
      </c>
      <c r="C214" s="28" t="s">
        <v>5</v>
      </c>
      <c r="D214" s="19"/>
    </row>
    <row r="215">
      <c r="A215" s="27">
        <v>45727.0</v>
      </c>
      <c r="B215" s="9" t="s">
        <v>667</v>
      </c>
      <c r="C215" s="28" t="s">
        <v>5</v>
      </c>
      <c r="D215" s="19"/>
    </row>
    <row r="216">
      <c r="A216" s="27">
        <v>45727.0</v>
      </c>
      <c r="B216" s="9" t="s">
        <v>668</v>
      </c>
      <c r="C216" s="28" t="s">
        <v>5</v>
      </c>
      <c r="D216" s="19"/>
    </row>
    <row r="217">
      <c r="A217" s="27">
        <v>45727.0</v>
      </c>
      <c r="B217" s="9" t="s">
        <v>669</v>
      </c>
      <c r="C217" s="28" t="s">
        <v>5</v>
      </c>
      <c r="D217" s="19"/>
    </row>
    <row r="218">
      <c r="A218" s="27">
        <v>45727.0</v>
      </c>
      <c r="B218" s="9" t="s">
        <v>670</v>
      </c>
      <c r="C218" s="28" t="s">
        <v>5</v>
      </c>
      <c r="D218" s="19"/>
    </row>
    <row r="219">
      <c r="A219" s="27">
        <v>45727.0</v>
      </c>
      <c r="B219" s="9" t="s">
        <v>671</v>
      </c>
      <c r="C219" s="28" t="s">
        <v>5</v>
      </c>
      <c r="D219" s="19"/>
    </row>
    <row r="220">
      <c r="A220" s="27">
        <v>45727.0</v>
      </c>
      <c r="B220" s="9" t="s">
        <v>672</v>
      </c>
      <c r="C220" s="28" t="s">
        <v>5</v>
      </c>
      <c r="D220" s="19"/>
    </row>
    <row r="221">
      <c r="A221" s="27">
        <v>45727.0</v>
      </c>
      <c r="B221" s="9" t="s">
        <v>673</v>
      </c>
      <c r="C221" s="28" t="s">
        <v>5</v>
      </c>
      <c r="D221" s="19"/>
    </row>
    <row r="222">
      <c r="A222" s="27">
        <v>45727.0</v>
      </c>
      <c r="B222" s="9" t="s">
        <v>674</v>
      </c>
      <c r="C222" s="28" t="s">
        <v>5</v>
      </c>
      <c r="D222" s="19"/>
    </row>
    <row r="223">
      <c r="A223" s="27">
        <v>45727.0</v>
      </c>
      <c r="B223" s="9" t="s">
        <v>675</v>
      </c>
      <c r="C223" s="28" t="s">
        <v>5</v>
      </c>
      <c r="D223" s="19"/>
    </row>
    <row r="224">
      <c r="A224" s="27">
        <v>45729.0</v>
      </c>
      <c r="B224" s="9" t="s">
        <v>676</v>
      </c>
      <c r="C224" s="28" t="s">
        <v>5</v>
      </c>
      <c r="D224" s="19"/>
    </row>
    <row r="225">
      <c r="A225" s="27">
        <v>45729.0</v>
      </c>
      <c r="B225" s="13" t="s">
        <v>677</v>
      </c>
      <c r="C225" s="28" t="s">
        <v>5</v>
      </c>
      <c r="D225" s="19"/>
    </row>
    <row r="226">
      <c r="A226" s="27">
        <v>45729.0</v>
      </c>
      <c r="B226" s="9" t="s">
        <v>678</v>
      </c>
      <c r="C226" s="28" t="s">
        <v>5</v>
      </c>
      <c r="D226" s="19"/>
    </row>
    <row r="227">
      <c r="A227" s="27">
        <v>45729.0</v>
      </c>
      <c r="B227" s="13" t="s">
        <v>679</v>
      </c>
      <c r="C227" s="28" t="s">
        <v>5</v>
      </c>
      <c r="D227" s="19"/>
    </row>
    <row r="228">
      <c r="A228" s="27">
        <v>45731.0</v>
      </c>
      <c r="B228" s="9" t="s">
        <v>680</v>
      </c>
      <c r="C228" s="28" t="s">
        <v>5</v>
      </c>
      <c r="D228" s="19"/>
    </row>
    <row r="229">
      <c r="A229" s="27">
        <v>45731.0</v>
      </c>
      <c r="B229" s="13" t="s">
        <v>681</v>
      </c>
      <c r="C229" s="28" t="s">
        <v>5</v>
      </c>
      <c r="D229" s="19"/>
    </row>
    <row r="230">
      <c r="A230" s="27">
        <v>45731.0</v>
      </c>
      <c r="B230" s="9" t="s">
        <v>682</v>
      </c>
      <c r="C230" s="28" t="s">
        <v>5</v>
      </c>
      <c r="D230" s="19"/>
    </row>
    <row r="231">
      <c r="A231" s="27">
        <v>45733.0</v>
      </c>
      <c r="B231" s="9" t="s">
        <v>683</v>
      </c>
      <c r="C231" s="28" t="s">
        <v>5</v>
      </c>
      <c r="D231" s="19"/>
    </row>
    <row r="232">
      <c r="A232" s="27">
        <v>45733.0</v>
      </c>
      <c r="B232" s="9" t="s">
        <v>183</v>
      </c>
      <c r="C232" s="6" t="s">
        <v>23</v>
      </c>
      <c r="D232" s="19"/>
    </row>
    <row r="233">
      <c r="A233" s="27">
        <v>45733.0</v>
      </c>
      <c r="B233" s="9" t="s">
        <v>684</v>
      </c>
      <c r="C233" s="28" t="s">
        <v>5</v>
      </c>
      <c r="D233" s="19"/>
    </row>
    <row r="234">
      <c r="A234" s="27">
        <v>45733.0</v>
      </c>
      <c r="B234" s="9" t="s">
        <v>685</v>
      </c>
      <c r="C234" s="28" t="s">
        <v>5</v>
      </c>
      <c r="D234" s="19"/>
    </row>
    <row r="235">
      <c r="A235" s="27">
        <v>45733.0</v>
      </c>
      <c r="B235" s="9" t="s">
        <v>686</v>
      </c>
      <c r="C235" s="28" t="s">
        <v>5</v>
      </c>
      <c r="D235" s="19"/>
    </row>
    <row r="236">
      <c r="A236" s="27">
        <v>45733.0</v>
      </c>
      <c r="B236" s="9" t="s">
        <v>687</v>
      </c>
      <c r="C236" s="28" t="s">
        <v>5</v>
      </c>
      <c r="D236" s="19"/>
    </row>
    <row r="237">
      <c r="A237" s="27">
        <v>45733.0</v>
      </c>
      <c r="B237" s="9" t="s">
        <v>688</v>
      </c>
      <c r="C237" s="28" t="s">
        <v>5</v>
      </c>
      <c r="D237" s="19"/>
    </row>
    <row r="238">
      <c r="A238" s="27">
        <v>45734.0</v>
      </c>
      <c r="B238" s="9" t="s">
        <v>185</v>
      </c>
      <c r="C238" s="6" t="s">
        <v>23</v>
      </c>
      <c r="D238" s="19"/>
    </row>
    <row r="239">
      <c r="A239" s="27">
        <v>45734.0</v>
      </c>
      <c r="B239" s="13" t="s">
        <v>689</v>
      </c>
      <c r="C239" s="28" t="s">
        <v>5</v>
      </c>
      <c r="D239" s="19"/>
    </row>
    <row r="240">
      <c r="A240" s="27">
        <v>45734.0</v>
      </c>
      <c r="B240" s="9" t="s">
        <v>690</v>
      </c>
      <c r="C240" s="28" t="s">
        <v>5</v>
      </c>
      <c r="D240" s="19"/>
    </row>
    <row r="241">
      <c r="A241" s="27">
        <v>45734.0</v>
      </c>
      <c r="B241" s="9" t="s">
        <v>691</v>
      </c>
      <c r="C241" s="28" t="s">
        <v>5</v>
      </c>
      <c r="D241" s="19"/>
    </row>
    <row r="242">
      <c r="A242" s="27">
        <v>45734.0</v>
      </c>
      <c r="B242" s="9" t="s">
        <v>692</v>
      </c>
      <c r="C242" s="28" t="s">
        <v>5</v>
      </c>
      <c r="D242" s="19"/>
    </row>
    <row r="243">
      <c r="A243" s="27">
        <v>45734.0</v>
      </c>
      <c r="B243" s="9" t="s">
        <v>693</v>
      </c>
      <c r="C243" s="28" t="s">
        <v>5</v>
      </c>
      <c r="D243" s="19"/>
    </row>
    <row r="244">
      <c r="A244" s="27">
        <v>45734.0</v>
      </c>
      <c r="B244" s="9" t="s">
        <v>694</v>
      </c>
      <c r="C244" s="28" t="s">
        <v>5</v>
      </c>
      <c r="D244" s="19"/>
    </row>
    <row r="245">
      <c r="A245" s="27">
        <v>45734.0</v>
      </c>
      <c r="B245" s="35" t="s">
        <v>695</v>
      </c>
      <c r="C245" s="28" t="s">
        <v>5</v>
      </c>
      <c r="D245" s="19"/>
    </row>
    <row r="246">
      <c r="A246" s="27">
        <v>45735.0</v>
      </c>
      <c r="B246" s="9" t="s">
        <v>696</v>
      </c>
      <c r="C246" s="28" t="s">
        <v>5</v>
      </c>
      <c r="D246" s="19"/>
    </row>
    <row r="247">
      <c r="A247" s="27">
        <v>45735.0</v>
      </c>
      <c r="B247" s="9" t="s">
        <v>697</v>
      </c>
      <c r="C247" s="28" t="s">
        <v>5</v>
      </c>
      <c r="D247" s="19"/>
    </row>
    <row r="248">
      <c r="A248" s="27">
        <v>45735.0</v>
      </c>
      <c r="B248" s="9" t="s">
        <v>698</v>
      </c>
      <c r="C248" s="28" t="s">
        <v>5</v>
      </c>
      <c r="D248" s="19"/>
    </row>
    <row r="249">
      <c r="A249" s="27">
        <v>45735.0</v>
      </c>
      <c r="B249" s="9" t="s">
        <v>699</v>
      </c>
      <c r="C249" s="28" t="s">
        <v>5</v>
      </c>
      <c r="D249" s="19"/>
    </row>
    <row r="250">
      <c r="A250" s="27">
        <v>45736.0</v>
      </c>
      <c r="B250" s="9" t="s">
        <v>187</v>
      </c>
      <c r="C250" s="6" t="s">
        <v>23</v>
      </c>
      <c r="D250" s="19"/>
    </row>
    <row r="251">
      <c r="A251" s="27">
        <v>45736.0</v>
      </c>
      <c r="B251" s="9" t="s">
        <v>700</v>
      </c>
      <c r="C251" s="28" t="s">
        <v>5</v>
      </c>
      <c r="D251" s="19"/>
    </row>
    <row r="252">
      <c r="A252" s="27">
        <v>45737.0</v>
      </c>
      <c r="B252" s="9" t="s">
        <v>701</v>
      </c>
      <c r="C252" s="28" t="s">
        <v>5</v>
      </c>
      <c r="D252" s="19"/>
    </row>
    <row r="253">
      <c r="A253" s="27">
        <v>45737.0</v>
      </c>
      <c r="B253" s="9" t="s">
        <v>702</v>
      </c>
      <c r="C253" s="28" t="s">
        <v>5</v>
      </c>
      <c r="D253" s="19"/>
    </row>
    <row r="254">
      <c r="A254" s="27">
        <v>45737.0</v>
      </c>
      <c r="B254" s="9" t="s">
        <v>703</v>
      </c>
      <c r="C254" s="28" t="s">
        <v>5</v>
      </c>
      <c r="D254" s="19"/>
    </row>
    <row r="255">
      <c r="A255" s="27">
        <v>45737.0</v>
      </c>
      <c r="B255" s="9" t="s">
        <v>704</v>
      </c>
      <c r="C255" s="28" t="s">
        <v>5</v>
      </c>
      <c r="D255" s="19"/>
    </row>
    <row r="256">
      <c r="A256" s="27">
        <v>45737.0</v>
      </c>
      <c r="B256" s="9" t="s">
        <v>188</v>
      </c>
      <c r="C256" s="6" t="s">
        <v>23</v>
      </c>
      <c r="D256" s="19"/>
    </row>
    <row r="257">
      <c r="A257" s="27">
        <v>45738.0</v>
      </c>
      <c r="B257" s="9" t="s">
        <v>705</v>
      </c>
      <c r="C257" s="28" t="s">
        <v>5</v>
      </c>
      <c r="D257" s="19"/>
    </row>
    <row r="258">
      <c r="A258" s="27">
        <v>45738.0</v>
      </c>
      <c r="B258" s="9" t="s">
        <v>706</v>
      </c>
      <c r="C258" s="28" t="s">
        <v>5</v>
      </c>
      <c r="D258" s="19"/>
    </row>
    <row r="259">
      <c r="A259" s="27">
        <v>45738.0</v>
      </c>
      <c r="B259" s="9" t="s">
        <v>707</v>
      </c>
      <c r="C259" s="28" t="s">
        <v>5</v>
      </c>
      <c r="D259" s="19"/>
    </row>
    <row r="260">
      <c r="A260" s="27">
        <v>45738.0</v>
      </c>
      <c r="B260" s="9" t="s">
        <v>189</v>
      </c>
      <c r="C260" s="6" t="s">
        <v>23</v>
      </c>
      <c r="D260" s="19"/>
    </row>
    <row r="261">
      <c r="A261" s="27">
        <v>45740.0</v>
      </c>
      <c r="B261" s="9" t="s">
        <v>708</v>
      </c>
      <c r="C261" s="28" t="s">
        <v>5</v>
      </c>
      <c r="D261" s="19"/>
    </row>
    <row r="262">
      <c r="A262" s="27">
        <v>45740.0</v>
      </c>
      <c r="B262" s="9" t="s">
        <v>709</v>
      </c>
      <c r="C262" s="28" t="s">
        <v>5</v>
      </c>
      <c r="D262" s="19"/>
    </row>
    <row r="263">
      <c r="A263" s="27">
        <v>45740.0</v>
      </c>
      <c r="B263" s="9" t="s">
        <v>710</v>
      </c>
      <c r="C263" s="28" t="s">
        <v>5</v>
      </c>
      <c r="D263" s="19"/>
    </row>
    <row r="264">
      <c r="A264" s="27">
        <v>45740.0</v>
      </c>
      <c r="B264" s="13" t="s">
        <v>711</v>
      </c>
      <c r="C264" s="28" t="s">
        <v>5</v>
      </c>
      <c r="D264" s="19"/>
    </row>
    <row r="265">
      <c r="A265" s="27">
        <v>45740.0</v>
      </c>
      <c r="B265" s="9" t="s">
        <v>712</v>
      </c>
      <c r="C265" s="28" t="s">
        <v>5</v>
      </c>
      <c r="D265" s="19"/>
    </row>
    <row r="266">
      <c r="A266" s="27">
        <v>45740.0</v>
      </c>
      <c r="B266" s="13" t="s">
        <v>713</v>
      </c>
      <c r="C266" s="28" t="s">
        <v>5</v>
      </c>
      <c r="D266" s="19"/>
    </row>
    <row r="267">
      <c r="A267" s="27">
        <v>45740.0</v>
      </c>
      <c r="B267" s="9" t="s">
        <v>714</v>
      </c>
      <c r="C267" s="28" t="s">
        <v>5</v>
      </c>
      <c r="D267" s="19"/>
    </row>
    <row r="268">
      <c r="A268" s="27">
        <v>45740.0</v>
      </c>
      <c r="B268" s="13" t="s">
        <v>715</v>
      </c>
      <c r="C268" s="28" t="s">
        <v>5</v>
      </c>
      <c r="D268" s="19"/>
    </row>
    <row r="269">
      <c r="A269" s="27">
        <v>45740.0</v>
      </c>
      <c r="B269" s="9" t="s">
        <v>716</v>
      </c>
      <c r="C269" s="28" t="s">
        <v>5</v>
      </c>
      <c r="D269" s="19"/>
    </row>
    <row r="270">
      <c r="A270" s="27">
        <v>45741.0</v>
      </c>
      <c r="B270" s="9" t="s">
        <v>717</v>
      </c>
      <c r="C270" s="28" t="s">
        <v>5</v>
      </c>
      <c r="D270" s="19"/>
    </row>
    <row r="271">
      <c r="A271" s="27">
        <v>45741.0</v>
      </c>
      <c r="B271" s="9" t="s">
        <v>718</v>
      </c>
      <c r="C271" s="28" t="s">
        <v>5</v>
      </c>
      <c r="D271" s="19"/>
    </row>
    <row r="272">
      <c r="A272" s="27">
        <v>45741.0</v>
      </c>
      <c r="B272" s="9" t="s">
        <v>719</v>
      </c>
      <c r="C272" s="28" t="s">
        <v>5</v>
      </c>
      <c r="D272" s="19"/>
    </row>
    <row r="273">
      <c r="A273" s="27">
        <v>45741.0</v>
      </c>
      <c r="B273" s="9" t="s">
        <v>720</v>
      </c>
      <c r="C273" s="28" t="s">
        <v>5</v>
      </c>
      <c r="D273" s="19"/>
    </row>
    <row r="274">
      <c r="A274" s="27">
        <v>45742.0</v>
      </c>
      <c r="B274" s="9" t="s">
        <v>190</v>
      </c>
      <c r="C274" s="10" t="s">
        <v>191</v>
      </c>
      <c r="D274" s="19"/>
    </row>
    <row r="275">
      <c r="A275" s="27">
        <v>45742.0</v>
      </c>
      <c r="B275" s="9" t="s">
        <v>721</v>
      </c>
      <c r="C275" s="28" t="s">
        <v>5</v>
      </c>
      <c r="D275" s="19"/>
    </row>
    <row r="276">
      <c r="A276" s="27">
        <v>45742.0</v>
      </c>
      <c r="B276" s="9" t="s">
        <v>722</v>
      </c>
      <c r="C276" s="28" t="s">
        <v>5</v>
      </c>
      <c r="D276" s="19"/>
    </row>
    <row r="277">
      <c r="A277" s="27">
        <v>45742.0</v>
      </c>
      <c r="B277" s="9" t="s">
        <v>723</v>
      </c>
      <c r="C277" s="28" t="s">
        <v>5</v>
      </c>
      <c r="D277" s="19"/>
    </row>
    <row r="278">
      <c r="A278" s="27">
        <v>45743.0</v>
      </c>
      <c r="B278" s="9" t="s">
        <v>724</v>
      </c>
      <c r="C278" s="28" t="s">
        <v>5</v>
      </c>
      <c r="D278" s="19"/>
    </row>
    <row r="279">
      <c r="A279" s="27">
        <v>45743.0</v>
      </c>
      <c r="B279" s="9" t="s">
        <v>725</v>
      </c>
      <c r="C279" s="28" t="s">
        <v>5</v>
      </c>
      <c r="D279" s="19"/>
    </row>
    <row r="280">
      <c r="A280" s="27">
        <v>45743.0</v>
      </c>
      <c r="B280" s="9" t="s">
        <v>726</v>
      </c>
      <c r="C280" s="28" t="s">
        <v>5</v>
      </c>
      <c r="D280" s="19"/>
    </row>
    <row r="281">
      <c r="A281" s="27">
        <v>45743.0</v>
      </c>
      <c r="B281" s="9" t="s">
        <v>727</v>
      </c>
      <c r="C281" s="28" t="s">
        <v>5</v>
      </c>
      <c r="D281" s="19"/>
    </row>
    <row r="282">
      <c r="A282" s="27">
        <v>45744.0</v>
      </c>
      <c r="B282" s="9" t="s">
        <v>728</v>
      </c>
      <c r="C282" s="28" t="s">
        <v>5</v>
      </c>
      <c r="D282" s="19"/>
    </row>
    <row r="283">
      <c r="A283" s="27">
        <v>45744.0</v>
      </c>
      <c r="B283" s="9" t="s">
        <v>729</v>
      </c>
      <c r="C283" s="28" t="s">
        <v>5</v>
      </c>
      <c r="D283" s="19"/>
    </row>
    <row r="284">
      <c r="A284" s="27">
        <v>45744.0</v>
      </c>
      <c r="B284" s="9" t="s">
        <v>730</v>
      </c>
      <c r="C284" s="28" t="s">
        <v>5</v>
      </c>
      <c r="D284" s="19"/>
    </row>
    <row r="285">
      <c r="A285" s="27">
        <v>45745.0</v>
      </c>
      <c r="B285" s="9" t="s">
        <v>731</v>
      </c>
      <c r="C285" s="28" t="s">
        <v>5</v>
      </c>
      <c r="D285" s="19"/>
    </row>
    <row r="286">
      <c r="A286" s="27">
        <v>45745.0</v>
      </c>
      <c r="B286" s="9" t="s">
        <v>732</v>
      </c>
      <c r="C286" s="28" t="s">
        <v>5</v>
      </c>
      <c r="D286" s="19"/>
    </row>
    <row r="287">
      <c r="A287" s="27">
        <v>45745.0</v>
      </c>
      <c r="B287" s="9" t="s">
        <v>733</v>
      </c>
      <c r="C287" s="28" t="s">
        <v>5</v>
      </c>
      <c r="D287" s="19"/>
    </row>
    <row r="288">
      <c r="A288" s="27">
        <v>45747.0</v>
      </c>
      <c r="B288" s="9" t="s">
        <v>193</v>
      </c>
      <c r="C288" s="10" t="s">
        <v>23</v>
      </c>
      <c r="D288" s="19"/>
    </row>
    <row r="289">
      <c r="A289" s="27">
        <v>45747.0</v>
      </c>
      <c r="B289" s="9" t="s">
        <v>734</v>
      </c>
      <c r="C289" s="28" t="s">
        <v>5</v>
      </c>
      <c r="D289" s="19"/>
    </row>
    <row r="290">
      <c r="A290" s="27">
        <v>45747.0</v>
      </c>
      <c r="B290" s="9" t="s">
        <v>735</v>
      </c>
      <c r="C290" s="28" t="s">
        <v>5</v>
      </c>
      <c r="D290" s="19"/>
    </row>
    <row r="291">
      <c r="A291" s="27">
        <v>45747.0</v>
      </c>
      <c r="B291" s="9" t="s">
        <v>736</v>
      </c>
      <c r="C291" s="28" t="s">
        <v>5</v>
      </c>
      <c r="D291" s="19"/>
    </row>
    <row r="292">
      <c r="A292" s="27">
        <v>45748.0</v>
      </c>
      <c r="B292" s="9" t="s">
        <v>737</v>
      </c>
      <c r="C292" s="28" t="s">
        <v>5</v>
      </c>
      <c r="D292" s="19"/>
    </row>
    <row r="293">
      <c r="A293" s="27">
        <v>45748.0</v>
      </c>
      <c r="B293" s="9" t="s">
        <v>738</v>
      </c>
      <c r="C293" s="28" t="s">
        <v>5</v>
      </c>
      <c r="D293" s="19"/>
    </row>
    <row r="294">
      <c r="A294" s="27">
        <v>45748.0</v>
      </c>
      <c r="B294" s="9" t="s">
        <v>739</v>
      </c>
      <c r="C294" s="28" t="s">
        <v>5</v>
      </c>
      <c r="D294" s="19"/>
    </row>
    <row r="295">
      <c r="A295" s="27">
        <v>45748.0</v>
      </c>
      <c r="B295" s="9" t="s">
        <v>740</v>
      </c>
      <c r="C295" s="28" t="s">
        <v>5</v>
      </c>
      <c r="D295" s="19"/>
    </row>
    <row r="296">
      <c r="A296" s="27">
        <v>45748.0</v>
      </c>
      <c r="B296" s="9" t="s">
        <v>741</v>
      </c>
      <c r="C296" s="28" t="s">
        <v>5</v>
      </c>
      <c r="D296" s="19"/>
    </row>
    <row r="297">
      <c r="A297" s="27">
        <v>45748.0</v>
      </c>
      <c r="B297" s="9" t="s">
        <v>742</v>
      </c>
      <c r="C297" s="28" t="s">
        <v>5</v>
      </c>
      <c r="D297" s="19"/>
    </row>
    <row r="298">
      <c r="A298" s="27">
        <v>45748.0</v>
      </c>
      <c r="B298" s="13" t="s">
        <v>743</v>
      </c>
      <c r="C298" s="28" t="s">
        <v>5</v>
      </c>
      <c r="D298" s="19"/>
    </row>
    <row r="299">
      <c r="A299" s="27">
        <v>45748.0</v>
      </c>
      <c r="B299" s="9" t="s">
        <v>744</v>
      </c>
      <c r="C299" s="28" t="s">
        <v>5</v>
      </c>
      <c r="D299" s="19"/>
    </row>
    <row r="300">
      <c r="A300" s="27">
        <v>45749.0</v>
      </c>
      <c r="B300" s="9" t="s">
        <v>194</v>
      </c>
      <c r="C300" s="10" t="s">
        <v>23</v>
      </c>
      <c r="D300" s="19"/>
    </row>
    <row r="301">
      <c r="A301" s="27">
        <v>45749.0</v>
      </c>
      <c r="B301" s="9" t="s">
        <v>745</v>
      </c>
      <c r="C301" s="28" t="s">
        <v>5</v>
      </c>
      <c r="D301" s="19"/>
    </row>
    <row r="302">
      <c r="A302" s="27">
        <v>45749.0</v>
      </c>
      <c r="B302" s="9" t="s">
        <v>746</v>
      </c>
      <c r="C302" s="28" t="s">
        <v>5</v>
      </c>
      <c r="D302" s="19"/>
    </row>
    <row r="303">
      <c r="A303" s="27">
        <v>45750.0</v>
      </c>
      <c r="B303" s="9" t="s">
        <v>747</v>
      </c>
      <c r="C303" s="28" t="s">
        <v>5</v>
      </c>
      <c r="D303" s="19"/>
    </row>
    <row r="304">
      <c r="A304" s="27">
        <v>45750.0</v>
      </c>
      <c r="B304" s="9" t="s">
        <v>748</v>
      </c>
      <c r="C304" s="28" t="s">
        <v>5</v>
      </c>
      <c r="D304" s="19"/>
    </row>
    <row r="305">
      <c r="A305" s="27">
        <v>45750.0</v>
      </c>
      <c r="B305" s="13" t="s">
        <v>749</v>
      </c>
      <c r="C305" s="28" t="s">
        <v>5</v>
      </c>
      <c r="D305" s="19"/>
    </row>
    <row r="306">
      <c r="A306" s="27">
        <v>45750.0</v>
      </c>
      <c r="B306" s="9" t="s">
        <v>750</v>
      </c>
      <c r="C306" s="28" t="s">
        <v>5</v>
      </c>
      <c r="D306" s="19"/>
    </row>
    <row r="307">
      <c r="A307" s="27">
        <v>45750.0</v>
      </c>
      <c r="B307" s="9" t="s">
        <v>751</v>
      </c>
      <c r="C307" s="28" t="s">
        <v>5</v>
      </c>
      <c r="D307" s="19"/>
    </row>
    <row r="308">
      <c r="A308" s="27">
        <v>45750.0</v>
      </c>
      <c r="B308" s="9" t="s">
        <v>752</v>
      </c>
      <c r="C308" s="28" t="s">
        <v>5</v>
      </c>
      <c r="D308" s="19"/>
    </row>
    <row r="309">
      <c r="A309" s="27">
        <v>45751.0</v>
      </c>
      <c r="B309" s="9" t="s">
        <v>195</v>
      </c>
      <c r="C309" s="10" t="s">
        <v>23</v>
      </c>
      <c r="D309" s="19"/>
    </row>
    <row r="310">
      <c r="A310" s="27">
        <v>45751.0</v>
      </c>
      <c r="B310" s="9" t="s">
        <v>197</v>
      </c>
      <c r="C310" s="10" t="s">
        <v>23</v>
      </c>
      <c r="D310" s="19"/>
    </row>
    <row r="311">
      <c r="A311" s="27">
        <v>45751.0</v>
      </c>
      <c r="B311" s="9" t="s">
        <v>753</v>
      </c>
      <c r="C311" s="28" t="s">
        <v>5</v>
      </c>
      <c r="D311" s="19"/>
    </row>
    <row r="312">
      <c r="A312" s="27">
        <v>45751.0</v>
      </c>
      <c r="B312" s="9" t="s">
        <v>754</v>
      </c>
      <c r="C312" s="28" t="s">
        <v>5</v>
      </c>
      <c r="D312" s="19"/>
    </row>
    <row r="313">
      <c r="A313" s="27">
        <v>45754.0</v>
      </c>
      <c r="B313" s="9" t="s">
        <v>755</v>
      </c>
      <c r="C313" s="28" t="s">
        <v>5</v>
      </c>
      <c r="D313" s="19"/>
    </row>
    <row r="314">
      <c r="A314" s="27">
        <v>45754.0</v>
      </c>
      <c r="B314" s="9" t="s">
        <v>756</v>
      </c>
      <c r="C314" s="28" t="s">
        <v>5</v>
      </c>
      <c r="D314" s="19"/>
    </row>
    <row r="315">
      <c r="A315" s="27">
        <v>45754.0</v>
      </c>
      <c r="B315" s="13" t="s">
        <v>757</v>
      </c>
      <c r="C315" s="28" t="s">
        <v>5</v>
      </c>
      <c r="D315" s="19"/>
    </row>
    <row r="316">
      <c r="A316" s="27">
        <v>45754.0</v>
      </c>
      <c r="B316" s="9" t="s">
        <v>758</v>
      </c>
      <c r="C316" s="28" t="s">
        <v>5</v>
      </c>
      <c r="D316" s="19"/>
    </row>
    <row r="317">
      <c r="A317" s="27">
        <v>45754.0</v>
      </c>
      <c r="B317" s="9" t="s">
        <v>759</v>
      </c>
      <c r="C317" s="28" t="s">
        <v>5</v>
      </c>
      <c r="D317" s="19"/>
    </row>
    <row r="318">
      <c r="A318" s="27">
        <v>45754.0</v>
      </c>
      <c r="B318" s="9" t="s">
        <v>760</v>
      </c>
      <c r="C318" s="28" t="s">
        <v>5</v>
      </c>
      <c r="D318" s="19"/>
    </row>
    <row r="319">
      <c r="A319" s="27">
        <v>45755.0</v>
      </c>
      <c r="B319" s="9" t="s">
        <v>761</v>
      </c>
      <c r="C319" s="28" t="s">
        <v>5</v>
      </c>
      <c r="D319" s="19"/>
    </row>
    <row r="320">
      <c r="A320" s="27">
        <v>45755.0</v>
      </c>
      <c r="B320" s="9" t="s">
        <v>762</v>
      </c>
      <c r="C320" s="28" t="s">
        <v>5</v>
      </c>
      <c r="D320" s="19"/>
    </row>
    <row r="321">
      <c r="A321" s="27">
        <v>45755.0</v>
      </c>
      <c r="B321" s="9" t="s">
        <v>763</v>
      </c>
      <c r="C321" s="28" t="s">
        <v>5</v>
      </c>
      <c r="D321" s="19"/>
    </row>
    <row r="322">
      <c r="A322" s="27">
        <v>45755.0</v>
      </c>
      <c r="B322" s="9" t="s">
        <v>764</v>
      </c>
      <c r="C322" s="28" t="s">
        <v>5</v>
      </c>
      <c r="D322" s="19"/>
    </row>
    <row r="323">
      <c r="A323" s="27">
        <v>45755.0</v>
      </c>
      <c r="B323" s="9" t="s">
        <v>199</v>
      </c>
      <c r="C323" s="10" t="s">
        <v>23</v>
      </c>
      <c r="D323" s="19"/>
    </row>
    <row r="324">
      <c r="A324" s="27">
        <v>45756.0</v>
      </c>
      <c r="B324" s="9" t="s">
        <v>765</v>
      </c>
      <c r="C324" s="28" t="s">
        <v>5</v>
      </c>
      <c r="D324" s="19"/>
    </row>
    <row r="325">
      <c r="A325" s="27">
        <v>45757.0</v>
      </c>
      <c r="B325" s="13" t="s">
        <v>766</v>
      </c>
      <c r="C325" s="28" t="s">
        <v>5</v>
      </c>
      <c r="D325" s="19"/>
    </row>
    <row r="326">
      <c r="A326" s="27">
        <v>45757.0</v>
      </c>
      <c r="B326" s="9" t="s">
        <v>767</v>
      </c>
      <c r="C326" s="28" t="s">
        <v>5</v>
      </c>
      <c r="D326" s="19"/>
    </row>
    <row r="327">
      <c r="A327" s="27">
        <v>45757.0</v>
      </c>
      <c r="B327" s="13" t="s">
        <v>768</v>
      </c>
      <c r="C327" s="28" t="s">
        <v>5</v>
      </c>
      <c r="D327" s="19"/>
    </row>
    <row r="328">
      <c r="A328" s="27">
        <v>45757.0</v>
      </c>
      <c r="B328" s="9" t="s">
        <v>769</v>
      </c>
      <c r="C328" s="28" t="s">
        <v>5</v>
      </c>
      <c r="D328" s="19"/>
    </row>
    <row r="329">
      <c r="A329" s="27">
        <v>45757.0</v>
      </c>
      <c r="B329" s="9" t="s">
        <v>770</v>
      </c>
      <c r="C329" s="28" t="s">
        <v>5</v>
      </c>
      <c r="D329" s="19"/>
    </row>
    <row r="330">
      <c r="A330" s="27">
        <v>45758.0</v>
      </c>
      <c r="B330" s="9" t="s">
        <v>771</v>
      </c>
      <c r="C330" s="28" t="s">
        <v>5</v>
      </c>
      <c r="D330" s="19"/>
    </row>
    <row r="331">
      <c r="A331" s="27">
        <v>45758.0</v>
      </c>
      <c r="B331" s="9" t="s">
        <v>772</v>
      </c>
      <c r="C331" s="28" t="s">
        <v>5</v>
      </c>
      <c r="D331" s="19"/>
    </row>
    <row r="332">
      <c r="A332" s="27">
        <v>45758.0</v>
      </c>
      <c r="B332" s="9" t="s">
        <v>773</v>
      </c>
      <c r="C332" s="28" t="s">
        <v>5</v>
      </c>
      <c r="D332" s="19"/>
    </row>
    <row r="333">
      <c r="A333" s="27">
        <v>45758.0</v>
      </c>
      <c r="B333" s="9" t="s">
        <v>774</v>
      </c>
      <c r="C333" s="28" t="s">
        <v>5</v>
      </c>
      <c r="D333" s="19"/>
    </row>
    <row r="334">
      <c r="A334" s="27">
        <v>45761.0</v>
      </c>
      <c r="B334" s="13" t="s">
        <v>775</v>
      </c>
      <c r="C334" s="28" t="s">
        <v>5</v>
      </c>
      <c r="D334" s="19"/>
    </row>
    <row r="335">
      <c r="A335" s="27">
        <v>45761.0</v>
      </c>
      <c r="B335" s="9" t="s">
        <v>776</v>
      </c>
      <c r="C335" s="28" t="s">
        <v>5</v>
      </c>
      <c r="D335" s="19"/>
    </row>
    <row r="336">
      <c r="A336" s="27">
        <v>45761.0</v>
      </c>
      <c r="B336" s="9" t="s">
        <v>777</v>
      </c>
      <c r="C336" s="28" t="s">
        <v>5</v>
      </c>
      <c r="D336" s="19"/>
    </row>
    <row r="337">
      <c r="A337" s="27">
        <v>45761.0</v>
      </c>
      <c r="B337" s="9" t="s">
        <v>778</v>
      </c>
      <c r="C337" s="28" t="s">
        <v>5</v>
      </c>
      <c r="D337" s="19"/>
    </row>
    <row r="338">
      <c r="A338" s="27">
        <v>45761.0</v>
      </c>
      <c r="B338" s="9" t="s">
        <v>779</v>
      </c>
      <c r="C338" s="28" t="s">
        <v>5</v>
      </c>
      <c r="D338" s="19"/>
    </row>
    <row r="339">
      <c r="A339" s="27">
        <v>45761.0</v>
      </c>
      <c r="B339" s="9" t="s">
        <v>780</v>
      </c>
      <c r="C339" s="28" t="s">
        <v>5</v>
      </c>
      <c r="D339" s="19"/>
    </row>
    <row r="340">
      <c r="A340" s="27">
        <v>45761.0</v>
      </c>
      <c r="B340" s="9" t="s">
        <v>781</v>
      </c>
      <c r="C340" s="28" t="s">
        <v>5</v>
      </c>
      <c r="D340" s="19"/>
    </row>
    <row r="341">
      <c r="A341" s="27">
        <v>45761.0</v>
      </c>
      <c r="B341" s="9" t="s">
        <v>782</v>
      </c>
      <c r="C341" s="28" t="s">
        <v>5</v>
      </c>
      <c r="D341" s="19"/>
    </row>
    <row r="342">
      <c r="A342" s="27">
        <v>45762.0</v>
      </c>
      <c r="B342" s="9" t="s">
        <v>201</v>
      </c>
      <c r="C342" s="10" t="s">
        <v>23</v>
      </c>
      <c r="D342" s="19"/>
    </row>
    <row r="343">
      <c r="A343" s="27">
        <v>45762.0</v>
      </c>
      <c r="B343" s="9" t="s">
        <v>783</v>
      </c>
      <c r="C343" s="28" t="s">
        <v>5</v>
      </c>
      <c r="D343" s="19"/>
    </row>
    <row r="344">
      <c r="A344" s="27">
        <v>45762.0</v>
      </c>
      <c r="B344" s="9" t="s">
        <v>784</v>
      </c>
      <c r="C344" s="28" t="s">
        <v>5</v>
      </c>
      <c r="D344" s="19"/>
    </row>
    <row r="345">
      <c r="A345" s="27">
        <v>45762.0</v>
      </c>
      <c r="B345" s="9" t="s">
        <v>785</v>
      </c>
      <c r="C345" s="28" t="s">
        <v>5</v>
      </c>
      <c r="D345" s="19"/>
    </row>
    <row r="346">
      <c r="A346" s="27">
        <v>45762.0</v>
      </c>
      <c r="B346" s="9" t="s">
        <v>786</v>
      </c>
      <c r="C346" s="28" t="s">
        <v>5</v>
      </c>
      <c r="D346" s="19"/>
    </row>
    <row r="347">
      <c r="A347" s="27">
        <v>45762.0</v>
      </c>
      <c r="B347" s="9" t="s">
        <v>787</v>
      </c>
      <c r="C347" s="28" t="s">
        <v>5</v>
      </c>
      <c r="D347" s="19"/>
    </row>
    <row r="348">
      <c r="A348" s="27">
        <v>45762.0</v>
      </c>
      <c r="B348" s="9" t="s">
        <v>788</v>
      </c>
      <c r="C348" s="28" t="s">
        <v>5</v>
      </c>
      <c r="D348" s="19"/>
    </row>
    <row r="349">
      <c r="A349" s="27">
        <v>45763.0</v>
      </c>
      <c r="B349" s="9" t="s">
        <v>789</v>
      </c>
      <c r="C349" s="28" t="s">
        <v>5</v>
      </c>
      <c r="D349" s="19"/>
    </row>
    <row r="350">
      <c r="A350" s="27">
        <v>45763.0</v>
      </c>
      <c r="B350" s="9" t="s">
        <v>790</v>
      </c>
      <c r="C350" s="28" t="s">
        <v>5</v>
      </c>
      <c r="D350" s="19"/>
    </row>
    <row r="351">
      <c r="A351" s="27">
        <v>45763.0</v>
      </c>
      <c r="B351" s="9" t="s">
        <v>791</v>
      </c>
      <c r="C351" s="28" t="s">
        <v>5</v>
      </c>
      <c r="D351" s="19"/>
    </row>
    <row r="352">
      <c r="A352" s="27">
        <v>45763.0</v>
      </c>
      <c r="B352" s="9" t="s">
        <v>792</v>
      </c>
      <c r="C352" s="28" t="s">
        <v>5</v>
      </c>
      <c r="D352" s="19"/>
    </row>
    <row r="353">
      <c r="A353" s="27">
        <v>45763.0</v>
      </c>
      <c r="B353" s="9" t="s">
        <v>793</v>
      </c>
      <c r="C353" s="28" t="s">
        <v>5</v>
      </c>
      <c r="D353" s="19"/>
    </row>
    <row r="354">
      <c r="A354" s="27">
        <v>45763.0</v>
      </c>
      <c r="B354" s="9" t="s">
        <v>203</v>
      </c>
      <c r="C354" s="10" t="s">
        <v>23</v>
      </c>
      <c r="D354" s="19"/>
    </row>
    <row r="355">
      <c r="A355" s="27">
        <v>45763.0</v>
      </c>
      <c r="B355" s="9" t="s">
        <v>794</v>
      </c>
      <c r="C355" s="28" t="s">
        <v>5</v>
      </c>
      <c r="D355" s="19"/>
    </row>
    <row r="356">
      <c r="A356" s="27">
        <v>45763.0</v>
      </c>
      <c r="B356" s="9" t="s">
        <v>205</v>
      </c>
      <c r="C356" s="10" t="s">
        <v>23</v>
      </c>
      <c r="D356" s="19"/>
    </row>
    <row r="357">
      <c r="A357" s="27">
        <v>45763.0</v>
      </c>
      <c r="B357" s="9" t="s">
        <v>207</v>
      </c>
      <c r="C357" s="10" t="s">
        <v>23</v>
      </c>
      <c r="D357" s="19"/>
    </row>
    <row r="358">
      <c r="A358" s="27">
        <v>45764.0</v>
      </c>
      <c r="B358" s="9" t="s">
        <v>795</v>
      </c>
      <c r="C358" s="28" t="s">
        <v>5</v>
      </c>
      <c r="D358" s="19"/>
    </row>
    <row r="359">
      <c r="A359" s="27">
        <v>45764.0</v>
      </c>
      <c r="B359" s="9" t="s">
        <v>796</v>
      </c>
      <c r="C359" s="28" t="s">
        <v>5</v>
      </c>
      <c r="D359" s="19"/>
    </row>
    <row r="360">
      <c r="A360" s="27">
        <v>45764.0</v>
      </c>
      <c r="B360" s="13" t="s">
        <v>797</v>
      </c>
      <c r="C360" s="28" t="s">
        <v>5</v>
      </c>
      <c r="D360" s="19"/>
    </row>
    <row r="361">
      <c r="A361" s="27">
        <v>45764.0</v>
      </c>
      <c r="B361" s="9" t="s">
        <v>798</v>
      </c>
      <c r="C361" s="28" t="s">
        <v>5</v>
      </c>
      <c r="D361" s="19"/>
    </row>
    <row r="362">
      <c r="A362" s="27">
        <v>45764.0</v>
      </c>
      <c r="B362" s="9" t="s">
        <v>799</v>
      </c>
      <c r="C362" s="28" t="s">
        <v>5</v>
      </c>
      <c r="D362" s="19"/>
    </row>
    <row r="363">
      <c r="A363" s="27">
        <v>45764.0</v>
      </c>
      <c r="B363" s="9" t="s">
        <v>800</v>
      </c>
      <c r="C363" s="28" t="s">
        <v>5</v>
      </c>
      <c r="D363" s="19"/>
    </row>
    <row r="364">
      <c r="A364" s="27">
        <v>45765.0</v>
      </c>
      <c r="B364" s="9" t="s">
        <v>801</v>
      </c>
      <c r="C364" s="28" t="s">
        <v>5</v>
      </c>
      <c r="D364" s="19"/>
    </row>
    <row r="365">
      <c r="A365" s="27">
        <v>45765.0</v>
      </c>
      <c r="B365" s="9" t="s">
        <v>802</v>
      </c>
      <c r="C365" s="28" t="s">
        <v>5</v>
      </c>
      <c r="D365" s="19"/>
    </row>
    <row r="366">
      <c r="A366" s="27">
        <v>45766.0</v>
      </c>
      <c r="B366" s="9" t="s">
        <v>803</v>
      </c>
      <c r="C366" s="28" t="s">
        <v>5</v>
      </c>
      <c r="D366" s="19"/>
    </row>
    <row r="367">
      <c r="A367" s="27">
        <v>45766.0</v>
      </c>
      <c r="B367" s="9" t="s">
        <v>804</v>
      </c>
      <c r="C367" s="28" t="s">
        <v>5</v>
      </c>
      <c r="D367" s="19"/>
    </row>
    <row r="368">
      <c r="A368" s="27">
        <v>45766.0</v>
      </c>
      <c r="B368" s="9" t="s">
        <v>805</v>
      </c>
      <c r="C368" s="28" t="s">
        <v>5</v>
      </c>
      <c r="D368" s="19"/>
    </row>
    <row r="369">
      <c r="A369" s="27">
        <v>45766.0</v>
      </c>
      <c r="B369" s="9" t="s">
        <v>806</v>
      </c>
      <c r="C369" s="28" t="s">
        <v>5</v>
      </c>
      <c r="D369" s="19"/>
    </row>
    <row r="370">
      <c r="A370" s="27">
        <v>45766.0</v>
      </c>
      <c r="B370" s="9" t="s">
        <v>807</v>
      </c>
      <c r="C370" s="28" t="s">
        <v>5</v>
      </c>
      <c r="D370" s="19"/>
    </row>
    <row r="371">
      <c r="A371" s="27">
        <v>45766.0</v>
      </c>
      <c r="B371" s="9" t="s">
        <v>808</v>
      </c>
      <c r="C371" s="28" t="s">
        <v>5</v>
      </c>
      <c r="D371" s="19"/>
    </row>
    <row r="372">
      <c r="A372" s="27">
        <v>45766.0</v>
      </c>
      <c r="B372" s="9" t="s">
        <v>809</v>
      </c>
      <c r="C372" s="28" t="s">
        <v>5</v>
      </c>
      <c r="D372" s="19"/>
    </row>
    <row r="373">
      <c r="A373" s="27">
        <v>45766.0</v>
      </c>
      <c r="B373" s="13" t="s">
        <v>810</v>
      </c>
      <c r="C373" s="28" t="s">
        <v>5</v>
      </c>
      <c r="D373" s="19"/>
    </row>
    <row r="374">
      <c r="A374" s="27">
        <v>45766.0</v>
      </c>
      <c r="B374" s="9" t="s">
        <v>811</v>
      </c>
      <c r="C374" s="28" t="s">
        <v>5</v>
      </c>
      <c r="D374" s="19"/>
    </row>
    <row r="375">
      <c r="A375" s="27">
        <v>45768.0</v>
      </c>
      <c r="B375" s="9" t="s">
        <v>812</v>
      </c>
      <c r="C375" s="28" t="s">
        <v>5</v>
      </c>
      <c r="D375" s="19"/>
    </row>
    <row r="376">
      <c r="A376" s="27">
        <v>45768.0</v>
      </c>
      <c r="B376" s="9" t="s">
        <v>813</v>
      </c>
      <c r="C376" s="28" t="s">
        <v>5</v>
      </c>
      <c r="D376" s="19"/>
    </row>
    <row r="377">
      <c r="A377" s="27">
        <v>45768.0</v>
      </c>
      <c r="B377" s="9" t="s">
        <v>814</v>
      </c>
      <c r="C377" s="28" t="s">
        <v>5</v>
      </c>
      <c r="D377" s="19"/>
    </row>
    <row r="378">
      <c r="A378" s="27">
        <v>45768.0</v>
      </c>
      <c r="B378" s="9" t="s">
        <v>815</v>
      </c>
      <c r="C378" s="28" t="s">
        <v>5</v>
      </c>
      <c r="D378" s="19"/>
    </row>
    <row r="379">
      <c r="A379" s="27">
        <v>45768.0</v>
      </c>
      <c r="B379" s="9" t="s">
        <v>816</v>
      </c>
      <c r="C379" s="28" t="s">
        <v>5</v>
      </c>
      <c r="D379" s="19"/>
    </row>
    <row r="380">
      <c r="A380" s="27">
        <v>45768.0</v>
      </c>
      <c r="B380" s="9" t="s">
        <v>817</v>
      </c>
      <c r="C380" s="28" t="s">
        <v>5</v>
      </c>
      <c r="D380" s="19"/>
    </row>
    <row r="381">
      <c r="A381" s="27">
        <v>45768.0</v>
      </c>
      <c r="B381" s="9" t="s">
        <v>818</v>
      </c>
      <c r="C381" s="28" t="s">
        <v>5</v>
      </c>
      <c r="D381" s="19"/>
    </row>
    <row r="382">
      <c r="A382" s="11">
        <v>45770.0</v>
      </c>
      <c r="B382" s="9" t="s">
        <v>819</v>
      </c>
      <c r="C382" s="28" t="s">
        <v>5</v>
      </c>
      <c r="D382" s="19"/>
    </row>
    <row r="383">
      <c r="A383" s="11">
        <v>45771.0</v>
      </c>
      <c r="B383" s="9" t="s">
        <v>820</v>
      </c>
      <c r="C383" s="28" t="s">
        <v>5</v>
      </c>
      <c r="D383" s="19"/>
    </row>
    <row r="384">
      <c r="A384" s="11">
        <v>45771.0</v>
      </c>
      <c r="B384" s="9" t="s">
        <v>821</v>
      </c>
      <c r="C384" s="28" t="s">
        <v>5</v>
      </c>
      <c r="D384" s="19"/>
    </row>
    <row r="385">
      <c r="A385" s="11">
        <v>45771.0</v>
      </c>
      <c r="B385" s="9" t="s">
        <v>822</v>
      </c>
      <c r="C385" s="28" t="s">
        <v>5</v>
      </c>
      <c r="D385" s="19"/>
    </row>
    <row r="386">
      <c r="A386" s="11">
        <v>45771.0</v>
      </c>
      <c r="B386" s="9" t="s">
        <v>823</v>
      </c>
      <c r="C386" s="28" t="s">
        <v>5</v>
      </c>
      <c r="D386" s="19"/>
    </row>
    <row r="387">
      <c r="A387" s="11">
        <v>45771.0</v>
      </c>
      <c r="B387" s="9" t="s">
        <v>824</v>
      </c>
      <c r="C387" s="28" t="s">
        <v>5</v>
      </c>
      <c r="D387" s="19"/>
    </row>
    <row r="388">
      <c r="A388" s="11">
        <v>45771.0</v>
      </c>
      <c r="B388" s="9" t="s">
        <v>825</v>
      </c>
      <c r="C388" s="28" t="s">
        <v>5</v>
      </c>
      <c r="D388" s="19"/>
    </row>
    <row r="389">
      <c r="A389" s="11">
        <v>45771.0</v>
      </c>
      <c r="B389" s="9" t="s">
        <v>826</v>
      </c>
      <c r="C389" s="28" t="s">
        <v>5</v>
      </c>
      <c r="D389" s="19"/>
    </row>
    <row r="390">
      <c r="A390" s="11">
        <v>45771.0</v>
      </c>
      <c r="B390" s="9" t="s">
        <v>827</v>
      </c>
      <c r="C390" s="28" t="s">
        <v>5</v>
      </c>
      <c r="D390" s="19"/>
    </row>
    <row r="391">
      <c r="A391" s="11">
        <v>45771.0</v>
      </c>
      <c r="B391" s="9" t="s">
        <v>828</v>
      </c>
      <c r="C391" s="28" t="s">
        <v>5</v>
      </c>
      <c r="D391" s="19"/>
    </row>
    <row r="392">
      <c r="A392" s="11">
        <v>45772.0</v>
      </c>
      <c r="B392" s="9" t="s">
        <v>829</v>
      </c>
      <c r="C392" s="28" t="s">
        <v>5</v>
      </c>
      <c r="D392" s="19"/>
    </row>
    <row r="393">
      <c r="A393" s="11">
        <v>45775.0</v>
      </c>
      <c r="B393" s="9" t="s">
        <v>830</v>
      </c>
      <c r="C393" s="28" t="s">
        <v>5</v>
      </c>
      <c r="D393" s="19"/>
    </row>
    <row r="394">
      <c r="A394" s="11">
        <v>45775.0</v>
      </c>
      <c r="B394" s="9" t="s">
        <v>831</v>
      </c>
      <c r="C394" s="28" t="s">
        <v>5</v>
      </c>
      <c r="D394" s="19"/>
    </row>
    <row r="395">
      <c r="A395" s="11">
        <v>45775.0</v>
      </c>
      <c r="B395" s="9" t="s">
        <v>832</v>
      </c>
      <c r="C395" s="28" t="s">
        <v>5</v>
      </c>
      <c r="D395" s="19"/>
    </row>
    <row r="396">
      <c r="A396" s="11">
        <v>45775.0</v>
      </c>
      <c r="B396" s="9" t="s">
        <v>833</v>
      </c>
      <c r="C396" s="28" t="s">
        <v>5</v>
      </c>
      <c r="D396" s="19"/>
    </row>
    <row r="397">
      <c r="A397" s="11">
        <v>45775.0</v>
      </c>
      <c r="B397" s="9" t="s">
        <v>834</v>
      </c>
      <c r="C397" s="28" t="s">
        <v>5</v>
      </c>
      <c r="D397" s="19"/>
    </row>
    <row r="398">
      <c r="A398" s="11">
        <v>45775.0</v>
      </c>
      <c r="B398" s="9" t="s">
        <v>835</v>
      </c>
      <c r="C398" s="28" t="s">
        <v>5</v>
      </c>
      <c r="D398" s="19"/>
    </row>
    <row r="399">
      <c r="A399" s="11">
        <v>45775.0</v>
      </c>
      <c r="B399" s="9" t="s">
        <v>836</v>
      </c>
      <c r="C399" s="28" t="s">
        <v>5</v>
      </c>
      <c r="D399" s="19"/>
    </row>
    <row r="400">
      <c r="A400" s="11">
        <v>45775.0</v>
      </c>
      <c r="B400" s="9" t="s">
        <v>837</v>
      </c>
      <c r="C400" s="28" t="s">
        <v>5</v>
      </c>
      <c r="D400" s="19"/>
    </row>
    <row r="401">
      <c r="A401" s="11">
        <v>45775.0</v>
      </c>
      <c r="B401" s="9" t="s">
        <v>838</v>
      </c>
      <c r="C401" s="28" t="s">
        <v>5</v>
      </c>
      <c r="D401" s="19"/>
    </row>
    <row r="402">
      <c r="A402" s="11">
        <v>45775.0</v>
      </c>
      <c r="B402" s="9" t="s">
        <v>839</v>
      </c>
      <c r="C402" s="28" t="s">
        <v>5</v>
      </c>
      <c r="D402" s="19"/>
    </row>
    <row r="403">
      <c r="A403" s="11">
        <v>45776.0</v>
      </c>
      <c r="B403" s="9" t="s">
        <v>209</v>
      </c>
      <c r="C403" s="10" t="s">
        <v>23</v>
      </c>
      <c r="D403" s="19"/>
    </row>
    <row r="404">
      <c r="A404" s="11">
        <v>45776.0</v>
      </c>
      <c r="B404" s="9" t="s">
        <v>840</v>
      </c>
      <c r="C404" s="28" t="s">
        <v>5</v>
      </c>
      <c r="D404" s="19"/>
    </row>
    <row r="405">
      <c r="A405" s="11">
        <v>45776.0</v>
      </c>
      <c r="B405" s="9" t="s">
        <v>841</v>
      </c>
      <c r="C405" s="28" t="s">
        <v>5</v>
      </c>
      <c r="D405" s="19"/>
    </row>
    <row r="406">
      <c r="A406" s="11">
        <v>45776.0</v>
      </c>
      <c r="B406" s="9" t="s">
        <v>842</v>
      </c>
      <c r="C406" s="28" t="s">
        <v>5</v>
      </c>
      <c r="D406" s="19"/>
    </row>
    <row r="407">
      <c r="A407" s="11">
        <v>45776.0</v>
      </c>
      <c r="B407" s="9" t="s">
        <v>843</v>
      </c>
      <c r="C407" s="28" t="s">
        <v>5</v>
      </c>
      <c r="D407" s="19"/>
    </row>
    <row r="408">
      <c r="A408" s="11">
        <v>45776.0</v>
      </c>
      <c r="B408" s="9" t="s">
        <v>844</v>
      </c>
      <c r="C408" s="28" t="s">
        <v>5</v>
      </c>
      <c r="D408" s="19"/>
    </row>
    <row r="409">
      <c r="A409" s="11">
        <v>45776.0</v>
      </c>
      <c r="B409" s="13" t="s">
        <v>845</v>
      </c>
      <c r="C409" s="28" t="s">
        <v>5</v>
      </c>
      <c r="D409" s="19"/>
    </row>
    <row r="410">
      <c r="A410" s="11">
        <v>45776.0</v>
      </c>
      <c r="B410" s="9" t="s">
        <v>846</v>
      </c>
      <c r="C410" s="28" t="s">
        <v>5</v>
      </c>
      <c r="D410" s="19"/>
    </row>
    <row r="411">
      <c r="A411" s="11">
        <v>45776.0</v>
      </c>
      <c r="B411" s="9" t="s">
        <v>847</v>
      </c>
      <c r="C411" s="28" t="s">
        <v>5</v>
      </c>
      <c r="D411" s="19"/>
    </row>
    <row r="412">
      <c r="A412" s="11">
        <v>45777.0</v>
      </c>
      <c r="B412" s="9" t="s">
        <v>848</v>
      </c>
      <c r="C412" s="28" t="s">
        <v>5</v>
      </c>
      <c r="D412" s="19"/>
    </row>
    <row r="413">
      <c r="A413" s="11">
        <v>45777.0</v>
      </c>
      <c r="B413" s="9" t="s">
        <v>849</v>
      </c>
      <c r="C413" s="28" t="s">
        <v>5</v>
      </c>
      <c r="D413" s="19"/>
    </row>
    <row r="414">
      <c r="A414" s="11">
        <v>45777.0</v>
      </c>
      <c r="B414" s="9" t="s">
        <v>850</v>
      </c>
      <c r="C414" s="28" t="s">
        <v>5</v>
      </c>
      <c r="D414" s="19"/>
    </row>
    <row r="415">
      <c r="A415" s="11">
        <v>45777.0</v>
      </c>
      <c r="B415" s="9" t="s">
        <v>210</v>
      </c>
      <c r="C415" s="10" t="s">
        <v>23</v>
      </c>
      <c r="D415" s="19"/>
    </row>
    <row r="416">
      <c r="A416" s="11">
        <v>45777.0</v>
      </c>
      <c r="B416" s="9" t="s">
        <v>851</v>
      </c>
      <c r="C416" s="28" t="s">
        <v>5</v>
      </c>
      <c r="D416" s="19"/>
    </row>
    <row r="417">
      <c r="A417" s="11">
        <v>45778.0</v>
      </c>
      <c r="B417" s="9" t="s">
        <v>852</v>
      </c>
      <c r="C417" s="28" t="s">
        <v>5</v>
      </c>
      <c r="D417" s="19"/>
    </row>
    <row r="418">
      <c r="A418" s="11">
        <v>45778.0</v>
      </c>
      <c r="B418" s="9" t="s">
        <v>853</v>
      </c>
      <c r="C418" s="28" t="s">
        <v>5</v>
      </c>
      <c r="D418" s="19"/>
    </row>
    <row r="419">
      <c r="A419" s="11">
        <v>45778.0</v>
      </c>
      <c r="B419" s="9" t="s">
        <v>854</v>
      </c>
      <c r="C419" s="28" t="s">
        <v>5</v>
      </c>
      <c r="D419" s="18" t="s">
        <v>855</v>
      </c>
    </row>
    <row r="420">
      <c r="A420" s="11">
        <v>45778.0</v>
      </c>
      <c r="B420" s="6" t="s">
        <v>856</v>
      </c>
      <c r="C420" s="28" t="s">
        <v>5</v>
      </c>
      <c r="D420" s="18" t="s">
        <v>857</v>
      </c>
    </row>
    <row r="421">
      <c r="A421" s="11">
        <v>45778.0</v>
      </c>
      <c r="B421" s="36" t="s">
        <v>211</v>
      </c>
      <c r="C421" s="10" t="s">
        <v>212</v>
      </c>
      <c r="D421" s="19"/>
    </row>
    <row r="422">
      <c r="A422" s="11">
        <v>45779.0</v>
      </c>
      <c r="B422" s="9" t="s">
        <v>858</v>
      </c>
      <c r="C422" s="28" t="s">
        <v>5</v>
      </c>
      <c r="D422" s="18" t="s">
        <v>859</v>
      </c>
    </row>
    <row r="423">
      <c r="A423" s="11">
        <v>45779.0</v>
      </c>
      <c r="B423" s="9" t="s">
        <v>860</v>
      </c>
      <c r="C423" s="28" t="s">
        <v>5</v>
      </c>
      <c r="D423" s="19"/>
    </row>
    <row r="424">
      <c r="A424" s="11">
        <v>45779.0</v>
      </c>
      <c r="B424" s="9" t="s">
        <v>861</v>
      </c>
      <c r="C424" s="28" t="s">
        <v>5</v>
      </c>
      <c r="D424" s="19"/>
    </row>
    <row r="425">
      <c r="A425" s="11">
        <v>45779.0</v>
      </c>
      <c r="B425" s="9" t="s">
        <v>862</v>
      </c>
      <c r="C425" s="28" t="s">
        <v>5</v>
      </c>
      <c r="D425" s="19"/>
    </row>
    <row r="426">
      <c r="A426" s="11">
        <v>45780.0</v>
      </c>
      <c r="B426" s="9" t="s">
        <v>863</v>
      </c>
      <c r="C426" s="28" t="s">
        <v>5</v>
      </c>
      <c r="D426" s="19"/>
    </row>
    <row r="427">
      <c r="A427" s="11">
        <v>45780.0</v>
      </c>
      <c r="B427" s="9" t="s">
        <v>864</v>
      </c>
      <c r="C427" s="28" t="s">
        <v>5</v>
      </c>
      <c r="D427" s="18" t="s">
        <v>855</v>
      </c>
    </row>
    <row r="428">
      <c r="A428" s="11">
        <v>45780.0</v>
      </c>
      <c r="B428" s="9" t="s">
        <v>865</v>
      </c>
      <c r="C428" s="28" t="s">
        <v>5</v>
      </c>
      <c r="D428" s="19"/>
    </row>
    <row r="429">
      <c r="A429" s="11">
        <v>45780.0</v>
      </c>
      <c r="B429" s="9" t="s">
        <v>213</v>
      </c>
      <c r="C429" s="10" t="s">
        <v>23</v>
      </c>
      <c r="D429" s="19"/>
    </row>
    <row r="430">
      <c r="A430" s="11">
        <v>45780.0</v>
      </c>
      <c r="B430" s="9" t="s">
        <v>866</v>
      </c>
      <c r="C430" s="28" t="s">
        <v>5</v>
      </c>
      <c r="D430" s="19"/>
    </row>
    <row r="431">
      <c r="A431" s="11">
        <v>45780.0</v>
      </c>
      <c r="B431" s="9" t="s">
        <v>214</v>
      </c>
      <c r="C431" s="10" t="s">
        <v>23</v>
      </c>
      <c r="D431" s="19"/>
    </row>
    <row r="432">
      <c r="A432" s="11">
        <v>45780.0</v>
      </c>
      <c r="B432" s="9" t="s">
        <v>867</v>
      </c>
      <c r="C432" s="28" t="s">
        <v>5</v>
      </c>
      <c r="D432" s="19"/>
    </row>
    <row r="433">
      <c r="A433" s="11">
        <v>45780.0</v>
      </c>
      <c r="B433" s="9" t="s">
        <v>868</v>
      </c>
      <c r="C433" s="28" t="s">
        <v>5</v>
      </c>
      <c r="D433" s="19"/>
    </row>
    <row r="434">
      <c r="A434" s="11">
        <v>45780.0</v>
      </c>
      <c r="B434" s="9" t="s">
        <v>216</v>
      </c>
      <c r="C434" s="10" t="s">
        <v>23</v>
      </c>
      <c r="D434" s="19"/>
    </row>
    <row r="435">
      <c r="A435" s="11">
        <v>45780.0</v>
      </c>
      <c r="B435" s="9" t="s">
        <v>218</v>
      </c>
      <c r="C435" s="10" t="s">
        <v>23</v>
      </c>
      <c r="D435" s="19"/>
    </row>
    <row r="436">
      <c r="A436" s="11">
        <v>45782.0</v>
      </c>
      <c r="B436" s="9" t="s">
        <v>869</v>
      </c>
      <c r="C436" s="28" t="s">
        <v>5</v>
      </c>
      <c r="D436" s="19"/>
    </row>
    <row r="437">
      <c r="A437" s="11">
        <v>45782.0</v>
      </c>
      <c r="B437" s="9" t="s">
        <v>870</v>
      </c>
      <c r="C437" s="28" t="s">
        <v>5</v>
      </c>
      <c r="D437" s="19"/>
    </row>
    <row r="438">
      <c r="A438" s="11">
        <v>45782.0</v>
      </c>
      <c r="B438" s="9" t="s">
        <v>871</v>
      </c>
      <c r="C438" s="28" t="s">
        <v>5</v>
      </c>
      <c r="D438" s="19"/>
    </row>
    <row r="439">
      <c r="A439" s="11">
        <v>45782.0</v>
      </c>
      <c r="B439" s="9" t="s">
        <v>219</v>
      </c>
      <c r="C439" s="10" t="s">
        <v>23</v>
      </c>
      <c r="D439" s="19"/>
    </row>
    <row r="440">
      <c r="A440" s="11">
        <v>45782.0</v>
      </c>
      <c r="B440" s="9" t="s">
        <v>872</v>
      </c>
      <c r="C440" s="28" t="s">
        <v>5</v>
      </c>
      <c r="D440" s="19"/>
    </row>
    <row r="441">
      <c r="A441" s="11">
        <v>45782.0</v>
      </c>
      <c r="B441" s="9" t="s">
        <v>873</v>
      </c>
      <c r="C441" s="28" t="s">
        <v>5</v>
      </c>
      <c r="D441" s="19"/>
    </row>
    <row r="442">
      <c r="A442" s="11">
        <v>45782.0</v>
      </c>
      <c r="B442" s="9" t="s">
        <v>874</v>
      </c>
      <c r="C442" s="28" t="s">
        <v>5</v>
      </c>
      <c r="D442" s="19"/>
    </row>
    <row r="443">
      <c r="A443" s="11">
        <v>45782.0</v>
      </c>
      <c r="B443" s="9" t="s">
        <v>875</v>
      </c>
      <c r="C443" s="28" t="s">
        <v>5</v>
      </c>
      <c r="D443" s="18" t="s">
        <v>855</v>
      </c>
    </row>
    <row r="444">
      <c r="A444" s="11">
        <v>45782.0</v>
      </c>
      <c r="B444" s="9" t="s">
        <v>876</v>
      </c>
      <c r="C444" s="28" t="s">
        <v>5</v>
      </c>
      <c r="D444" s="19"/>
    </row>
    <row r="445">
      <c r="A445" s="11">
        <v>45782.0</v>
      </c>
      <c r="B445" s="9" t="s">
        <v>877</v>
      </c>
      <c r="C445" s="28" t="s">
        <v>5</v>
      </c>
      <c r="D445" s="19"/>
    </row>
    <row r="446">
      <c r="A446" s="11">
        <v>45782.0</v>
      </c>
      <c r="B446" s="9" t="s">
        <v>220</v>
      </c>
      <c r="C446" s="10" t="s">
        <v>23</v>
      </c>
      <c r="D446" s="19"/>
    </row>
    <row r="447">
      <c r="A447" s="11">
        <v>45782.0</v>
      </c>
      <c r="B447" s="9" t="s">
        <v>878</v>
      </c>
      <c r="C447" s="28" t="s">
        <v>5</v>
      </c>
      <c r="D447" s="18" t="s">
        <v>879</v>
      </c>
    </row>
    <row r="448">
      <c r="A448" s="11">
        <v>45782.0</v>
      </c>
      <c r="B448" s="9" t="s">
        <v>880</v>
      </c>
      <c r="C448" s="28" t="s">
        <v>5</v>
      </c>
      <c r="D448" s="19"/>
    </row>
    <row r="449">
      <c r="A449" s="11">
        <v>45782.0</v>
      </c>
      <c r="B449" s="9" t="s">
        <v>221</v>
      </c>
      <c r="C449" s="10" t="s">
        <v>23</v>
      </c>
      <c r="D449" s="19"/>
    </row>
    <row r="450">
      <c r="A450" s="11">
        <v>45782.0</v>
      </c>
      <c r="B450" s="9" t="s">
        <v>881</v>
      </c>
      <c r="C450" s="28" t="s">
        <v>5</v>
      </c>
      <c r="D450" s="19"/>
    </row>
    <row r="451">
      <c r="A451" s="11">
        <v>45782.0</v>
      </c>
      <c r="B451" s="9" t="s">
        <v>882</v>
      </c>
      <c r="C451" s="28" t="s">
        <v>5</v>
      </c>
      <c r="D451" s="18" t="s">
        <v>855</v>
      </c>
    </row>
    <row r="452">
      <c r="A452" s="11">
        <v>45783.0</v>
      </c>
      <c r="B452" s="9" t="s">
        <v>883</v>
      </c>
      <c r="C452" s="28" t="s">
        <v>5</v>
      </c>
      <c r="D452" s="19"/>
    </row>
    <row r="453">
      <c r="A453" s="11">
        <v>45783.0</v>
      </c>
      <c r="B453" s="9" t="s">
        <v>884</v>
      </c>
      <c r="C453" s="28" t="s">
        <v>5</v>
      </c>
      <c r="D453" s="19"/>
    </row>
    <row r="454">
      <c r="A454" s="11">
        <v>45783.0</v>
      </c>
      <c r="B454" s="9" t="s">
        <v>885</v>
      </c>
      <c r="C454" s="28" t="s">
        <v>5</v>
      </c>
      <c r="D454" s="19"/>
    </row>
    <row r="455">
      <c r="A455" s="11">
        <v>45783.0</v>
      </c>
      <c r="B455" s="9" t="s">
        <v>886</v>
      </c>
      <c r="C455" s="28" t="s">
        <v>5</v>
      </c>
      <c r="D455" s="19"/>
    </row>
    <row r="456">
      <c r="A456" s="11">
        <v>45783.0</v>
      </c>
      <c r="B456" s="9" t="s">
        <v>887</v>
      </c>
      <c r="C456" s="28" t="s">
        <v>5</v>
      </c>
      <c r="D456" s="19"/>
    </row>
    <row r="457">
      <c r="A457" s="11">
        <v>45783.0</v>
      </c>
      <c r="B457" s="9" t="s">
        <v>888</v>
      </c>
      <c r="C457" s="28" t="s">
        <v>5</v>
      </c>
      <c r="D457" s="19"/>
    </row>
    <row r="458">
      <c r="A458" s="11">
        <v>45783.0</v>
      </c>
      <c r="B458" s="9" t="s">
        <v>222</v>
      </c>
      <c r="C458" s="10" t="s">
        <v>23</v>
      </c>
      <c r="D458" s="19"/>
    </row>
    <row r="459">
      <c r="A459" s="11">
        <v>45783.0</v>
      </c>
      <c r="B459" s="9" t="s">
        <v>889</v>
      </c>
      <c r="C459" s="28" t="s">
        <v>5</v>
      </c>
      <c r="D459" s="18" t="s">
        <v>855</v>
      </c>
    </row>
    <row r="460">
      <c r="A460" s="11">
        <v>45783.0</v>
      </c>
      <c r="B460" s="9" t="s">
        <v>890</v>
      </c>
      <c r="C460" s="28" t="s">
        <v>5</v>
      </c>
      <c r="D460" s="18" t="s">
        <v>891</v>
      </c>
    </row>
    <row r="461">
      <c r="A461" s="11">
        <v>45784.0</v>
      </c>
      <c r="B461" s="13" t="s">
        <v>892</v>
      </c>
      <c r="C461" s="28" t="s">
        <v>5</v>
      </c>
      <c r="D461" s="19"/>
    </row>
    <row r="462">
      <c r="A462" s="11">
        <v>45784.0</v>
      </c>
      <c r="B462" s="9" t="s">
        <v>223</v>
      </c>
      <c r="C462" s="10" t="s">
        <v>23</v>
      </c>
      <c r="D462" s="19"/>
    </row>
    <row r="463">
      <c r="A463" s="11">
        <v>45784.0</v>
      </c>
      <c r="B463" s="9" t="s">
        <v>225</v>
      </c>
      <c r="C463" s="10" t="s">
        <v>23</v>
      </c>
      <c r="D463" s="19"/>
    </row>
    <row r="464">
      <c r="A464" s="11">
        <v>45784.0</v>
      </c>
      <c r="B464" s="9" t="s">
        <v>227</v>
      </c>
      <c r="C464" s="10" t="s">
        <v>23</v>
      </c>
      <c r="D464" s="19"/>
    </row>
    <row r="465">
      <c r="A465" s="11">
        <v>45785.0</v>
      </c>
      <c r="B465" s="9" t="s">
        <v>893</v>
      </c>
      <c r="C465" s="28" t="s">
        <v>5</v>
      </c>
      <c r="D465" s="19"/>
    </row>
    <row r="466">
      <c r="A466" s="11">
        <v>45785.0</v>
      </c>
      <c r="B466" s="13" t="s">
        <v>894</v>
      </c>
      <c r="C466" s="28" t="s">
        <v>5</v>
      </c>
      <c r="D466" s="19"/>
    </row>
    <row r="467">
      <c r="A467" s="11">
        <v>45785.0</v>
      </c>
      <c r="B467" s="9" t="s">
        <v>895</v>
      </c>
      <c r="C467" s="28" t="s">
        <v>5</v>
      </c>
      <c r="D467" s="18" t="s">
        <v>896</v>
      </c>
    </row>
    <row r="468">
      <c r="A468" s="11">
        <v>45786.0</v>
      </c>
      <c r="B468" s="9" t="s">
        <v>897</v>
      </c>
      <c r="C468" s="28" t="s">
        <v>5</v>
      </c>
      <c r="D468" s="19"/>
    </row>
    <row r="469">
      <c r="A469" s="11">
        <v>45786.0</v>
      </c>
      <c r="B469" s="9" t="s">
        <v>898</v>
      </c>
      <c r="C469" s="28" t="s">
        <v>5</v>
      </c>
      <c r="D469" s="19"/>
    </row>
    <row r="470">
      <c r="A470" s="11">
        <v>45786.0</v>
      </c>
      <c r="B470" s="9" t="s">
        <v>229</v>
      </c>
      <c r="C470" s="10" t="s">
        <v>23</v>
      </c>
      <c r="D470" s="19"/>
    </row>
    <row r="471">
      <c r="A471" s="11">
        <v>45786.0</v>
      </c>
      <c r="B471" s="9" t="s">
        <v>899</v>
      </c>
      <c r="C471" s="28" t="s">
        <v>5</v>
      </c>
      <c r="D471" s="18" t="s">
        <v>900</v>
      </c>
    </row>
    <row r="472">
      <c r="A472" s="11">
        <v>45786.0</v>
      </c>
      <c r="B472" s="9" t="s">
        <v>901</v>
      </c>
      <c r="C472" s="28" t="s">
        <v>5</v>
      </c>
      <c r="D472" s="19"/>
    </row>
    <row r="473">
      <c r="A473" s="11">
        <v>45786.0</v>
      </c>
      <c r="B473" s="9" t="s">
        <v>902</v>
      </c>
      <c r="C473" s="28" t="s">
        <v>5</v>
      </c>
      <c r="D473" s="19"/>
    </row>
    <row r="474">
      <c r="A474" s="11">
        <v>45786.0</v>
      </c>
      <c r="B474" s="9" t="s">
        <v>903</v>
      </c>
      <c r="C474" s="28" t="s">
        <v>5</v>
      </c>
      <c r="D474" s="19"/>
    </row>
    <row r="475">
      <c r="A475" s="11">
        <v>45786.0</v>
      </c>
      <c r="B475" s="9" t="s">
        <v>904</v>
      </c>
      <c r="C475" s="28" t="s">
        <v>5</v>
      </c>
      <c r="D475" s="19"/>
    </row>
    <row r="476">
      <c r="A476" s="11">
        <v>45786.0</v>
      </c>
      <c r="B476" s="9" t="s">
        <v>905</v>
      </c>
      <c r="C476" s="28" t="s">
        <v>5</v>
      </c>
      <c r="D476" s="19"/>
    </row>
    <row r="477">
      <c r="A477" s="11">
        <v>45786.0</v>
      </c>
      <c r="B477" s="9" t="s">
        <v>906</v>
      </c>
      <c r="C477" s="28" t="s">
        <v>5</v>
      </c>
      <c r="D477" s="18" t="s">
        <v>896</v>
      </c>
    </row>
    <row r="478">
      <c r="A478" s="11">
        <v>45786.0</v>
      </c>
      <c r="B478" s="6" t="s">
        <v>231</v>
      </c>
      <c r="C478" s="10" t="s">
        <v>23</v>
      </c>
      <c r="D478" s="19"/>
    </row>
    <row r="479">
      <c r="A479" s="11">
        <v>45789.0</v>
      </c>
      <c r="B479" s="9" t="s">
        <v>907</v>
      </c>
      <c r="C479" s="28" t="s">
        <v>5</v>
      </c>
      <c r="D479" s="18" t="s">
        <v>855</v>
      </c>
    </row>
    <row r="480">
      <c r="A480" s="11">
        <v>45789.0</v>
      </c>
      <c r="B480" s="9" t="s">
        <v>908</v>
      </c>
      <c r="C480" s="28" t="s">
        <v>5</v>
      </c>
      <c r="D480" s="19"/>
    </row>
    <row r="481">
      <c r="A481" s="11">
        <v>45789.0</v>
      </c>
      <c r="B481" s="9" t="s">
        <v>909</v>
      </c>
      <c r="C481" s="28" t="s">
        <v>5</v>
      </c>
      <c r="D481" s="18" t="s">
        <v>855</v>
      </c>
    </row>
    <row r="482">
      <c r="A482" s="11">
        <v>45790.0</v>
      </c>
      <c r="B482" s="9" t="s">
        <v>910</v>
      </c>
      <c r="C482" s="28" t="s">
        <v>5</v>
      </c>
      <c r="D482" s="19"/>
    </row>
    <row r="483">
      <c r="A483" s="11">
        <v>45790.0</v>
      </c>
      <c r="B483" s="9" t="s">
        <v>911</v>
      </c>
      <c r="C483" s="28" t="s">
        <v>5</v>
      </c>
      <c r="D483" s="18" t="s">
        <v>855</v>
      </c>
    </row>
    <row r="484">
      <c r="A484" s="11">
        <v>45790.0</v>
      </c>
      <c r="B484" s="9" t="s">
        <v>233</v>
      </c>
      <c r="C484" s="10" t="s">
        <v>23</v>
      </c>
      <c r="D484" s="19"/>
    </row>
    <row r="485">
      <c r="A485" s="11">
        <v>45791.0</v>
      </c>
      <c r="B485" s="9" t="s">
        <v>234</v>
      </c>
      <c r="C485" s="10" t="s">
        <v>23</v>
      </c>
      <c r="D485" s="19"/>
    </row>
    <row r="486">
      <c r="A486" s="11">
        <v>45791.0</v>
      </c>
      <c r="B486" s="9" t="s">
        <v>912</v>
      </c>
      <c r="C486" s="28" t="s">
        <v>5</v>
      </c>
      <c r="D486" s="19"/>
    </row>
    <row r="487">
      <c r="A487" s="11">
        <v>45791.0</v>
      </c>
      <c r="B487" s="15" t="s">
        <v>913</v>
      </c>
      <c r="C487" s="10" t="s">
        <v>23</v>
      </c>
      <c r="D487" s="19"/>
    </row>
    <row r="488">
      <c r="A488" s="11">
        <v>45791.0</v>
      </c>
      <c r="B488" s="9" t="s">
        <v>914</v>
      </c>
      <c r="C488" s="28" t="s">
        <v>5</v>
      </c>
      <c r="D488" s="19"/>
    </row>
    <row r="489">
      <c r="A489" s="11">
        <v>45791.0</v>
      </c>
      <c r="B489" s="9" t="s">
        <v>237</v>
      </c>
      <c r="C489" s="10" t="s">
        <v>23</v>
      </c>
      <c r="D489" s="19"/>
    </row>
    <row r="490">
      <c r="A490" s="11">
        <v>45791.0</v>
      </c>
      <c r="B490" s="9" t="s">
        <v>239</v>
      </c>
      <c r="C490" s="10" t="s">
        <v>23</v>
      </c>
      <c r="D490" s="19"/>
    </row>
    <row r="491">
      <c r="A491" s="11">
        <v>45791.0</v>
      </c>
      <c r="B491" s="9" t="s">
        <v>241</v>
      </c>
      <c r="C491" s="10" t="s">
        <v>23</v>
      </c>
      <c r="D491" s="19"/>
    </row>
    <row r="492">
      <c r="A492" s="11">
        <v>45792.0</v>
      </c>
      <c r="B492" s="9" t="s">
        <v>243</v>
      </c>
      <c r="C492" s="10" t="s">
        <v>23</v>
      </c>
      <c r="D492" s="19"/>
    </row>
    <row r="493">
      <c r="A493" s="11">
        <v>45792.0</v>
      </c>
      <c r="B493" s="9" t="s">
        <v>915</v>
      </c>
      <c r="C493" s="28" t="s">
        <v>5</v>
      </c>
      <c r="D493" s="19"/>
    </row>
    <row r="494">
      <c r="A494" s="11">
        <v>45792.0</v>
      </c>
      <c r="B494" s="9" t="s">
        <v>916</v>
      </c>
      <c r="C494" s="28" t="s">
        <v>5</v>
      </c>
      <c r="D494" s="18" t="s">
        <v>896</v>
      </c>
    </row>
    <row r="495">
      <c r="A495" s="11">
        <v>45792.0</v>
      </c>
      <c r="B495" s="13" t="s">
        <v>917</v>
      </c>
      <c r="C495" s="28" t="s">
        <v>5</v>
      </c>
      <c r="D495" s="19"/>
    </row>
    <row r="496">
      <c r="A496" s="11">
        <v>45792.0</v>
      </c>
      <c r="B496" s="9" t="s">
        <v>918</v>
      </c>
      <c r="C496" s="28" t="s">
        <v>5</v>
      </c>
      <c r="D496" s="19"/>
    </row>
    <row r="497">
      <c r="A497" s="11">
        <v>45792.0</v>
      </c>
      <c r="B497" s="6" t="s">
        <v>919</v>
      </c>
      <c r="C497" s="28" t="s">
        <v>5</v>
      </c>
      <c r="D497" s="19"/>
    </row>
    <row r="498">
      <c r="A498" s="11">
        <v>45792.0</v>
      </c>
      <c r="B498" s="9" t="s">
        <v>920</v>
      </c>
      <c r="C498" s="28" t="s">
        <v>5</v>
      </c>
      <c r="D498" s="19"/>
    </row>
    <row r="499">
      <c r="A499" s="11">
        <v>45793.0</v>
      </c>
      <c r="B499" s="9" t="s">
        <v>921</v>
      </c>
      <c r="C499" s="28" t="s">
        <v>5</v>
      </c>
      <c r="D499" s="19"/>
    </row>
    <row r="500">
      <c r="A500" s="11">
        <v>45793.0</v>
      </c>
      <c r="B500" s="9" t="s">
        <v>922</v>
      </c>
      <c r="C500" s="28" t="s">
        <v>5</v>
      </c>
      <c r="D500" s="19"/>
    </row>
    <row r="501">
      <c r="A501" s="11">
        <v>45793.0</v>
      </c>
      <c r="B501" s="9" t="s">
        <v>923</v>
      </c>
      <c r="C501" s="28" t="s">
        <v>5</v>
      </c>
      <c r="D501" s="18" t="s">
        <v>855</v>
      </c>
    </row>
    <row r="502">
      <c r="A502" s="11">
        <v>45793.0</v>
      </c>
      <c r="B502" s="9" t="s">
        <v>924</v>
      </c>
      <c r="C502" s="28" t="s">
        <v>5</v>
      </c>
      <c r="D502" s="19"/>
    </row>
    <row r="503">
      <c r="A503" s="11">
        <v>45793.0</v>
      </c>
      <c r="B503" s="37" t="s">
        <v>925</v>
      </c>
      <c r="C503" s="28" t="s">
        <v>5</v>
      </c>
      <c r="D503" s="19"/>
    </row>
    <row r="504">
      <c r="A504" s="11">
        <v>45794.0</v>
      </c>
      <c r="B504" s="9" t="s">
        <v>926</v>
      </c>
      <c r="C504" s="28" t="s">
        <v>5</v>
      </c>
      <c r="D504" s="18" t="s">
        <v>927</v>
      </c>
    </row>
    <row r="505">
      <c r="A505" s="11">
        <v>45794.0</v>
      </c>
      <c r="B505" s="9" t="s">
        <v>928</v>
      </c>
      <c r="C505" s="28" t="s">
        <v>5</v>
      </c>
      <c r="D505" s="18" t="s">
        <v>929</v>
      </c>
    </row>
    <row r="506">
      <c r="A506" s="11">
        <v>45794.0</v>
      </c>
      <c r="B506" s="9" t="s">
        <v>930</v>
      </c>
      <c r="C506" s="28" t="s">
        <v>5</v>
      </c>
      <c r="D506" s="19"/>
    </row>
    <row r="507">
      <c r="A507" s="11">
        <v>45794.0</v>
      </c>
      <c r="B507" s="9" t="s">
        <v>931</v>
      </c>
      <c r="C507" s="28" t="s">
        <v>5</v>
      </c>
      <c r="D507" s="19"/>
    </row>
    <row r="508">
      <c r="A508" s="11">
        <v>45796.0</v>
      </c>
      <c r="B508" s="9" t="s">
        <v>932</v>
      </c>
      <c r="C508" s="28" t="s">
        <v>5</v>
      </c>
      <c r="D508" s="19"/>
    </row>
    <row r="509">
      <c r="A509" s="11">
        <v>45796.0</v>
      </c>
      <c r="B509" s="9" t="s">
        <v>244</v>
      </c>
      <c r="C509" s="10" t="s">
        <v>23</v>
      </c>
      <c r="D509" s="19"/>
    </row>
    <row r="510">
      <c r="A510" s="11">
        <v>45796.0</v>
      </c>
      <c r="B510" s="9" t="s">
        <v>933</v>
      </c>
      <c r="C510" s="28" t="s">
        <v>5</v>
      </c>
      <c r="D510" s="19"/>
    </row>
    <row r="511">
      <c r="A511" s="11">
        <v>45796.0</v>
      </c>
      <c r="B511" s="9" t="s">
        <v>245</v>
      </c>
      <c r="C511" s="10" t="s">
        <v>23</v>
      </c>
      <c r="D511" s="24" t="s">
        <v>247</v>
      </c>
    </row>
    <row r="512">
      <c r="A512" s="11">
        <v>45796.0</v>
      </c>
      <c r="B512" s="9" t="s">
        <v>934</v>
      </c>
      <c r="C512" s="28" t="s">
        <v>5</v>
      </c>
      <c r="D512" s="19"/>
    </row>
    <row r="513">
      <c r="A513" s="11">
        <v>45796.0</v>
      </c>
      <c r="B513" s="9" t="s">
        <v>935</v>
      </c>
      <c r="C513" s="28" t="s">
        <v>5</v>
      </c>
      <c r="D513" s="19"/>
    </row>
    <row r="514">
      <c r="A514" s="11">
        <v>45797.0</v>
      </c>
      <c r="B514" s="9" t="s">
        <v>936</v>
      </c>
      <c r="C514" s="28" t="s">
        <v>5</v>
      </c>
      <c r="D514" s="19"/>
    </row>
    <row r="515">
      <c r="A515" s="11">
        <v>45797.0</v>
      </c>
      <c r="B515" s="9" t="s">
        <v>937</v>
      </c>
      <c r="C515" s="28" t="s">
        <v>5</v>
      </c>
      <c r="D515" s="19"/>
    </row>
    <row r="516">
      <c r="A516" s="11">
        <v>45797.0</v>
      </c>
      <c r="B516" s="9" t="s">
        <v>938</v>
      </c>
      <c r="C516" s="28" t="s">
        <v>5</v>
      </c>
      <c r="D516" s="18" t="s">
        <v>927</v>
      </c>
    </row>
    <row r="517">
      <c r="A517" s="11">
        <v>45797.0</v>
      </c>
      <c r="B517" s="9" t="s">
        <v>939</v>
      </c>
      <c r="C517" s="28" t="s">
        <v>5</v>
      </c>
      <c r="D517" s="19"/>
    </row>
    <row r="518">
      <c r="A518" s="11">
        <v>45797.0</v>
      </c>
      <c r="B518" s="9" t="s">
        <v>940</v>
      </c>
      <c r="C518" s="28" t="s">
        <v>5</v>
      </c>
      <c r="D518" s="19"/>
    </row>
    <row r="519">
      <c r="A519" s="11">
        <v>45797.0</v>
      </c>
      <c r="B519" s="9" t="s">
        <v>941</v>
      </c>
      <c r="C519" s="28" t="s">
        <v>5</v>
      </c>
      <c r="D519" s="19"/>
    </row>
    <row r="520">
      <c r="A520" s="11">
        <v>45798.0</v>
      </c>
      <c r="B520" s="9" t="s">
        <v>942</v>
      </c>
      <c r="C520" s="28" t="s">
        <v>5</v>
      </c>
      <c r="D520" s="19"/>
    </row>
    <row r="521">
      <c r="A521" s="11">
        <v>45799.0</v>
      </c>
      <c r="B521" s="9" t="s">
        <v>943</v>
      </c>
      <c r="C521" s="28" t="s">
        <v>5</v>
      </c>
      <c r="D521" s="19"/>
    </row>
    <row r="522">
      <c r="A522" s="11">
        <v>45799.0</v>
      </c>
      <c r="B522" s="9" t="s">
        <v>944</v>
      </c>
      <c r="C522" s="28" t="s">
        <v>5</v>
      </c>
      <c r="D522" s="18" t="s">
        <v>945</v>
      </c>
    </row>
    <row r="523">
      <c r="A523" s="11">
        <v>45799.0</v>
      </c>
      <c r="B523" s="13" t="s">
        <v>946</v>
      </c>
      <c r="C523" s="28" t="s">
        <v>5</v>
      </c>
      <c r="D523" s="19"/>
    </row>
    <row r="524">
      <c r="A524" s="11">
        <v>45799.0</v>
      </c>
      <c r="B524" s="9" t="s">
        <v>947</v>
      </c>
      <c r="C524" s="28" t="s">
        <v>5</v>
      </c>
      <c r="D524" s="19"/>
    </row>
    <row r="525">
      <c r="A525" s="11">
        <v>45799.0</v>
      </c>
      <c r="B525" s="9" t="s">
        <v>948</v>
      </c>
      <c r="C525" s="28" t="s">
        <v>5</v>
      </c>
      <c r="D525" s="19"/>
    </row>
    <row r="526">
      <c r="A526" s="11">
        <v>45799.0</v>
      </c>
      <c r="B526" s="9" t="s">
        <v>949</v>
      </c>
      <c r="C526" s="28" t="s">
        <v>5</v>
      </c>
      <c r="D526" s="19"/>
    </row>
    <row r="527">
      <c r="A527" s="11">
        <v>45799.0</v>
      </c>
      <c r="B527" s="9" t="s">
        <v>950</v>
      </c>
      <c r="C527" s="28" t="s">
        <v>5</v>
      </c>
      <c r="D527" s="19"/>
    </row>
    <row r="528">
      <c r="A528" s="11">
        <v>45799.0</v>
      </c>
      <c r="B528" s="38" t="s">
        <v>951</v>
      </c>
      <c r="C528" s="28" t="s">
        <v>5</v>
      </c>
      <c r="D528" s="19"/>
    </row>
    <row r="529">
      <c r="A529" s="11">
        <v>45799.0</v>
      </c>
      <c r="B529" s="39" t="s">
        <v>952</v>
      </c>
      <c r="C529" s="28" t="s">
        <v>5</v>
      </c>
      <c r="D529" s="19"/>
    </row>
    <row r="530">
      <c r="A530" s="11">
        <v>45799.0</v>
      </c>
      <c r="B530" s="9" t="s">
        <v>953</v>
      </c>
      <c r="C530" s="28" t="s">
        <v>5</v>
      </c>
      <c r="D530" s="19"/>
    </row>
    <row r="531">
      <c r="A531" s="11">
        <v>45800.0</v>
      </c>
      <c r="B531" s="9" t="s">
        <v>954</v>
      </c>
      <c r="C531" s="28" t="s">
        <v>5</v>
      </c>
      <c r="D531" s="19"/>
    </row>
    <row r="532">
      <c r="A532" s="11">
        <v>45800.0</v>
      </c>
      <c r="B532" s="9" t="s">
        <v>955</v>
      </c>
      <c r="C532" s="28" t="s">
        <v>5</v>
      </c>
      <c r="D532" s="19"/>
    </row>
    <row r="533">
      <c r="A533" s="11">
        <v>45801.0</v>
      </c>
      <c r="B533" s="9" t="s">
        <v>956</v>
      </c>
      <c r="C533" s="28" t="s">
        <v>5</v>
      </c>
      <c r="D533" s="19"/>
    </row>
    <row r="534">
      <c r="A534" s="11">
        <v>45801.0</v>
      </c>
      <c r="B534" s="9" t="s">
        <v>957</v>
      </c>
      <c r="C534" s="28" t="s">
        <v>5</v>
      </c>
      <c r="D534" s="19"/>
    </row>
    <row r="535">
      <c r="A535" s="11">
        <v>45803.0</v>
      </c>
      <c r="B535" s="9" t="s">
        <v>958</v>
      </c>
      <c r="C535" s="28" t="s">
        <v>5</v>
      </c>
      <c r="D535" s="19"/>
    </row>
    <row r="536">
      <c r="A536" s="11">
        <v>45803.0</v>
      </c>
      <c r="B536" s="9" t="s">
        <v>959</v>
      </c>
      <c r="C536" s="28" t="s">
        <v>5</v>
      </c>
      <c r="D536" s="19"/>
    </row>
    <row r="537">
      <c r="A537" s="11">
        <v>45803.0</v>
      </c>
      <c r="B537" s="13" t="s">
        <v>960</v>
      </c>
      <c r="C537" s="28" t="s">
        <v>5</v>
      </c>
      <c r="D537" s="19"/>
    </row>
    <row r="538">
      <c r="A538" s="11">
        <v>45803.0</v>
      </c>
      <c r="B538" s="9" t="s">
        <v>961</v>
      </c>
      <c r="C538" s="28" t="s">
        <v>5</v>
      </c>
      <c r="D538" s="19"/>
    </row>
    <row r="539">
      <c r="A539" s="11">
        <v>45803.0</v>
      </c>
      <c r="B539" s="9" t="s">
        <v>248</v>
      </c>
      <c r="C539" s="10" t="s">
        <v>23</v>
      </c>
      <c r="D539" s="19"/>
    </row>
    <row r="540">
      <c r="A540" s="11">
        <v>45803.0</v>
      </c>
      <c r="B540" s="9" t="s">
        <v>962</v>
      </c>
      <c r="C540" s="28" t="s">
        <v>5</v>
      </c>
      <c r="D540" s="19"/>
    </row>
    <row r="541">
      <c r="A541" s="11">
        <v>45803.0</v>
      </c>
      <c r="B541" s="9" t="s">
        <v>963</v>
      </c>
      <c r="C541" s="28" t="s">
        <v>5</v>
      </c>
      <c r="D541" s="19"/>
    </row>
    <row r="542">
      <c r="A542" s="11">
        <v>45803.0</v>
      </c>
      <c r="B542" s="13" t="s">
        <v>964</v>
      </c>
      <c r="C542" s="28" t="s">
        <v>5</v>
      </c>
      <c r="D542" s="19"/>
    </row>
    <row r="543">
      <c r="A543" s="11">
        <v>45803.0</v>
      </c>
      <c r="B543" s="9" t="s">
        <v>965</v>
      </c>
      <c r="C543" s="28" t="s">
        <v>5</v>
      </c>
      <c r="D543" s="19"/>
    </row>
    <row r="544">
      <c r="A544" s="11">
        <v>45803.0</v>
      </c>
      <c r="B544" s="9" t="s">
        <v>966</v>
      </c>
      <c r="C544" s="28" t="s">
        <v>5</v>
      </c>
      <c r="D544" s="19"/>
    </row>
    <row r="545">
      <c r="A545" s="11">
        <v>45803.0</v>
      </c>
      <c r="B545" s="9" t="s">
        <v>967</v>
      </c>
      <c r="C545" s="28" t="s">
        <v>5</v>
      </c>
      <c r="D545" s="19"/>
    </row>
    <row r="546">
      <c r="A546" s="11">
        <v>45804.0</v>
      </c>
      <c r="B546" s="9" t="s">
        <v>968</v>
      </c>
      <c r="C546" s="28" t="s">
        <v>5</v>
      </c>
      <c r="D546" s="19"/>
    </row>
    <row r="547">
      <c r="A547" s="11">
        <v>45804.0</v>
      </c>
      <c r="B547" s="9" t="s">
        <v>969</v>
      </c>
      <c r="C547" s="28" t="s">
        <v>5</v>
      </c>
      <c r="D547" s="18" t="s">
        <v>929</v>
      </c>
    </row>
    <row r="548">
      <c r="A548" s="11">
        <v>45804.0</v>
      </c>
      <c r="B548" s="9" t="s">
        <v>970</v>
      </c>
      <c r="C548" s="28" t="s">
        <v>5</v>
      </c>
      <c r="D548" s="19"/>
    </row>
    <row r="549">
      <c r="A549" s="11">
        <v>45804.0</v>
      </c>
      <c r="B549" s="9" t="s">
        <v>971</v>
      </c>
      <c r="C549" s="28" t="s">
        <v>5</v>
      </c>
      <c r="D549" s="18" t="s">
        <v>855</v>
      </c>
    </row>
    <row r="550">
      <c r="A550" s="11">
        <v>45804.0</v>
      </c>
      <c r="B550" s="9" t="s">
        <v>249</v>
      </c>
      <c r="C550" s="10" t="s">
        <v>23</v>
      </c>
      <c r="D550" s="19"/>
    </row>
    <row r="551">
      <c r="A551" s="11">
        <v>45804.0</v>
      </c>
      <c r="B551" s="9" t="s">
        <v>972</v>
      </c>
      <c r="C551" s="28" t="s">
        <v>5</v>
      </c>
      <c r="D551" s="19"/>
    </row>
    <row r="552">
      <c r="A552" s="11">
        <v>45804.0</v>
      </c>
      <c r="B552" s="9" t="s">
        <v>973</v>
      </c>
      <c r="C552" s="28" t="s">
        <v>5</v>
      </c>
      <c r="D552" s="19"/>
    </row>
    <row r="553">
      <c r="A553" s="11">
        <v>45804.0</v>
      </c>
      <c r="B553" s="9" t="s">
        <v>974</v>
      </c>
      <c r="C553" s="28" t="s">
        <v>5</v>
      </c>
      <c r="D553" s="19"/>
    </row>
    <row r="554">
      <c r="A554" s="11">
        <v>45804.0</v>
      </c>
      <c r="B554" s="9" t="s">
        <v>975</v>
      </c>
      <c r="C554" s="28" t="s">
        <v>5</v>
      </c>
      <c r="D554" s="19"/>
    </row>
    <row r="555">
      <c r="A555" s="11">
        <v>45804.0</v>
      </c>
      <c r="B555" s="9" t="s">
        <v>250</v>
      </c>
      <c r="C555" s="10" t="s">
        <v>23</v>
      </c>
      <c r="D555" s="19"/>
    </row>
    <row r="556">
      <c r="A556" s="11">
        <v>45805.0</v>
      </c>
      <c r="B556" s="6" t="s">
        <v>252</v>
      </c>
      <c r="C556" s="10" t="s">
        <v>23</v>
      </c>
      <c r="D556" s="19"/>
    </row>
    <row r="557">
      <c r="A557" s="11">
        <v>45805.0</v>
      </c>
      <c r="B557" s="6" t="s">
        <v>254</v>
      </c>
      <c r="C557" s="10" t="s">
        <v>23</v>
      </c>
      <c r="D557" s="25" t="s">
        <v>256</v>
      </c>
    </row>
    <row r="558">
      <c r="A558" s="11">
        <v>45805.0</v>
      </c>
      <c r="B558" s="9" t="s">
        <v>976</v>
      </c>
      <c r="C558" s="28" t="s">
        <v>5</v>
      </c>
      <c r="D558" s="19"/>
    </row>
    <row r="559">
      <c r="A559" s="11">
        <v>45805.0</v>
      </c>
      <c r="B559" s="9" t="s">
        <v>977</v>
      </c>
      <c r="C559" s="28" t="s">
        <v>5</v>
      </c>
      <c r="D559" s="18" t="s">
        <v>855</v>
      </c>
    </row>
    <row r="560">
      <c r="A560" s="11">
        <v>45805.0</v>
      </c>
      <c r="B560" s="9" t="s">
        <v>978</v>
      </c>
      <c r="C560" s="28" t="s">
        <v>5</v>
      </c>
      <c r="D560" s="18" t="s">
        <v>855</v>
      </c>
    </row>
    <row r="561">
      <c r="A561" s="11">
        <v>45805.0</v>
      </c>
      <c r="B561" s="9" t="s">
        <v>979</v>
      </c>
      <c r="C561" s="28" t="s">
        <v>5</v>
      </c>
      <c r="D561" s="19"/>
    </row>
    <row r="562">
      <c r="A562" s="11">
        <v>45806.0</v>
      </c>
      <c r="B562" s="9" t="s">
        <v>980</v>
      </c>
      <c r="C562" s="28" t="s">
        <v>5</v>
      </c>
      <c r="D562" s="19"/>
    </row>
    <row r="563">
      <c r="A563" s="11">
        <v>45807.0</v>
      </c>
      <c r="B563" s="9" t="s">
        <v>257</v>
      </c>
      <c r="C563" s="10" t="s">
        <v>23</v>
      </c>
      <c r="D563" s="19"/>
    </row>
    <row r="564">
      <c r="A564" s="11">
        <v>45807.0</v>
      </c>
      <c r="B564" s="9" t="s">
        <v>259</v>
      </c>
      <c r="C564" s="10" t="s">
        <v>23</v>
      </c>
      <c r="D564" s="19"/>
    </row>
    <row r="565">
      <c r="A565" s="11">
        <v>45807.0</v>
      </c>
      <c r="B565" s="9" t="s">
        <v>261</v>
      </c>
      <c r="C565" s="10" t="s">
        <v>23</v>
      </c>
      <c r="D565" s="19"/>
    </row>
    <row r="566">
      <c r="A566" s="11">
        <v>45807.0</v>
      </c>
      <c r="B566" s="9" t="s">
        <v>981</v>
      </c>
      <c r="C566" s="28" t="s">
        <v>5</v>
      </c>
      <c r="D566" s="19"/>
    </row>
    <row r="567">
      <c r="A567" s="11">
        <v>45807.0</v>
      </c>
      <c r="B567" s="9" t="s">
        <v>982</v>
      </c>
      <c r="C567" s="28" t="s">
        <v>5</v>
      </c>
      <c r="D567" s="19"/>
    </row>
    <row r="568">
      <c r="A568" s="11">
        <v>45808.0</v>
      </c>
      <c r="B568" s="9" t="s">
        <v>983</v>
      </c>
      <c r="C568" s="28" t="s">
        <v>5</v>
      </c>
      <c r="D568" s="19"/>
    </row>
    <row r="569">
      <c r="A569" s="11">
        <v>45808.0</v>
      </c>
      <c r="B569" s="9" t="s">
        <v>984</v>
      </c>
      <c r="C569" s="28" t="s">
        <v>5</v>
      </c>
      <c r="D569" s="19"/>
    </row>
    <row r="570">
      <c r="A570" s="11">
        <v>45808.0</v>
      </c>
      <c r="B570" s="9" t="s">
        <v>985</v>
      </c>
      <c r="C570" s="28" t="s">
        <v>5</v>
      </c>
      <c r="D570" s="19"/>
    </row>
    <row r="571">
      <c r="A571" s="11">
        <v>45808.0</v>
      </c>
      <c r="B571" s="9" t="s">
        <v>986</v>
      </c>
      <c r="C571" s="28" t="s">
        <v>5</v>
      </c>
      <c r="D571" s="19"/>
    </row>
    <row r="572">
      <c r="A572" s="11">
        <v>45810.0</v>
      </c>
      <c r="B572" s="6" t="s">
        <v>262</v>
      </c>
      <c r="C572" s="10" t="s">
        <v>23</v>
      </c>
      <c r="D572" s="19"/>
    </row>
    <row r="573">
      <c r="A573" s="11">
        <v>45810.0</v>
      </c>
      <c r="B573" s="9" t="s">
        <v>987</v>
      </c>
      <c r="C573" s="28" t="s">
        <v>5</v>
      </c>
      <c r="D573" s="19"/>
    </row>
    <row r="574">
      <c r="A574" s="11">
        <v>45810.0</v>
      </c>
      <c r="B574" s="9" t="s">
        <v>988</v>
      </c>
      <c r="C574" s="28" t="s">
        <v>5</v>
      </c>
      <c r="D574" s="19"/>
    </row>
    <row r="575">
      <c r="A575" s="11">
        <v>45810.0</v>
      </c>
      <c r="B575" s="9" t="s">
        <v>989</v>
      </c>
      <c r="C575" s="28" t="s">
        <v>5</v>
      </c>
      <c r="D575" s="19"/>
    </row>
    <row r="576">
      <c r="A576" s="11">
        <v>45810.0</v>
      </c>
      <c r="B576" s="9" t="s">
        <v>990</v>
      </c>
      <c r="C576" s="28" t="s">
        <v>5</v>
      </c>
      <c r="D576" s="19"/>
    </row>
    <row r="577">
      <c r="A577" s="11">
        <v>45810.0</v>
      </c>
      <c r="B577" s="9" t="s">
        <v>991</v>
      </c>
      <c r="C577" s="28" t="s">
        <v>5</v>
      </c>
      <c r="D577" s="18" t="s">
        <v>855</v>
      </c>
    </row>
    <row r="578">
      <c r="A578" s="11">
        <v>45810.0</v>
      </c>
      <c r="B578" s="9" t="s">
        <v>992</v>
      </c>
      <c r="C578" s="28" t="s">
        <v>5</v>
      </c>
      <c r="D578" s="19"/>
    </row>
    <row r="579">
      <c r="A579" s="11">
        <v>45810.0</v>
      </c>
      <c r="B579" s="9" t="s">
        <v>993</v>
      </c>
      <c r="C579" s="28" t="s">
        <v>5</v>
      </c>
      <c r="D579" s="19"/>
    </row>
    <row r="580">
      <c r="A580" s="11">
        <v>45810.0</v>
      </c>
      <c r="B580" s="9" t="s">
        <v>994</v>
      </c>
      <c r="C580" s="28" t="s">
        <v>5</v>
      </c>
      <c r="D580" s="19"/>
    </row>
    <row r="581">
      <c r="A581" s="11">
        <v>45810.0</v>
      </c>
      <c r="B581" s="9" t="s">
        <v>995</v>
      </c>
      <c r="C581" s="28" t="s">
        <v>5</v>
      </c>
      <c r="D581" s="19"/>
    </row>
    <row r="582">
      <c r="A582" s="11">
        <v>45810.0</v>
      </c>
      <c r="B582" s="9" t="s">
        <v>996</v>
      </c>
      <c r="C582" s="28" t="s">
        <v>5</v>
      </c>
      <c r="D582" s="19"/>
    </row>
    <row r="583">
      <c r="A583" s="11">
        <v>45810.0</v>
      </c>
      <c r="B583" s="9" t="s">
        <v>997</v>
      </c>
      <c r="C583" s="28" t="s">
        <v>5</v>
      </c>
      <c r="D583" s="18" t="s">
        <v>855</v>
      </c>
    </row>
    <row r="584">
      <c r="A584" s="11">
        <v>45811.0</v>
      </c>
      <c r="B584" s="9" t="s">
        <v>998</v>
      </c>
      <c r="C584" s="28" t="s">
        <v>5</v>
      </c>
      <c r="D584" s="19"/>
    </row>
    <row r="585">
      <c r="A585" s="11">
        <v>45811.0</v>
      </c>
      <c r="B585" s="9" t="s">
        <v>999</v>
      </c>
      <c r="C585" s="28" t="s">
        <v>5</v>
      </c>
      <c r="D585" s="19"/>
    </row>
    <row r="586">
      <c r="A586" s="11">
        <v>45811.0</v>
      </c>
      <c r="B586" s="9" t="s">
        <v>1000</v>
      </c>
      <c r="C586" s="28" t="s">
        <v>5</v>
      </c>
      <c r="D586" s="19"/>
    </row>
    <row r="587">
      <c r="A587" s="11">
        <v>45812.0</v>
      </c>
      <c r="B587" s="9" t="s">
        <v>1001</v>
      </c>
      <c r="C587" s="28" t="s">
        <v>5</v>
      </c>
      <c r="D587" s="19"/>
    </row>
    <row r="588">
      <c r="A588" s="11">
        <v>45812.0</v>
      </c>
      <c r="B588" s="9" t="s">
        <v>1002</v>
      </c>
      <c r="C588" s="28" t="s">
        <v>5</v>
      </c>
      <c r="D588" s="19"/>
    </row>
    <row r="589">
      <c r="A589" s="11">
        <v>45812.0</v>
      </c>
      <c r="B589" s="9" t="s">
        <v>1003</v>
      </c>
      <c r="C589" s="28" t="s">
        <v>5</v>
      </c>
      <c r="D589" s="19"/>
    </row>
    <row r="590">
      <c r="A590" s="11">
        <v>45814.0</v>
      </c>
      <c r="B590" s="9" t="s">
        <v>264</v>
      </c>
      <c r="C590" s="10" t="s">
        <v>23</v>
      </c>
      <c r="D590" s="19"/>
    </row>
    <row r="591">
      <c r="A591" s="11">
        <v>45814.0</v>
      </c>
      <c r="B591" s="9" t="s">
        <v>1004</v>
      </c>
      <c r="C591" s="28" t="s">
        <v>5</v>
      </c>
      <c r="D591" s="19"/>
    </row>
    <row r="592">
      <c r="A592" s="11">
        <v>45814.0</v>
      </c>
      <c r="B592" s="13" t="s">
        <v>1005</v>
      </c>
      <c r="C592" s="28" t="s">
        <v>5</v>
      </c>
      <c r="D592" s="19"/>
    </row>
    <row r="593">
      <c r="A593" s="11">
        <v>45814.0</v>
      </c>
      <c r="B593" s="9" t="s">
        <v>1006</v>
      </c>
      <c r="C593" s="28" t="s">
        <v>5</v>
      </c>
      <c r="D593" s="19"/>
    </row>
    <row r="594">
      <c r="A594" s="11">
        <v>45814.0</v>
      </c>
      <c r="B594" s="9" t="s">
        <v>1007</v>
      </c>
      <c r="C594" s="9" t="s">
        <v>1008</v>
      </c>
      <c r="D594" s="18" t="s">
        <v>927</v>
      </c>
    </row>
    <row r="595">
      <c r="A595" s="11">
        <v>45814.0</v>
      </c>
      <c r="B595" s="9" t="s">
        <v>1009</v>
      </c>
      <c r="C595" s="28" t="s">
        <v>5</v>
      </c>
      <c r="D595" s="19"/>
    </row>
    <row r="596">
      <c r="A596" s="11">
        <v>45814.0</v>
      </c>
      <c r="B596" s="9" t="s">
        <v>1010</v>
      </c>
      <c r="C596" s="28" t="s">
        <v>5</v>
      </c>
      <c r="D596" s="19"/>
    </row>
    <row r="597">
      <c r="A597" s="11">
        <v>45815.0</v>
      </c>
      <c r="B597" s="9" t="s">
        <v>1011</v>
      </c>
      <c r="C597" s="28" t="s">
        <v>5</v>
      </c>
      <c r="D597" s="18" t="s">
        <v>927</v>
      </c>
    </row>
    <row r="598">
      <c r="A598" s="11">
        <v>45817.0</v>
      </c>
      <c r="B598" s="9" t="s">
        <v>1012</v>
      </c>
      <c r="C598" s="28" t="s">
        <v>5</v>
      </c>
      <c r="D598" s="18" t="s">
        <v>855</v>
      </c>
    </row>
    <row r="599">
      <c r="A599" s="11">
        <v>45817.0</v>
      </c>
      <c r="B599" s="9" t="s">
        <v>1013</v>
      </c>
      <c r="C599" s="28" t="s">
        <v>5</v>
      </c>
      <c r="D599" s="19"/>
    </row>
    <row r="600">
      <c r="A600" s="11">
        <v>45817.0</v>
      </c>
      <c r="B600" s="9" t="s">
        <v>1014</v>
      </c>
      <c r="C600" s="28" t="s">
        <v>5</v>
      </c>
      <c r="D600" s="19"/>
    </row>
    <row r="601">
      <c r="A601" s="11">
        <v>45818.0</v>
      </c>
      <c r="B601" s="9" t="s">
        <v>266</v>
      </c>
      <c r="C601" s="10" t="s">
        <v>23</v>
      </c>
      <c r="D601" s="19"/>
    </row>
    <row r="602">
      <c r="A602" s="11">
        <v>45818.0</v>
      </c>
      <c r="B602" s="9" t="s">
        <v>1015</v>
      </c>
      <c r="C602" s="28" t="s">
        <v>5</v>
      </c>
      <c r="D602" s="18" t="s">
        <v>855</v>
      </c>
    </row>
    <row r="603">
      <c r="A603" s="11">
        <v>45818.0</v>
      </c>
      <c r="B603" s="9" t="s">
        <v>1016</v>
      </c>
      <c r="C603" s="28" t="s">
        <v>5</v>
      </c>
      <c r="D603" s="18" t="s">
        <v>855</v>
      </c>
    </row>
    <row r="604">
      <c r="A604" s="11">
        <v>45818.0</v>
      </c>
      <c r="B604" s="9" t="s">
        <v>268</v>
      </c>
      <c r="C604" s="10" t="s">
        <v>23</v>
      </c>
      <c r="D604" s="19"/>
    </row>
    <row r="605">
      <c r="A605" s="11">
        <v>45819.0</v>
      </c>
      <c r="B605" s="9" t="s">
        <v>1017</v>
      </c>
      <c r="C605" s="28" t="s">
        <v>5</v>
      </c>
      <c r="D605" s="19"/>
    </row>
    <row r="606">
      <c r="A606" s="11">
        <v>45819.0</v>
      </c>
      <c r="B606" s="9" t="s">
        <v>1018</v>
      </c>
      <c r="C606" s="28" t="s">
        <v>5</v>
      </c>
      <c r="D606" s="18" t="s">
        <v>855</v>
      </c>
    </row>
    <row r="607">
      <c r="A607" s="11">
        <v>45819.0</v>
      </c>
      <c r="B607" s="9" t="s">
        <v>1019</v>
      </c>
      <c r="C607" s="28" t="s">
        <v>5</v>
      </c>
      <c r="D607" s="19"/>
    </row>
    <row r="608">
      <c r="A608" s="11">
        <v>45819.0</v>
      </c>
      <c r="B608" s="9" t="s">
        <v>1020</v>
      </c>
      <c r="C608" s="28" t="s">
        <v>5</v>
      </c>
      <c r="D608" s="19"/>
    </row>
    <row r="609">
      <c r="A609" s="11">
        <v>45819.0</v>
      </c>
      <c r="B609" s="9" t="s">
        <v>1021</v>
      </c>
      <c r="C609" s="28" t="s">
        <v>5</v>
      </c>
      <c r="D609" s="19"/>
    </row>
    <row r="610">
      <c r="A610" s="11">
        <v>45819.0</v>
      </c>
      <c r="B610" s="9" t="s">
        <v>1022</v>
      </c>
      <c r="C610" s="28" t="s">
        <v>5</v>
      </c>
      <c r="D610" s="18" t="s">
        <v>855</v>
      </c>
    </row>
    <row r="611">
      <c r="A611" s="11">
        <v>45819.0</v>
      </c>
      <c r="B611" s="9" t="s">
        <v>1023</v>
      </c>
      <c r="C611" s="28" t="s">
        <v>5</v>
      </c>
      <c r="D611" s="18" t="s">
        <v>855</v>
      </c>
    </row>
    <row r="612">
      <c r="A612" s="11">
        <v>45820.0</v>
      </c>
      <c r="B612" s="9" t="s">
        <v>1024</v>
      </c>
      <c r="C612" s="28" t="s">
        <v>5</v>
      </c>
      <c r="D612" s="18" t="s">
        <v>855</v>
      </c>
    </row>
    <row r="613">
      <c r="A613" s="11">
        <v>45820.0</v>
      </c>
      <c r="B613" s="9" t="s">
        <v>1025</v>
      </c>
      <c r="C613" s="28" t="s">
        <v>5</v>
      </c>
      <c r="D613" s="18" t="s">
        <v>1026</v>
      </c>
    </row>
    <row r="614">
      <c r="A614" s="11">
        <v>45820.0</v>
      </c>
      <c r="B614" s="9" t="s">
        <v>1027</v>
      </c>
      <c r="C614" s="28" t="s">
        <v>5</v>
      </c>
      <c r="D614" s="19"/>
    </row>
    <row r="615">
      <c r="A615" s="11">
        <v>45820.0</v>
      </c>
      <c r="B615" s="9" t="s">
        <v>1028</v>
      </c>
      <c r="C615" s="28" t="s">
        <v>5</v>
      </c>
      <c r="D615" s="19"/>
    </row>
    <row r="616">
      <c r="A616" s="11">
        <v>45821.0</v>
      </c>
      <c r="B616" s="9" t="s">
        <v>1029</v>
      </c>
      <c r="C616" s="28" t="s">
        <v>5</v>
      </c>
      <c r="D616" s="19"/>
    </row>
    <row r="617">
      <c r="A617" s="11">
        <v>45824.0</v>
      </c>
      <c r="B617" s="9" t="s">
        <v>1030</v>
      </c>
      <c r="C617" s="28" t="s">
        <v>5</v>
      </c>
      <c r="D617" s="19"/>
    </row>
    <row r="618">
      <c r="A618" s="11">
        <v>45824.0</v>
      </c>
      <c r="B618" s="9" t="s">
        <v>1031</v>
      </c>
      <c r="C618" s="28" t="s">
        <v>5</v>
      </c>
      <c r="D618" s="19"/>
    </row>
    <row r="619">
      <c r="A619" s="11">
        <v>45824.0</v>
      </c>
      <c r="B619" s="9" t="s">
        <v>1032</v>
      </c>
      <c r="C619" s="28" t="s">
        <v>5</v>
      </c>
      <c r="D619" s="19"/>
    </row>
    <row r="620">
      <c r="A620" s="11">
        <v>45825.0</v>
      </c>
      <c r="B620" s="9" t="s">
        <v>1033</v>
      </c>
      <c r="C620" s="28" t="s">
        <v>5</v>
      </c>
      <c r="D620" s="18" t="s">
        <v>855</v>
      </c>
    </row>
    <row r="621">
      <c r="A621" s="11">
        <v>45825.0</v>
      </c>
      <c r="B621" s="9" t="s">
        <v>1034</v>
      </c>
      <c r="C621" s="28" t="s">
        <v>5</v>
      </c>
      <c r="D621" s="19"/>
    </row>
    <row r="622">
      <c r="A622" s="11">
        <v>45826.0</v>
      </c>
      <c r="B622" s="9" t="s">
        <v>1035</v>
      </c>
      <c r="C622" s="28" t="s">
        <v>5</v>
      </c>
      <c r="D622" s="19"/>
    </row>
    <row r="623">
      <c r="A623" s="11">
        <v>45826.0</v>
      </c>
      <c r="B623" s="9" t="s">
        <v>1036</v>
      </c>
      <c r="C623" s="28" t="s">
        <v>5</v>
      </c>
      <c r="D623" s="19"/>
    </row>
    <row r="624">
      <c r="A624" s="11">
        <v>45826.0</v>
      </c>
      <c r="B624" s="9" t="s">
        <v>1037</v>
      </c>
      <c r="C624" s="28" t="s">
        <v>5</v>
      </c>
      <c r="D624" s="19"/>
    </row>
    <row r="625">
      <c r="A625" s="11">
        <v>45826.0</v>
      </c>
      <c r="B625" s="9" t="s">
        <v>1038</v>
      </c>
      <c r="C625" s="28" t="s">
        <v>5</v>
      </c>
      <c r="D625" s="19"/>
    </row>
    <row r="626">
      <c r="A626" s="11">
        <v>45826.0</v>
      </c>
      <c r="B626" s="9" t="s">
        <v>1039</v>
      </c>
      <c r="C626" s="28" t="s">
        <v>5</v>
      </c>
      <c r="D626" s="19"/>
    </row>
    <row r="627">
      <c r="A627" s="11">
        <v>45826.0</v>
      </c>
      <c r="B627" s="9" t="s">
        <v>1040</v>
      </c>
      <c r="C627" s="28" t="s">
        <v>5</v>
      </c>
      <c r="D627" s="19"/>
    </row>
    <row r="628">
      <c r="A628" s="11">
        <v>45826.0</v>
      </c>
      <c r="B628" s="9" t="s">
        <v>1041</v>
      </c>
      <c r="C628" s="28" t="s">
        <v>5</v>
      </c>
      <c r="D628" s="19"/>
    </row>
    <row r="629">
      <c r="A629" s="11">
        <v>45826.0</v>
      </c>
      <c r="B629" s="9" t="s">
        <v>1042</v>
      </c>
      <c r="C629" s="28" t="s">
        <v>5</v>
      </c>
      <c r="D629" s="19"/>
    </row>
    <row r="630">
      <c r="A630" s="11">
        <v>45826.0</v>
      </c>
      <c r="B630" s="13" t="s">
        <v>1043</v>
      </c>
      <c r="C630" s="28" t="s">
        <v>5</v>
      </c>
      <c r="D630" s="19"/>
    </row>
    <row r="631">
      <c r="A631" s="11">
        <v>45826.0</v>
      </c>
      <c r="B631" s="9" t="s">
        <v>1044</v>
      </c>
      <c r="C631" s="28" t="s">
        <v>5</v>
      </c>
      <c r="D631" s="19"/>
    </row>
    <row r="632">
      <c r="A632" s="11">
        <v>45826.0</v>
      </c>
      <c r="B632" s="9" t="s">
        <v>1045</v>
      </c>
      <c r="C632" s="28" t="s">
        <v>5</v>
      </c>
      <c r="D632" s="19"/>
    </row>
    <row r="633">
      <c r="A633" s="11">
        <v>45826.0</v>
      </c>
      <c r="B633" s="9" t="s">
        <v>1046</v>
      </c>
      <c r="C633" s="28" t="s">
        <v>5</v>
      </c>
      <c r="D633" s="18" t="s">
        <v>855</v>
      </c>
    </row>
    <row r="634">
      <c r="A634" s="11">
        <v>45826.0</v>
      </c>
      <c r="B634" s="9" t="s">
        <v>1047</v>
      </c>
      <c r="C634" s="28" t="s">
        <v>5</v>
      </c>
      <c r="D634" s="18" t="s">
        <v>927</v>
      </c>
    </row>
    <row r="635">
      <c r="A635" s="11">
        <v>45826.0</v>
      </c>
      <c r="B635" s="9" t="s">
        <v>1048</v>
      </c>
      <c r="C635" s="28" t="s">
        <v>5</v>
      </c>
      <c r="D635" s="19"/>
    </row>
    <row r="636">
      <c r="A636" s="11">
        <v>45826.0</v>
      </c>
      <c r="B636" s="9" t="s">
        <v>1049</v>
      </c>
      <c r="C636" s="28" t="s">
        <v>5</v>
      </c>
      <c r="D636" s="18" t="s">
        <v>855</v>
      </c>
    </row>
    <row r="637">
      <c r="A637" s="11">
        <v>45827.0</v>
      </c>
      <c r="B637" s="9" t="s">
        <v>1050</v>
      </c>
      <c r="C637" s="28" t="s">
        <v>5</v>
      </c>
      <c r="D637" s="19"/>
    </row>
    <row r="638">
      <c r="A638" s="11">
        <v>45827.0</v>
      </c>
      <c r="B638" s="9" t="s">
        <v>1051</v>
      </c>
      <c r="C638" s="28" t="s">
        <v>5</v>
      </c>
      <c r="D638" s="18" t="s">
        <v>855</v>
      </c>
    </row>
    <row r="639">
      <c r="A639" s="11">
        <v>45827.0</v>
      </c>
      <c r="B639" s="9" t="s">
        <v>1052</v>
      </c>
      <c r="C639" s="28" t="s">
        <v>5</v>
      </c>
      <c r="D639" s="18" t="s">
        <v>855</v>
      </c>
    </row>
    <row r="640">
      <c r="A640" s="11">
        <v>45828.0</v>
      </c>
      <c r="B640" s="13" t="s">
        <v>1053</v>
      </c>
      <c r="C640" s="28" t="s">
        <v>5</v>
      </c>
      <c r="D640" s="19"/>
    </row>
    <row r="641">
      <c r="A641" s="11">
        <v>45828.0</v>
      </c>
      <c r="B641" s="9" t="s">
        <v>1054</v>
      </c>
      <c r="C641" s="28" t="s">
        <v>5</v>
      </c>
      <c r="D641" s="19"/>
    </row>
    <row r="642">
      <c r="A642" s="11">
        <v>45828.0</v>
      </c>
      <c r="B642" s="9" t="s">
        <v>1055</v>
      </c>
      <c r="C642" s="28" t="s">
        <v>5</v>
      </c>
      <c r="D642" s="18" t="s">
        <v>855</v>
      </c>
    </row>
    <row r="643">
      <c r="A643" s="11">
        <v>45829.0</v>
      </c>
      <c r="B643" s="9" t="s">
        <v>1056</v>
      </c>
      <c r="C643" s="28" t="s">
        <v>5</v>
      </c>
      <c r="D643" s="19"/>
    </row>
    <row r="644">
      <c r="A644" s="11">
        <v>45829.0</v>
      </c>
      <c r="B644" s="9" t="s">
        <v>1057</v>
      </c>
      <c r="C644" s="28" t="s">
        <v>5</v>
      </c>
      <c r="D644" s="19"/>
    </row>
    <row r="645">
      <c r="A645" s="11">
        <v>45829.0</v>
      </c>
      <c r="B645" s="9" t="s">
        <v>269</v>
      </c>
      <c r="C645" s="10" t="s">
        <v>23</v>
      </c>
      <c r="D645" s="19"/>
    </row>
    <row r="646">
      <c r="A646" s="11">
        <v>45831.0</v>
      </c>
      <c r="B646" s="9" t="s">
        <v>1058</v>
      </c>
      <c r="C646" s="28" t="s">
        <v>5</v>
      </c>
      <c r="D646" s="19"/>
    </row>
    <row r="647">
      <c r="A647" s="11">
        <v>45831.0</v>
      </c>
      <c r="B647" s="9" t="s">
        <v>1059</v>
      </c>
      <c r="C647" s="28" t="s">
        <v>5</v>
      </c>
      <c r="D647" s="19"/>
    </row>
    <row r="648">
      <c r="A648" s="11">
        <v>45831.0</v>
      </c>
      <c r="B648" s="9" t="s">
        <v>271</v>
      </c>
      <c r="C648" s="10" t="s">
        <v>23</v>
      </c>
      <c r="D648" s="19"/>
    </row>
    <row r="649">
      <c r="A649" s="11">
        <v>45831.0</v>
      </c>
      <c r="B649" s="9" t="s">
        <v>1060</v>
      </c>
      <c r="C649" s="28" t="s">
        <v>5</v>
      </c>
      <c r="D649" s="19"/>
    </row>
    <row r="650">
      <c r="A650" s="11">
        <v>45831.0</v>
      </c>
      <c r="B650" s="9" t="s">
        <v>1061</v>
      </c>
      <c r="C650" s="28" t="s">
        <v>5</v>
      </c>
      <c r="D650" s="19"/>
    </row>
    <row r="651">
      <c r="A651" s="11">
        <v>45831.0</v>
      </c>
      <c r="B651" s="9" t="s">
        <v>1062</v>
      </c>
      <c r="C651" s="28" t="s">
        <v>5</v>
      </c>
      <c r="D651" s="19"/>
    </row>
    <row r="652">
      <c r="A652" s="11">
        <v>45831.0</v>
      </c>
      <c r="B652" s="9" t="s">
        <v>1063</v>
      </c>
      <c r="C652" s="28" t="s">
        <v>5</v>
      </c>
      <c r="D652" s="18" t="s">
        <v>855</v>
      </c>
    </row>
    <row r="653">
      <c r="A653" s="11">
        <v>45831.0</v>
      </c>
      <c r="B653" s="9" t="s">
        <v>1064</v>
      </c>
      <c r="C653" s="28" t="s">
        <v>5</v>
      </c>
      <c r="D653" s="19"/>
    </row>
    <row r="654">
      <c r="A654" s="11">
        <v>45831.0</v>
      </c>
      <c r="B654" s="9" t="s">
        <v>1065</v>
      </c>
      <c r="C654" s="28" t="s">
        <v>5</v>
      </c>
      <c r="D654" s="19"/>
    </row>
    <row r="655">
      <c r="A655" s="11">
        <v>45832.0</v>
      </c>
      <c r="B655" s="9" t="s">
        <v>1066</v>
      </c>
      <c r="C655" s="28" t="s">
        <v>5</v>
      </c>
      <c r="D655" s="19"/>
    </row>
    <row r="656">
      <c r="A656" s="11">
        <v>45832.0</v>
      </c>
      <c r="B656" s="9" t="s">
        <v>1067</v>
      </c>
      <c r="C656" s="28" t="s">
        <v>5</v>
      </c>
      <c r="D656" s="18" t="s">
        <v>855</v>
      </c>
    </row>
    <row r="657">
      <c r="A657" s="11">
        <v>45832.0</v>
      </c>
      <c r="B657" s="9" t="s">
        <v>1068</v>
      </c>
      <c r="C657" s="28" t="s">
        <v>5</v>
      </c>
      <c r="D657" s="18" t="s">
        <v>1069</v>
      </c>
    </row>
    <row r="658">
      <c r="A658" s="11">
        <v>45832.0</v>
      </c>
      <c r="B658" s="9" t="s">
        <v>273</v>
      </c>
      <c r="C658" s="10" t="s">
        <v>23</v>
      </c>
      <c r="D658" s="19"/>
    </row>
    <row r="659">
      <c r="A659" s="11">
        <v>45833.0</v>
      </c>
      <c r="B659" s="13" t="s">
        <v>1070</v>
      </c>
      <c r="C659" s="28" t="s">
        <v>5</v>
      </c>
      <c r="D659" s="19"/>
    </row>
    <row r="660">
      <c r="A660" s="11">
        <v>45833.0</v>
      </c>
      <c r="B660" s="9" t="s">
        <v>274</v>
      </c>
      <c r="C660" s="10" t="s">
        <v>23</v>
      </c>
      <c r="D660" s="19"/>
    </row>
    <row r="661">
      <c r="A661" s="11">
        <v>45834.0</v>
      </c>
      <c r="B661" s="9" t="s">
        <v>1071</v>
      </c>
      <c r="C661" s="28" t="s">
        <v>5</v>
      </c>
      <c r="D661" s="18" t="s">
        <v>855</v>
      </c>
    </row>
    <row r="662">
      <c r="A662" s="11">
        <v>45834.0</v>
      </c>
      <c r="B662" s="9" t="s">
        <v>1072</v>
      </c>
      <c r="C662" s="28" t="s">
        <v>5</v>
      </c>
      <c r="D662" s="19"/>
    </row>
    <row r="663">
      <c r="A663" s="11">
        <v>45835.0</v>
      </c>
      <c r="B663" s="9" t="s">
        <v>1073</v>
      </c>
      <c r="C663" s="28" t="s">
        <v>5</v>
      </c>
      <c r="D663" s="19"/>
    </row>
    <row r="664">
      <c r="A664" s="11">
        <v>45835.0</v>
      </c>
      <c r="B664" s="9" t="s">
        <v>1074</v>
      </c>
      <c r="C664" s="28" t="s">
        <v>5</v>
      </c>
      <c r="D664" s="19"/>
    </row>
    <row r="665">
      <c r="A665" s="11">
        <v>45835.0</v>
      </c>
      <c r="B665" s="9" t="s">
        <v>1075</v>
      </c>
      <c r="C665" s="28" t="s">
        <v>5</v>
      </c>
      <c r="D665" s="19"/>
    </row>
    <row r="666">
      <c r="A666" s="11">
        <v>45835.0</v>
      </c>
      <c r="B666" s="6" t="s">
        <v>275</v>
      </c>
      <c r="C666" s="10" t="s">
        <v>23</v>
      </c>
      <c r="D666" s="19"/>
    </row>
    <row r="667">
      <c r="A667" s="11">
        <v>45835.0</v>
      </c>
      <c r="B667" s="9" t="s">
        <v>1076</v>
      </c>
      <c r="C667" s="28" t="s">
        <v>5</v>
      </c>
      <c r="D667" s="18" t="s">
        <v>855</v>
      </c>
    </row>
    <row r="668">
      <c r="A668" s="11">
        <v>45835.0</v>
      </c>
      <c r="B668" s="9" t="s">
        <v>1077</v>
      </c>
      <c r="C668" s="28" t="s">
        <v>5</v>
      </c>
      <c r="D668" s="19"/>
    </row>
    <row r="669">
      <c r="A669" s="11">
        <v>45835.0</v>
      </c>
      <c r="B669" s="13" t="s">
        <v>1078</v>
      </c>
      <c r="C669" s="28" t="s">
        <v>5</v>
      </c>
      <c r="D669" s="19"/>
    </row>
    <row r="670">
      <c r="A670" s="11">
        <v>45838.0</v>
      </c>
      <c r="B670" s="9" t="s">
        <v>1079</v>
      </c>
      <c r="C670" s="28" t="s">
        <v>5</v>
      </c>
      <c r="D670" s="18" t="s">
        <v>927</v>
      </c>
    </row>
    <row r="671">
      <c r="A671" s="11">
        <v>45838.0</v>
      </c>
      <c r="B671" s="13" t="s">
        <v>1080</v>
      </c>
      <c r="C671" s="28" t="s">
        <v>5</v>
      </c>
      <c r="D671" s="19"/>
    </row>
    <row r="672">
      <c r="A672" s="11">
        <v>45838.0</v>
      </c>
      <c r="B672" s="9" t="s">
        <v>1081</v>
      </c>
      <c r="C672" s="28" t="s">
        <v>5</v>
      </c>
      <c r="D672" s="19"/>
    </row>
    <row r="673">
      <c r="A673" s="11">
        <v>45838.0</v>
      </c>
      <c r="B673" s="9" t="s">
        <v>1082</v>
      </c>
      <c r="C673" s="28" t="s">
        <v>5</v>
      </c>
      <c r="D673" s="19"/>
    </row>
    <row r="674">
      <c r="A674" s="11">
        <v>45838.0</v>
      </c>
      <c r="B674" s="9" t="s">
        <v>1083</v>
      </c>
      <c r="C674" s="28" t="s">
        <v>5</v>
      </c>
      <c r="D674" s="19"/>
    </row>
    <row r="675">
      <c r="A675" s="11">
        <v>45838.0</v>
      </c>
      <c r="B675" s="9" t="s">
        <v>1084</v>
      </c>
      <c r="C675" s="28" t="s">
        <v>5</v>
      </c>
      <c r="D675" s="19"/>
    </row>
    <row r="676">
      <c r="A676" s="11">
        <v>45838.0</v>
      </c>
      <c r="B676" s="9" t="s">
        <v>1085</v>
      </c>
      <c r="C676" s="28" t="s">
        <v>5</v>
      </c>
      <c r="D676" s="19"/>
    </row>
    <row r="677">
      <c r="A677" s="11">
        <v>45838.0</v>
      </c>
      <c r="B677" s="9" t="s">
        <v>276</v>
      </c>
      <c r="C677" s="10" t="s">
        <v>23</v>
      </c>
      <c r="D677" s="19"/>
    </row>
    <row r="678">
      <c r="A678" s="11">
        <v>45839.0</v>
      </c>
      <c r="B678" s="9" t="s">
        <v>1086</v>
      </c>
      <c r="C678" s="28" t="s">
        <v>5</v>
      </c>
      <c r="D678" s="19"/>
    </row>
    <row r="679">
      <c r="A679" s="11">
        <v>45839.0</v>
      </c>
      <c r="B679" s="9" t="s">
        <v>1087</v>
      </c>
      <c r="C679" s="28" t="s">
        <v>5</v>
      </c>
      <c r="D679" s="19"/>
    </row>
    <row r="680">
      <c r="A680" s="11">
        <v>45839.0</v>
      </c>
      <c r="B680" s="9" t="s">
        <v>1088</v>
      </c>
      <c r="C680" s="28" t="s">
        <v>5</v>
      </c>
      <c r="D680" s="19"/>
    </row>
    <row r="681">
      <c r="A681" s="11">
        <v>45839.0</v>
      </c>
      <c r="B681" s="9" t="s">
        <v>277</v>
      </c>
      <c r="C681" s="10" t="s">
        <v>23</v>
      </c>
      <c r="D681" s="19"/>
    </row>
    <row r="682">
      <c r="A682" s="11">
        <v>45839.0</v>
      </c>
      <c r="B682" s="9" t="s">
        <v>279</v>
      </c>
      <c r="C682" s="10" t="s">
        <v>23</v>
      </c>
      <c r="D682" s="19"/>
    </row>
    <row r="683">
      <c r="A683" s="11">
        <v>45840.0</v>
      </c>
      <c r="B683" s="6" t="s">
        <v>281</v>
      </c>
      <c r="C683" s="10" t="s">
        <v>23</v>
      </c>
      <c r="D683" s="19"/>
    </row>
    <row r="684">
      <c r="A684" s="11">
        <v>45840.0</v>
      </c>
      <c r="B684" s="9" t="s">
        <v>1089</v>
      </c>
      <c r="C684" s="28" t="s">
        <v>5</v>
      </c>
      <c r="D684" s="19"/>
    </row>
    <row r="685">
      <c r="A685" s="11">
        <v>45840.0</v>
      </c>
      <c r="B685" s="9" t="s">
        <v>1090</v>
      </c>
      <c r="C685" s="28" t="s">
        <v>5</v>
      </c>
      <c r="D685" s="19"/>
    </row>
    <row r="686">
      <c r="A686" s="11">
        <v>45840.0</v>
      </c>
      <c r="B686" s="9" t="s">
        <v>1091</v>
      </c>
      <c r="C686" s="28" t="s">
        <v>5</v>
      </c>
      <c r="D686" s="19"/>
    </row>
    <row r="687">
      <c r="A687" s="11">
        <v>45840.0</v>
      </c>
      <c r="B687" s="9" t="s">
        <v>1092</v>
      </c>
      <c r="C687" s="28" t="s">
        <v>5</v>
      </c>
      <c r="D687" s="19"/>
    </row>
    <row r="688">
      <c r="A688" s="11">
        <v>45840.0</v>
      </c>
      <c r="B688" s="9" t="s">
        <v>1093</v>
      </c>
      <c r="C688" s="28" t="s">
        <v>5</v>
      </c>
      <c r="D688" s="18" t="s">
        <v>855</v>
      </c>
    </row>
    <row r="689">
      <c r="A689" s="11">
        <v>45840.0</v>
      </c>
      <c r="B689" s="9" t="s">
        <v>1094</v>
      </c>
      <c r="C689" s="28" t="s">
        <v>5</v>
      </c>
      <c r="D689" s="19"/>
    </row>
    <row r="690">
      <c r="A690" s="11">
        <v>45840.0</v>
      </c>
      <c r="B690" s="9" t="s">
        <v>283</v>
      </c>
      <c r="C690" s="10" t="s">
        <v>23</v>
      </c>
      <c r="D690" s="19"/>
    </row>
    <row r="691">
      <c r="A691" s="11">
        <v>45840.0</v>
      </c>
      <c r="B691" s="9" t="s">
        <v>285</v>
      </c>
      <c r="C691" s="10" t="s">
        <v>23</v>
      </c>
      <c r="D691" s="19"/>
    </row>
    <row r="692">
      <c r="A692" s="11">
        <v>45840.0</v>
      </c>
      <c r="B692" s="9" t="s">
        <v>286</v>
      </c>
      <c r="C692" s="10" t="s">
        <v>23</v>
      </c>
      <c r="D692" s="19"/>
    </row>
    <row r="693">
      <c r="A693" s="11">
        <v>45840.0</v>
      </c>
      <c r="B693" s="13" t="s">
        <v>1095</v>
      </c>
      <c r="C693" s="28" t="s">
        <v>5</v>
      </c>
      <c r="D693" s="19"/>
    </row>
    <row r="694">
      <c r="A694" s="11">
        <v>45841.0</v>
      </c>
      <c r="B694" s="9" t="s">
        <v>1096</v>
      </c>
      <c r="C694" s="28" t="s">
        <v>5</v>
      </c>
      <c r="D694" s="19"/>
    </row>
    <row r="695">
      <c r="A695" s="11">
        <v>45841.0</v>
      </c>
      <c r="B695" s="9" t="s">
        <v>1097</v>
      </c>
      <c r="C695" s="28" t="s">
        <v>5</v>
      </c>
      <c r="D695" s="19"/>
    </row>
    <row r="696">
      <c r="A696" s="11">
        <v>45841.0</v>
      </c>
      <c r="B696" s="13" t="s">
        <v>1098</v>
      </c>
      <c r="C696" s="28" t="s">
        <v>5</v>
      </c>
      <c r="D696" s="18" t="s">
        <v>1099</v>
      </c>
    </row>
    <row r="697">
      <c r="A697" s="11">
        <v>45842.0</v>
      </c>
      <c r="B697" s="9" t="s">
        <v>1100</v>
      </c>
      <c r="C697" s="28" t="s">
        <v>5</v>
      </c>
      <c r="D697" s="19"/>
    </row>
    <row r="698">
      <c r="A698" s="11">
        <v>45842.0</v>
      </c>
      <c r="B698" s="9" t="s">
        <v>287</v>
      </c>
      <c r="C698" s="10" t="s">
        <v>23</v>
      </c>
      <c r="D698" s="19"/>
    </row>
    <row r="699">
      <c r="A699" s="11">
        <v>45842.0</v>
      </c>
      <c r="B699" s="9" t="s">
        <v>288</v>
      </c>
      <c r="C699" s="10" t="s">
        <v>23</v>
      </c>
      <c r="D699" s="19"/>
    </row>
    <row r="700">
      <c r="A700" s="11">
        <v>45842.0</v>
      </c>
      <c r="B700" s="9" t="s">
        <v>1101</v>
      </c>
      <c r="C700" s="28" t="s">
        <v>5</v>
      </c>
      <c r="D700" s="19"/>
    </row>
    <row r="701">
      <c r="A701" s="11">
        <v>45843.0</v>
      </c>
      <c r="B701" s="9" t="s">
        <v>1102</v>
      </c>
      <c r="C701" s="28" t="s">
        <v>5</v>
      </c>
      <c r="D701" s="18" t="s">
        <v>855</v>
      </c>
    </row>
    <row r="702">
      <c r="A702" s="11">
        <v>45843.0</v>
      </c>
      <c r="B702" s="9" t="s">
        <v>1103</v>
      </c>
      <c r="C702" s="28" t="s">
        <v>5</v>
      </c>
      <c r="D702" s="19"/>
    </row>
    <row r="703">
      <c r="A703" s="11">
        <v>45843.0</v>
      </c>
      <c r="B703" s="9" t="s">
        <v>1104</v>
      </c>
      <c r="C703" s="28" t="s">
        <v>5</v>
      </c>
      <c r="D703" s="19"/>
    </row>
    <row r="704">
      <c r="A704" s="11">
        <v>45843.0</v>
      </c>
      <c r="B704" s="9" t="s">
        <v>1105</v>
      </c>
      <c r="C704" s="28" t="s">
        <v>5</v>
      </c>
      <c r="D704" s="19"/>
    </row>
    <row r="705">
      <c r="A705" s="11">
        <v>45843.0</v>
      </c>
      <c r="B705" s="9" t="s">
        <v>1106</v>
      </c>
      <c r="C705" s="28" t="s">
        <v>5</v>
      </c>
      <c r="D705" s="19"/>
    </row>
    <row r="706">
      <c r="A706" s="11">
        <v>45843.0</v>
      </c>
      <c r="B706" s="9" t="s">
        <v>1107</v>
      </c>
      <c r="C706" s="28" t="s">
        <v>5</v>
      </c>
      <c r="D706" s="19"/>
    </row>
    <row r="707">
      <c r="A707" s="11">
        <v>45845.0</v>
      </c>
      <c r="B707" s="9" t="s">
        <v>1108</v>
      </c>
      <c r="C707" s="9" t="s">
        <v>5</v>
      </c>
      <c r="D707" s="19"/>
    </row>
    <row r="708">
      <c r="A708" s="11">
        <v>45845.0</v>
      </c>
      <c r="B708" s="9" t="s">
        <v>1109</v>
      </c>
      <c r="C708" s="9" t="s">
        <v>5</v>
      </c>
      <c r="D708" s="18" t="s">
        <v>855</v>
      </c>
    </row>
    <row r="709">
      <c r="A709" s="11">
        <v>45845.0</v>
      </c>
      <c r="B709" s="9" t="s">
        <v>1110</v>
      </c>
      <c r="C709" s="9" t="s">
        <v>5</v>
      </c>
      <c r="D709" s="18" t="s">
        <v>855</v>
      </c>
    </row>
    <row r="710">
      <c r="A710" s="11">
        <v>45845.0</v>
      </c>
      <c r="B710" s="9" t="s">
        <v>1111</v>
      </c>
      <c r="C710" s="9" t="s">
        <v>5</v>
      </c>
      <c r="D710" s="18" t="s">
        <v>1112</v>
      </c>
    </row>
    <row r="711">
      <c r="A711" s="11">
        <v>45845.0</v>
      </c>
      <c r="B711" s="9" t="s">
        <v>1113</v>
      </c>
      <c r="C711" s="9" t="s">
        <v>5</v>
      </c>
      <c r="D711" s="19"/>
    </row>
    <row r="712">
      <c r="A712" s="11">
        <v>45845.0</v>
      </c>
      <c r="B712" s="9" t="s">
        <v>1114</v>
      </c>
      <c r="C712" s="9" t="s">
        <v>5</v>
      </c>
      <c r="D712" s="18" t="s">
        <v>855</v>
      </c>
    </row>
    <row r="713">
      <c r="A713" s="11">
        <v>45845.0</v>
      </c>
      <c r="B713" s="9" t="s">
        <v>1115</v>
      </c>
      <c r="C713" s="9" t="s">
        <v>5</v>
      </c>
      <c r="D713" s="19"/>
    </row>
    <row r="714">
      <c r="A714" s="11">
        <v>45845.0</v>
      </c>
      <c r="B714" s="9" t="s">
        <v>1116</v>
      </c>
      <c r="C714" s="9" t="s">
        <v>5</v>
      </c>
      <c r="D714" s="19"/>
    </row>
    <row r="715">
      <c r="A715" s="11">
        <v>45846.0</v>
      </c>
      <c r="B715" s="13" t="s">
        <v>1117</v>
      </c>
      <c r="C715" s="9" t="s">
        <v>5</v>
      </c>
      <c r="D715" s="19"/>
    </row>
    <row r="716">
      <c r="A716" s="11">
        <v>45846.0</v>
      </c>
      <c r="B716" s="9" t="s">
        <v>1118</v>
      </c>
      <c r="C716" s="9" t="s">
        <v>5</v>
      </c>
      <c r="D716" s="19"/>
    </row>
    <row r="717">
      <c r="A717" s="11">
        <v>45846.0</v>
      </c>
      <c r="B717" s="13" t="s">
        <v>1119</v>
      </c>
      <c r="C717" s="9" t="s">
        <v>5</v>
      </c>
      <c r="D717" s="19"/>
    </row>
    <row r="718">
      <c r="A718" s="11">
        <v>45846.0</v>
      </c>
      <c r="B718" s="9" t="s">
        <v>1120</v>
      </c>
      <c r="C718" s="9" t="s">
        <v>5</v>
      </c>
      <c r="D718" s="18" t="s">
        <v>855</v>
      </c>
    </row>
    <row r="719">
      <c r="A719" s="11">
        <v>45847.0</v>
      </c>
      <c r="B719" s="9" t="s">
        <v>1121</v>
      </c>
      <c r="C719" s="9" t="s">
        <v>5</v>
      </c>
      <c r="D719" s="18" t="s">
        <v>855</v>
      </c>
    </row>
    <row r="720">
      <c r="A720" s="11">
        <v>45847.0</v>
      </c>
      <c r="B720" s="9" t="s">
        <v>1122</v>
      </c>
      <c r="C720" s="9" t="s">
        <v>5</v>
      </c>
      <c r="D720" s="19"/>
    </row>
    <row r="721">
      <c r="A721" s="11">
        <v>45847.0</v>
      </c>
      <c r="B721" s="9" t="s">
        <v>1123</v>
      </c>
      <c r="C721" s="9" t="s">
        <v>5</v>
      </c>
      <c r="D721" s="19"/>
    </row>
    <row r="722">
      <c r="A722" s="11">
        <v>45848.0</v>
      </c>
      <c r="B722" s="13" t="s">
        <v>1124</v>
      </c>
      <c r="C722" s="9" t="s">
        <v>5</v>
      </c>
      <c r="D722" s="19"/>
    </row>
    <row r="723">
      <c r="A723" s="11">
        <v>45848.0</v>
      </c>
      <c r="B723" s="13" t="s">
        <v>1125</v>
      </c>
      <c r="C723" s="9" t="s">
        <v>5</v>
      </c>
      <c r="D723" s="19"/>
    </row>
    <row r="724">
      <c r="A724" s="11">
        <v>45848.0</v>
      </c>
      <c r="B724" s="9" t="s">
        <v>1126</v>
      </c>
      <c r="C724" s="9" t="s">
        <v>5</v>
      </c>
      <c r="D724" s="19"/>
    </row>
    <row r="725">
      <c r="A725" s="11">
        <v>45848.0</v>
      </c>
      <c r="B725" s="9" t="s">
        <v>1127</v>
      </c>
      <c r="C725" s="9" t="s">
        <v>5</v>
      </c>
      <c r="D725" s="19"/>
    </row>
    <row r="726">
      <c r="A726" s="11">
        <v>45848.0</v>
      </c>
      <c r="B726" s="9" t="s">
        <v>1128</v>
      </c>
      <c r="C726" s="9" t="s">
        <v>5</v>
      </c>
      <c r="D726" s="19"/>
    </row>
    <row r="727">
      <c r="A727" s="11">
        <v>45848.0</v>
      </c>
      <c r="B727" s="9" t="s">
        <v>1129</v>
      </c>
      <c r="C727" s="9" t="s">
        <v>5</v>
      </c>
      <c r="D727" s="19"/>
    </row>
    <row r="728">
      <c r="A728" s="11">
        <v>45849.0</v>
      </c>
      <c r="B728" s="9" t="s">
        <v>1130</v>
      </c>
      <c r="C728" s="9" t="s">
        <v>5</v>
      </c>
      <c r="D728" s="19"/>
    </row>
    <row r="729">
      <c r="A729" s="11">
        <v>45850.0</v>
      </c>
      <c r="B729" s="9" t="s">
        <v>1131</v>
      </c>
      <c r="C729" s="9" t="s">
        <v>5</v>
      </c>
      <c r="D729" s="19"/>
    </row>
    <row r="730">
      <c r="A730" s="11">
        <v>45850.0</v>
      </c>
      <c r="B730" s="9" t="s">
        <v>1132</v>
      </c>
      <c r="C730" s="9" t="s">
        <v>5</v>
      </c>
      <c r="D730" s="19"/>
    </row>
    <row r="731">
      <c r="A731" s="11">
        <v>45850.0</v>
      </c>
      <c r="B731" s="9" t="s">
        <v>1133</v>
      </c>
      <c r="C731" s="9" t="s">
        <v>5</v>
      </c>
      <c r="D731" s="18" t="s">
        <v>855</v>
      </c>
    </row>
    <row r="732">
      <c r="A732" s="11">
        <v>45852.0</v>
      </c>
      <c r="B732" s="9" t="s">
        <v>1134</v>
      </c>
      <c r="C732" s="9" t="s">
        <v>5</v>
      </c>
      <c r="D732" s="19"/>
    </row>
    <row r="733">
      <c r="A733" s="11">
        <v>45852.0</v>
      </c>
      <c r="B733" s="9" t="s">
        <v>1135</v>
      </c>
      <c r="C733" s="9" t="s">
        <v>5</v>
      </c>
      <c r="D733" s="18" t="s">
        <v>927</v>
      </c>
    </row>
    <row r="734">
      <c r="A734" s="11">
        <v>45852.0</v>
      </c>
      <c r="B734" s="13" t="s">
        <v>1136</v>
      </c>
      <c r="C734" s="9" t="s">
        <v>5</v>
      </c>
      <c r="D734" s="19"/>
    </row>
    <row r="735">
      <c r="A735" s="11">
        <v>45852.0</v>
      </c>
      <c r="B735" s="9" t="s">
        <v>1137</v>
      </c>
      <c r="C735" s="9" t="s">
        <v>5</v>
      </c>
      <c r="D735" s="18" t="s">
        <v>927</v>
      </c>
    </row>
    <row r="736">
      <c r="A736" s="11">
        <v>45852.0</v>
      </c>
      <c r="B736" s="9" t="s">
        <v>1138</v>
      </c>
      <c r="C736" s="9" t="s">
        <v>5</v>
      </c>
      <c r="D736" s="19"/>
    </row>
    <row r="737">
      <c r="A737" s="11">
        <v>45852.0</v>
      </c>
      <c r="B737" s="9" t="s">
        <v>289</v>
      </c>
      <c r="C737" s="10" t="s">
        <v>23</v>
      </c>
      <c r="D737" s="19"/>
    </row>
    <row r="738">
      <c r="A738" s="11">
        <v>45852.0</v>
      </c>
      <c r="B738" s="9" t="s">
        <v>290</v>
      </c>
      <c r="C738" s="10" t="s">
        <v>23</v>
      </c>
      <c r="D738" s="19"/>
    </row>
    <row r="739">
      <c r="A739" s="11">
        <v>45852.0</v>
      </c>
      <c r="B739" s="9" t="s">
        <v>291</v>
      </c>
      <c r="C739" s="10" t="s">
        <v>23</v>
      </c>
      <c r="D739" s="19"/>
    </row>
    <row r="740">
      <c r="A740" s="11">
        <v>45853.0</v>
      </c>
      <c r="B740" s="9" t="s">
        <v>1139</v>
      </c>
      <c r="C740" s="9" t="s">
        <v>5</v>
      </c>
      <c r="D740" s="19"/>
    </row>
    <row r="741">
      <c r="A741" s="11">
        <v>45853.0</v>
      </c>
      <c r="B741" s="9" t="s">
        <v>1140</v>
      </c>
      <c r="C741" s="9" t="s">
        <v>5</v>
      </c>
      <c r="D741" s="19"/>
    </row>
    <row r="742">
      <c r="A742" s="11">
        <v>45853.0</v>
      </c>
      <c r="B742" s="9" t="s">
        <v>292</v>
      </c>
      <c r="C742" s="9" t="s">
        <v>23</v>
      </c>
      <c r="D742" s="19"/>
    </row>
    <row r="743">
      <c r="A743" s="11">
        <v>45853.0</v>
      </c>
      <c r="B743" s="9" t="s">
        <v>1141</v>
      </c>
      <c r="C743" s="9" t="s">
        <v>5</v>
      </c>
      <c r="D743" s="19"/>
    </row>
    <row r="744">
      <c r="A744" s="11">
        <v>45853.0</v>
      </c>
      <c r="B744" s="9" t="s">
        <v>1142</v>
      </c>
      <c r="C744" s="9" t="s">
        <v>5</v>
      </c>
      <c r="D744" s="19"/>
    </row>
    <row r="745">
      <c r="A745" s="11">
        <v>45853.0</v>
      </c>
      <c r="B745" s="9" t="s">
        <v>1143</v>
      </c>
      <c r="C745" s="9" t="s">
        <v>5</v>
      </c>
      <c r="D745" s="19"/>
    </row>
    <row r="746">
      <c r="A746" s="11">
        <v>45853.0</v>
      </c>
      <c r="B746" s="9" t="s">
        <v>1144</v>
      </c>
      <c r="C746" s="9" t="s">
        <v>5</v>
      </c>
      <c r="D746" s="19"/>
    </row>
    <row r="747">
      <c r="A747" s="11">
        <v>45854.0</v>
      </c>
      <c r="B747" s="9" t="s">
        <v>294</v>
      </c>
      <c r="C747" s="9" t="s">
        <v>23</v>
      </c>
      <c r="D747" s="19"/>
    </row>
    <row r="748">
      <c r="A748" s="11">
        <v>45854.0</v>
      </c>
      <c r="B748" s="9" t="s">
        <v>1145</v>
      </c>
      <c r="C748" s="9" t="s">
        <v>5</v>
      </c>
      <c r="D748" s="19"/>
    </row>
    <row r="749">
      <c r="A749" s="11">
        <v>45854.0</v>
      </c>
      <c r="B749" s="9" t="s">
        <v>1146</v>
      </c>
      <c r="C749" s="9" t="s">
        <v>5</v>
      </c>
      <c r="D749" s="19"/>
    </row>
    <row r="750">
      <c r="A750" s="11">
        <v>45855.0</v>
      </c>
      <c r="B750" s="9" t="s">
        <v>1147</v>
      </c>
      <c r="C750" s="9" t="s">
        <v>5</v>
      </c>
      <c r="D750" s="19"/>
    </row>
    <row r="751">
      <c r="A751" s="11">
        <v>45855.0</v>
      </c>
      <c r="B751" s="9" t="s">
        <v>1148</v>
      </c>
      <c r="C751" s="9" t="s">
        <v>5</v>
      </c>
      <c r="D751" s="19"/>
    </row>
    <row r="752">
      <c r="A752" s="11">
        <v>45855.0</v>
      </c>
      <c r="B752" s="6" t="s">
        <v>1149</v>
      </c>
      <c r="C752" s="9" t="s">
        <v>5</v>
      </c>
      <c r="D752" s="18" t="s">
        <v>927</v>
      </c>
    </row>
    <row r="753">
      <c r="A753" s="11">
        <v>45856.0</v>
      </c>
      <c r="B753" s="9" t="s">
        <v>296</v>
      </c>
      <c r="C753" s="9" t="s">
        <v>23</v>
      </c>
      <c r="D753" s="19"/>
    </row>
    <row r="754">
      <c r="A754" s="11">
        <v>45856.0</v>
      </c>
      <c r="B754" s="9" t="s">
        <v>1150</v>
      </c>
      <c r="C754" s="9" t="s">
        <v>5</v>
      </c>
      <c r="D754" s="18" t="s">
        <v>855</v>
      </c>
    </row>
    <row r="755">
      <c r="A755" s="11">
        <v>45856.0</v>
      </c>
      <c r="B755" s="9" t="s">
        <v>1151</v>
      </c>
      <c r="C755" s="9" t="s">
        <v>5</v>
      </c>
      <c r="D755" s="18" t="s">
        <v>927</v>
      </c>
    </row>
    <row r="756">
      <c r="A756" s="11">
        <v>45857.0</v>
      </c>
      <c r="B756" s="9" t="s">
        <v>1152</v>
      </c>
      <c r="C756" s="9" t="s">
        <v>5</v>
      </c>
      <c r="D756" s="19"/>
    </row>
    <row r="757">
      <c r="A757" s="11">
        <v>45857.0</v>
      </c>
      <c r="B757" s="9" t="s">
        <v>298</v>
      </c>
      <c r="C757" s="9" t="s">
        <v>23</v>
      </c>
      <c r="D757" s="19"/>
    </row>
    <row r="758">
      <c r="A758" s="11">
        <v>45857.0</v>
      </c>
      <c r="B758" s="9" t="s">
        <v>300</v>
      </c>
      <c r="C758" s="9" t="s">
        <v>23</v>
      </c>
      <c r="D758" s="19"/>
    </row>
    <row r="759">
      <c r="A759" s="11">
        <v>45857.0</v>
      </c>
      <c r="B759" s="9" t="s">
        <v>302</v>
      </c>
      <c r="C759" s="9" t="s">
        <v>23</v>
      </c>
      <c r="D759" s="19"/>
    </row>
    <row r="760">
      <c r="A760" s="11">
        <v>45857.0</v>
      </c>
      <c r="B760" s="9" t="s">
        <v>303</v>
      </c>
      <c r="C760" s="9" t="s">
        <v>23</v>
      </c>
      <c r="D760" s="19"/>
    </row>
    <row r="761">
      <c r="A761" s="11">
        <v>45857.0</v>
      </c>
      <c r="B761" s="9" t="s">
        <v>1153</v>
      </c>
      <c r="C761" s="9" t="s">
        <v>5</v>
      </c>
      <c r="D761" s="19"/>
    </row>
    <row r="762">
      <c r="A762" s="11">
        <v>45859.0</v>
      </c>
      <c r="B762" s="9" t="s">
        <v>1154</v>
      </c>
      <c r="C762" s="9" t="s">
        <v>5</v>
      </c>
      <c r="D762" s="19"/>
    </row>
    <row r="763">
      <c r="A763" s="11">
        <v>45859.0</v>
      </c>
      <c r="B763" s="9" t="s">
        <v>1155</v>
      </c>
      <c r="C763" s="9" t="s">
        <v>5</v>
      </c>
      <c r="D763" s="19"/>
    </row>
    <row r="764">
      <c r="A764" s="11">
        <v>45859.0</v>
      </c>
      <c r="B764" s="9" t="s">
        <v>1156</v>
      </c>
      <c r="C764" s="9" t="s">
        <v>5</v>
      </c>
      <c r="D764" s="19"/>
    </row>
    <row r="765">
      <c r="A765" s="11">
        <v>45859.0</v>
      </c>
      <c r="B765" s="13" t="s">
        <v>1157</v>
      </c>
      <c r="C765" s="9" t="s">
        <v>5</v>
      </c>
      <c r="D765" s="19"/>
    </row>
    <row r="766">
      <c r="A766" s="11">
        <v>45859.0</v>
      </c>
      <c r="B766" s="9" t="s">
        <v>1158</v>
      </c>
      <c r="C766" s="9" t="s">
        <v>5</v>
      </c>
      <c r="D766" s="18" t="s">
        <v>855</v>
      </c>
    </row>
    <row r="767">
      <c r="A767" s="11">
        <v>45860.0</v>
      </c>
      <c r="B767" s="9" t="s">
        <v>304</v>
      </c>
      <c r="C767" s="9" t="s">
        <v>23</v>
      </c>
      <c r="D767" s="19"/>
    </row>
    <row r="768">
      <c r="A768" s="11">
        <v>45860.0</v>
      </c>
      <c r="B768" s="9" t="s">
        <v>306</v>
      </c>
      <c r="C768" s="9" t="s">
        <v>23</v>
      </c>
      <c r="D768" s="19"/>
    </row>
    <row r="769">
      <c r="A769" s="11">
        <v>45860.0</v>
      </c>
      <c r="B769" s="9" t="s">
        <v>1159</v>
      </c>
      <c r="C769" s="9" t="s">
        <v>5</v>
      </c>
      <c r="D769" s="19"/>
    </row>
    <row r="770">
      <c r="A770" s="11">
        <v>45860.0</v>
      </c>
      <c r="B770" s="9" t="s">
        <v>1160</v>
      </c>
      <c r="C770" s="9" t="s">
        <v>5</v>
      </c>
      <c r="D770" s="19"/>
    </row>
    <row r="771">
      <c r="A771" s="11">
        <v>45860.0</v>
      </c>
      <c r="B771" s="9" t="s">
        <v>1161</v>
      </c>
      <c r="C771" s="9" t="s">
        <v>5</v>
      </c>
      <c r="D771" s="19"/>
    </row>
    <row r="772">
      <c r="A772" s="11">
        <v>45860.0</v>
      </c>
      <c r="B772" s="9" t="s">
        <v>1162</v>
      </c>
      <c r="C772" s="9" t="s">
        <v>5</v>
      </c>
      <c r="D772" s="19"/>
    </row>
    <row r="773">
      <c r="A773" s="11">
        <v>45860.0</v>
      </c>
      <c r="B773" s="9" t="s">
        <v>1163</v>
      </c>
      <c r="C773" s="9" t="s">
        <v>5</v>
      </c>
      <c r="D773" s="19"/>
    </row>
    <row r="774">
      <c r="A774" s="11">
        <v>45860.0</v>
      </c>
      <c r="B774" s="9" t="s">
        <v>307</v>
      </c>
      <c r="C774" s="9" t="s">
        <v>23</v>
      </c>
      <c r="D774" s="19"/>
    </row>
    <row r="775">
      <c r="A775" s="11">
        <v>45860.0</v>
      </c>
      <c r="B775" s="9" t="s">
        <v>309</v>
      </c>
      <c r="C775" s="9" t="s">
        <v>23</v>
      </c>
      <c r="D775" s="19"/>
    </row>
    <row r="776">
      <c r="A776" s="11">
        <v>45861.0</v>
      </c>
      <c r="B776" s="9" t="s">
        <v>1164</v>
      </c>
      <c r="C776" s="9" t="s">
        <v>5</v>
      </c>
      <c r="D776" s="18" t="s">
        <v>855</v>
      </c>
    </row>
    <row r="777">
      <c r="A777" s="11">
        <v>45861.0</v>
      </c>
      <c r="B777" s="9" t="s">
        <v>311</v>
      </c>
      <c r="C777" s="9" t="s">
        <v>23</v>
      </c>
      <c r="D777" s="19"/>
    </row>
    <row r="778">
      <c r="A778" s="11">
        <v>45862.0</v>
      </c>
      <c r="B778" s="9" t="s">
        <v>313</v>
      </c>
      <c r="C778" s="9" t="s">
        <v>23</v>
      </c>
      <c r="D778" s="19"/>
    </row>
    <row r="779">
      <c r="A779" s="11">
        <v>45862.0</v>
      </c>
      <c r="B779" s="9" t="s">
        <v>1165</v>
      </c>
      <c r="C779" s="9" t="s">
        <v>5</v>
      </c>
      <c r="D779" s="19"/>
    </row>
    <row r="780">
      <c r="A780" s="11">
        <v>45862.0</v>
      </c>
      <c r="B780" s="6" t="s">
        <v>314</v>
      </c>
      <c r="C780" s="9" t="s">
        <v>23</v>
      </c>
      <c r="D780" s="19"/>
    </row>
    <row r="781">
      <c r="A781" s="11">
        <v>45862.0</v>
      </c>
      <c r="B781" s="9" t="s">
        <v>1166</v>
      </c>
      <c r="C781" s="9" t="s">
        <v>5</v>
      </c>
      <c r="D781" s="19"/>
    </row>
    <row r="782">
      <c r="A782" s="11">
        <v>45862.0</v>
      </c>
      <c r="B782" s="9" t="s">
        <v>316</v>
      </c>
      <c r="C782" s="9" t="s">
        <v>23</v>
      </c>
      <c r="D782" s="19"/>
    </row>
    <row r="783">
      <c r="A783" s="11">
        <v>45862.0</v>
      </c>
      <c r="B783" s="9" t="s">
        <v>1167</v>
      </c>
      <c r="C783" s="9" t="s">
        <v>5</v>
      </c>
      <c r="D783" s="19"/>
    </row>
    <row r="784">
      <c r="A784" s="11">
        <v>45863.0</v>
      </c>
      <c r="B784" s="9" t="s">
        <v>1168</v>
      </c>
      <c r="C784" s="9" t="s">
        <v>5</v>
      </c>
      <c r="D784" s="19"/>
    </row>
    <row r="785">
      <c r="A785" s="11">
        <v>45863.0</v>
      </c>
      <c r="B785" s="9" t="s">
        <v>1169</v>
      </c>
      <c r="C785" s="9" t="s">
        <v>5</v>
      </c>
      <c r="D785" s="19"/>
    </row>
    <row r="786">
      <c r="A786" s="11">
        <v>45864.0</v>
      </c>
      <c r="B786" s="9" t="s">
        <v>1170</v>
      </c>
      <c r="C786" s="9" t="s">
        <v>5</v>
      </c>
      <c r="D786" s="19"/>
    </row>
    <row r="787">
      <c r="A787" s="11">
        <v>45864.0</v>
      </c>
      <c r="B787" s="13" t="s">
        <v>1171</v>
      </c>
      <c r="C787" s="9" t="s">
        <v>5</v>
      </c>
      <c r="D787" s="19"/>
    </row>
    <row r="788">
      <c r="A788" s="11">
        <v>45864.0</v>
      </c>
      <c r="B788" s="9" t="s">
        <v>1172</v>
      </c>
      <c r="C788" s="9" t="s">
        <v>5</v>
      </c>
      <c r="D788" s="19"/>
    </row>
    <row r="789">
      <c r="A789" s="11">
        <v>45864.0</v>
      </c>
      <c r="B789" s="9" t="s">
        <v>1173</v>
      </c>
      <c r="C789" s="9" t="s">
        <v>5</v>
      </c>
      <c r="D789" s="19"/>
    </row>
    <row r="790">
      <c r="A790" s="11">
        <v>45864.0</v>
      </c>
      <c r="B790" s="9" t="s">
        <v>317</v>
      </c>
      <c r="C790" s="9" t="s">
        <v>23</v>
      </c>
      <c r="D790" s="19"/>
    </row>
    <row r="791">
      <c r="A791" s="11">
        <v>45866.0</v>
      </c>
      <c r="B791" s="9" t="s">
        <v>1174</v>
      </c>
      <c r="C791" s="9" t="s">
        <v>5</v>
      </c>
      <c r="D791" s="19"/>
    </row>
    <row r="792">
      <c r="A792" s="11">
        <v>45867.0</v>
      </c>
      <c r="B792" s="9" t="s">
        <v>1175</v>
      </c>
      <c r="C792" s="9" t="s">
        <v>5</v>
      </c>
      <c r="D792" s="19"/>
    </row>
    <row r="793">
      <c r="A793" s="11">
        <v>45867.0</v>
      </c>
      <c r="B793" s="9" t="s">
        <v>319</v>
      </c>
      <c r="C793" s="9" t="s">
        <v>23</v>
      </c>
      <c r="D793" s="19"/>
    </row>
    <row r="794">
      <c r="A794" s="11">
        <v>45867.0</v>
      </c>
      <c r="B794" s="9" t="s">
        <v>1176</v>
      </c>
      <c r="C794" s="9" t="s">
        <v>5</v>
      </c>
      <c r="D794" s="19"/>
    </row>
    <row r="795">
      <c r="A795" s="11">
        <v>45867.0</v>
      </c>
      <c r="B795" s="9" t="s">
        <v>1177</v>
      </c>
      <c r="C795" s="9" t="s">
        <v>5</v>
      </c>
      <c r="D795" s="19"/>
    </row>
    <row r="796">
      <c r="A796" s="11">
        <v>45867.0</v>
      </c>
      <c r="B796" s="9" t="s">
        <v>320</v>
      </c>
      <c r="C796" s="9" t="s">
        <v>23</v>
      </c>
      <c r="D796" s="19"/>
    </row>
    <row r="797">
      <c r="A797" s="11">
        <v>45867.0</v>
      </c>
      <c r="B797" s="9" t="s">
        <v>1178</v>
      </c>
      <c r="C797" s="9" t="s">
        <v>5</v>
      </c>
      <c r="D797" s="19"/>
    </row>
    <row r="798">
      <c r="A798" s="11">
        <v>45867.0</v>
      </c>
      <c r="B798" s="9" t="s">
        <v>1179</v>
      </c>
      <c r="C798" s="9" t="s">
        <v>5</v>
      </c>
      <c r="D798" s="19"/>
    </row>
    <row r="799">
      <c r="A799" s="11">
        <v>45868.0</v>
      </c>
      <c r="B799" s="9" t="s">
        <v>1180</v>
      </c>
      <c r="C799" s="9" t="s">
        <v>5</v>
      </c>
      <c r="D799" s="19"/>
    </row>
    <row r="800">
      <c r="A800" s="11">
        <v>45868.0</v>
      </c>
      <c r="B800" s="9" t="s">
        <v>1181</v>
      </c>
      <c r="C800" s="9" t="s">
        <v>5</v>
      </c>
      <c r="D800" s="19"/>
    </row>
    <row r="801">
      <c r="A801" s="11">
        <v>45868.0</v>
      </c>
      <c r="B801" s="9" t="s">
        <v>1182</v>
      </c>
      <c r="C801" s="9" t="s">
        <v>5</v>
      </c>
      <c r="D801" s="19"/>
    </row>
    <row r="802">
      <c r="A802" s="11">
        <v>45868.0</v>
      </c>
      <c r="B802" s="9" t="s">
        <v>1183</v>
      </c>
      <c r="C802" s="9" t="s">
        <v>5</v>
      </c>
      <c r="D802" s="19"/>
    </row>
    <row r="803">
      <c r="A803" s="11">
        <v>45868.0</v>
      </c>
      <c r="B803" s="9" t="s">
        <v>1184</v>
      </c>
      <c r="C803" s="9" t="s">
        <v>5</v>
      </c>
      <c r="D803" s="19"/>
    </row>
    <row r="804">
      <c r="A804" s="11">
        <v>45869.0</v>
      </c>
      <c r="B804" s="9" t="s">
        <v>322</v>
      </c>
      <c r="C804" s="9" t="s">
        <v>23</v>
      </c>
      <c r="D804" s="19"/>
    </row>
    <row r="805">
      <c r="A805" s="11">
        <v>45869.0</v>
      </c>
      <c r="B805" s="9" t="s">
        <v>1185</v>
      </c>
      <c r="C805" s="9" t="s">
        <v>5</v>
      </c>
      <c r="D805" s="19"/>
    </row>
    <row r="806">
      <c r="A806" s="11">
        <v>45869.0</v>
      </c>
      <c r="B806" s="9" t="s">
        <v>1186</v>
      </c>
      <c r="C806" s="9" t="s">
        <v>5</v>
      </c>
      <c r="D806" s="19"/>
    </row>
    <row r="807">
      <c r="A807" s="11">
        <v>45869.0</v>
      </c>
      <c r="B807" s="9" t="s">
        <v>1187</v>
      </c>
      <c r="C807" s="9" t="s">
        <v>5</v>
      </c>
      <c r="D807" s="19"/>
    </row>
    <row r="808">
      <c r="A808" s="11">
        <v>45870.0</v>
      </c>
      <c r="B808" s="9" t="s">
        <v>1188</v>
      </c>
      <c r="C808" s="9" t="s">
        <v>5</v>
      </c>
      <c r="D808" s="19"/>
    </row>
    <row r="809">
      <c r="A809" s="11">
        <v>45870.0</v>
      </c>
      <c r="B809" s="9" t="s">
        <v>1189</v>
      </c>
      <c r="C809" s="9" t="s">
        <v>5</v>
      </c>
      <c r="D809" s="19"/>
    </row>
    <row r="810">
      <c r="A810" s="11">
        <v>45871.0</v>
      </c>
      <c r="B810" s="9" t="s">
        <v>1190</v>
      </c>
      <c r="C810" s="9" t="s">
        <v>5</v>
      </c>
      <c r="D810" s="19"/>
    </row>
    <row r="811">
      <c r="A811" s="11">
        <v>45871.0</v>
      </c>
      <c r="B811" s="9" t="s">
        <v>1191</v>
      </c>
      <c r="C811" s="9" t="s">
        <v>5</v>
      </c>
      <c r="D811" s="19"/>
    </row>
    <row r="812">
      <c r="A812" s="11">
        <v>45871.0</v>
      </c>
      <c r="B812" s="9" t="s">
        <v>1192</v>
      </c>
      <c r="C812" s="9" t="s">
        <v>5</v>
      </c>
      <c r="D812" s="19"/>
    </row>
    <row r="813">
      <c r="A813" s="11">
        <v>45871.0</v>
      </c>
      <c r="B813" s="9" t="s">
        <v>1193</v>
      </c>
      <c r="C813" s="9" t="s">
        <v>5</v>
      </c>
      <c r="D813" s="19"/>
    </row>
    <row r="814">
      <c r="A814" s="11">
        <v>45871.0</v>
      </c>
      <c r="B814" s="9" t="s">
        <v>1194</v>
      </c>
      <c r="C814" s="9" t="s">
        <v>5</v>
      </c>
      <c r="D814" s="19"/>
    </row>
    <row r="815">
      <c r="A815" s="11">
        <v>45873.0</v>
      </c>
      <c r="B815" s="9" t="s">
        <v>1195</v>
      </c>
      <c r="C815" s="9" t="s">
        <v>5</v>
      </c>
      <c r="D815" s="19"/>
    </row>
    <row r="816">
      <c r="A816" s="11">
        <v>45873.0</v>
      </c>
      <c r="B816" s="9" t="s">
        <v>1196</v>
      </c>
      <c r="C816" s="9" t="s">
        <v>5</v>
      </c>
      <c r="D816" s="19"/>
    </row>
    <row r="817">
      <c r="A817" s="11">
        <v>45873.0</v>
      </c>
      <c r="B817" s="13" t="s">
        <v>1197</v>
      </c>
      <c r="C817" s="9" t="s">
        <v>5</v>
      </c>
      <c r="D817" s="19"/>
    </row>
    <row r="818">
      <c r="A818" s="11">
        <v>45873.0</v>
      </c>
      <c r="B818" s="9" t="s">
        <v>1198</v>
      </c>
      <c r="C818" s="9" t="s">
        <v>5</v>
      </c>
      <c r="D818" s="19"/>
    </row>
    <row r="819">
      <c r="A819" s="11">
        <v>45873.0</v>
      </c>
      <c r="B819" s="9" t="s">
        <v>1199</v>
      </c>
      <c r="C819" s="9" t="s">
        <v>5</v>
      </c>
      <c r="D819" s="19"/>
    </row>
    <row r="820">
      <c r="A820" s="11">
        <v>45873.0</v>
      </c>
      <c r="B820" s="9" t="s">
        <v>1200</v>
      </c>
      <c r="C820" s="9" t="s">
        <v>5</v>
      </c>
      <c r="D820" s="19"/>
    </row>
    <row r="821">
      <c r="A821" s="11">
        <v>45873.0</v>
      </c>
      <c r="B821" s="9" t="s">
        <v>324</v>
      </c>
      <c r="C821" s="9" t="s">
        <v>23</v>
      </c>
      <c r="D821" s="19"/>
    </row>
    <row r="822">
      <c r="A822" s="11">
        <v>45873.0</v>
      </c>
      <c r="B822" s="9" t="s">
        <v>326</v>
      </c>
      <c r="C822" s="9" t="s">
        <v>23</v>
      </c>
      <c r="D822" s="19"/>
    </row>
    <row r="823">
      <c r="A823" s="11">
        <v>45873.0</v>
      </c>
      <c r="B823" s="9" t="s">
        <v>327</v>
      </c>
      <c r="C823" s="9" t="s">
        <v>23</v>
      </c>
      <c r="D823" s="19"/>
    </row>
    <row r="824">
      <c r="A824" s="11">
        <v>45873.0</v>
      </c>
      <c r="B824" s="9" t="s">
        <v>1201</v>
      </c>
      <c r="C824" s="9" t="s">
        <v>5</v>
      </c>
      <c r="D824" s="19"/>
    </row>
    <row r="825">
      <c r="A825" s="11">
        <v>45875.0</v>
      </c>
      <c r="B825" s="9" t="s">
        <v>1202</v>
      </c>
      <c r="C825" s="9" t="s">
        <v>5</v>
      </c>
      <c r="D825" s="19"/>
    </row>
    <row r="826">
      <c r="A826" s="11">
        <v>45875.0</v>
      </c>
      <c r="B826" s="9" t="s">
        <v>1203</v>
      </c>
      <c r="C826" s="9" t="s">
        <v>5</v>
      </c>
      <c r="D826" s="19"/>
    </row>
    <row r="827">
      <c r="A827" s="11">
        <v>45875.0</v>
      </c>
      <c r="B827" s="9" t="s">
        <v>1204</v>
      </c>
      <c r="C827" s="9" t="s">
        <v>5</v>
      </c>
      <c r="D827" s="19"/>
    </row>
    <row r="828">
      <c r="A828" s="11">
        <v>45875.0</v>
      </c>
      <c r="B828" s="9" t="s">
        <v>1205</v>
      </c>
      <c r="C828" s="9" t="s">
        <v>5</v>
      </c>
      <c r="D828" s="19"/>
    </row>
    <row r="829">
      <c r="A829" s="11">
        <v>45875.0</v>
      </c>
      <c r="B829" s="9" t="s">
        <v>1206</v>
      </c>
      <c r="C829" s="9" t="s">
        <v>5</v>
      </c>
      <c r="D829" s="19"/>
    </row>
    <row r="830">
      <c r="A830" s="11">
        <v>45876.0</v>
      </c>
      <c r="B830" s="9" t="s">
        <v>1207</v>
      </c>
      <c r="C830" s="9" t="s">
        <v>5</v>
      </c>
      <c r="D830" s="19"/>
    </row>
    <row r="831">
      <c r="A831" s="11">
        <v>45876.0</v>
      </c>
      <c r="B831" s="9" t="s">
        <v>1208</v>
      </c>
      <c r="C831" s="9" t="s">
        <v>5</v>
      </c>
      <c r="D831" s="19"/>
    </row>
    <row r="832">
      <c r="A832" s="11">
        <v>45876.0</v>
      </c>
      <c r="B832" s="9" t="s">
        <v>1209</v>
      </c>
      <c r="C832" s="9" t="s">
        <v>5</v>
      </c>
      <c r="D832" s="19"/>
    </row>
    <row r="833">
      <c r="A833" s="11">
        <v>45880.0</v>
      </c>
      <c r="B833" s="9" t="s">
        <v>1210</v>
      </c>
      <c r="C833" s="9" t="s">
        <v>5</v>
      </c>
      <c r="D833" s="19"/>
    </row>
    <row r="834">
      <c r="A834" s="11">
        <v>45880.0</v>
      </c>
      <c r="B834" s="9" t="s">
        <v>1211</v>
      </c>
      <c r="C834" s="9" t="s">
        <v>5</v>
      </c>
      <c r="D834" s="19"/>
    </row>
    <row r="835">
      <c r="A835" s="11">
        <v>45880.0</v>
      </c>
      <c r="B835" s="9" t="s">
        <v>1212</v>
      </c>
      <c r="C835" s="9" t="s">
        <v>5</v>
      </c>
      <c r="D835" s="19"/>
    </row>
    <row r="836">
      <c r="A836" s="11">
        <v>45880.0</v>
      </c>
      <c r="B836" s="9" t="s">
        <v>1213</v>
      </c>
      <c r="C836" s="9" t="s">
        <v>5</v>
      </c>
      <c r="D836" s="19"/>
    </row>
    <row r="837">
      <c r="A837" s="11">
        <v>45880.0</v>
      </c>
      <c r="B837" s="9" t="s">
        <v>1214</v>
      </c>
      <c r="C837" s="9" t="s">
        <v>5</v>
      </c>
      <c r="D837" s="19"/>
    </row>
    <row r="838">
      <c r="A838" s="11">
        <v>45880.0</v>
      </c>
      <c r="B838" s="9" t="s">
        <v>1215</v>
      </c>
      <c r="C838" s="9" t="s">
        <v>5</v>
      </c>
      <c r="D838" s="19"/>
    </row>
    <row r="839">
      <c r="A839" s="11">
        <v>45880.0</v>
      </c>
      <c r="B839" s="9" t="s">
        <v>1216</v>
      </c>
      <c r="C839" s="9" t="s">
        <v>5</v>
      </c>
      <c r="D839" s="19"/>
    </row>
    <row r="840">
      <c r="A840" s="11">
        <v>45880.0</v>
      </c>
      <c r="B840" s="9" t="s">
        <v>1217</v>
      </c>
      <c r="C840" s="9" t="s">
        <v>5</v>
      </c>
      <c r="D840" s="19"/>
    </row>
    <row r="841">
      <c r="A841" s="11">
        <v>45880.0</v>
      </c>
      <c r="B841" s="9" t="s">
        <v>1218</v>
      </c>
      <c r="C841" s="9" t="s">
        <v>5</v>
      </c>
      <c r="D841" s="19"/>
    </row>
    <row r="842">
      <c r="A842" s="11">
        <v>45880.0</v>
      </c>
      <c r="B842" s="9" t="s">
        <v>1219</v>
      </c>
      <c r="C842" s="9" t="s">
        <v>5</v>
      </c>
      <c r="D842" s="19"/>
    </row>
    <row r="843">
      <c r="A843" s="11">
        <v>45880.0</v>
      </c>
      <c r="B843" s="9" t="s">
        <v>328</v>
      </c>
      <c r="C843" s="9" t="s">
        <v>23</v>
      </c>
      <c r="D843" s="19"/>
    </row>
    <row r="844">
      <c r="A844" s="11">
        <v>45880.0</v>
      </c>
      <c r="B844" s="9" t="s">
        <v>1220</v>
      </c>
      <c r="C844" s="9" t="s">
        <v>5</v>
      </c>
      <c r="D844" s="19"/>
    </row>
    <row r="845">
      <c r="A845" s="11">
        <v>45880.0</v>
      </c>
      <c r="B845" s="9" t="s">
        <v>1221</v>
      </c>
      <c r="C845" s="9" t="s">
        <v>5</v>
      </c>
      <c r="D845" s="19"/>
    </row>
    <row r="846">
      <c r="A846" s="11">
        <v>45880.0</v>
      </c>
      <c r="B846" s="9" t="s">
        <v>1222</v>
      </c>
      <c r="C846" s="9" t="s">
        <v>5</v>
      </c>
      <c r="D846" s="19"/>
    </row>
    <row r="847">
      <c r="A847" s="11">
        <v>45880.0</v>
      </c>
      <c r="B847" s="9" t="s">
        <v>1223</v>
      </c>
      <c r="C847" s="9" t="s">
        <v>5</v>
      </c>
      <c r="D847" s="19"/>
    </row>
    <row r="848">
      <c r="A848" s="11">
        <v>45881.0</v>
      </c>
      <c r="B848" s="9" t="s">
        <v>1224</v>
      </c>
      <c r="C848" s="9" t="s">
        <v>5</v>
      </c>
      <c r="D848" s="19"/>
    </row>
    <row r="849">
      <c r="A849" s="11">
        <v>45881.0</v>
      </c>
      <c r="B849" s="9" t="s">
        <v>1225</v>
      </c>
      <c r="C849" s="9" t="s">
        <v>5</v>
      </c>
      <c r="D849" s="18"/>
    </row>
    <row r="850">
      <c r="A850" s="11">
        <v>45881.0</v>
      </c>
      <c r="B850" s="9" t="s">
        <v>1226</v>
      </c>
      <c r="C850" s="9" t="s">
        <v>5</v>
      </c>
      <c r="D850" s="19"/>
    </row>
    <row r="851">
      <c r="A851" s="11">
        <v>45881.0</v>
      </c>
      <c r="B851" s="9" t="s">
        <v>1227</v>
      </c>
      <c r="C851" s="9" t="s">
        <v>5</v>
      </c>
      <c r="D851" s="19"/>
    </row>
    <row r="852">
      <c r="A852" s="11">
        <v>45881.0</v>
      </c>
      <c r="B852" s="9" t="s">
        <v>330</v>
      </c>
      <c r="C852" s="9" t="s">
        <v>23</v>
      </c>
      <c r="D852" s="19"/>
    </row>
    <row r="853">
      <c r="A853" s="11">
        <v>45881.0</v>
      </c>
      <c r="B853" s="9" t="s">
        <v>331</v>
      </c>
      <c r="C853" s="9" t="s">
        <v>23</v>
      </c>
      <c r="D853" s="19"/>
    </row>
    <row r="854">
      <c r="A854" s="11">
        <v>45881.0</v>
      </c>
      <c r="B854" s="9" t="s">
        <v>332</v>
      </c>
      <c r="C854" s="9" t="s">
        <v>23</v>
      </c>
      <c r="D854" s="19"/>
    </row>
    <row r="855">
      <c r="A855" s="11">
        <v>45881.0</v>
      </c>
      <c r="B855" s="9" t="s">
        <v>1228</v>
      </c>
      <c r="C855" s="9" t="s">
        <v>5</v>
      </c>
      <c r="D855" s="19"/>
    </row>
    <row r="856">
      <c r="A856" s="11">
        <v>45883.0</v>
      </c>
      <c r="B856" s="9" t="s">
        <v>1229</v>
      </c>
      <c r="C856" s="9" t="s">
        <v>5</v>
      </c>
      <c r="D856" s="19"/>
    </row>
    <row r="857">
      <c r="A857" s="11">
        <v>45883.0</v>
      </c>
      <c r="B857" s="9" t="s">
        <v>334</v>
      </c>
      <c r="C857" s="9" t="s">
        <v>23</v>
      </c>
      <c r="D857" s="19"/>
    </row>
    <row r="858">
      <c r="A858" s="11">
        <v>45883.0</v>
      </c>
      <c r="B858" s="9" t="s">
        <v>1230</v>
      </c>
      <c r="C858" s="9" t="s">
        <v>5</v>
      </c>
      <c r="D858" s="19"/>
    </row>
    <row r="859">
      <c r="A859" s="11">
        <v>45883.0</v>
      </c>
      <c r="B859" s="9" t="s">
        <v>1231</v>
      </c>
      <c r="C859" s="9" t="s">
        <v>5</v>
      </c>
      <c r="D859" s="19"/>
    </row>
    <row r="860">
      <c r="A860" s="11">
        <v>45883.0</v>
      </c>
      <c r="B860" s="9" t="s">
        <v>1232</v>
      </c>
      <c r="C860" s="9" t="s">
        <v>5</v>
      </c>
      <c r="D860" s="19"/>
    </row>
    <row r="861">
      <c r="A861" s="11">
        <v>45883.0</v>
      </c>
      <c r="B861" s="9" t="s">
        <v>1233</v>
      </c>
      <c r="C861" s="9" t="s">
        <v>5</v>
      </c>
      <c r="D861" s="19"/>
    </row>
    <row r="862">
      <c r="A862" s="11">
        <v>45887.0</v>
      </c>
      <c r="B862" s="9" t="s">
        <v>1234</v>
      </c>
      <c r="C862" s="9" t="s">
        <v>5</v>
      </c>
      <c r="D862" s="19"/>
    </row>
    <row r="863">
      <c r="A863" s="11">
        <v>45887.0</v>
      </c>
      <c r="B863" s="9" t="s">
        <v>1235</v>
      </c>
      <c r="C863" s="9" t="s">
        <v>5</v>
      </c>
      <c r="D863" s="19"/>
    </row>
    <row r="864">
      <c r="A864" s="11">
        <v>45887.0</v>
      </c>
      <c r="B864" s="9" t="s">
        <v>1236</v>
      </c>
      <c r="C864" s="9" t="s">
        <v>5</v>
      </c>
      <c r="D864" s="19"/>
    </row>
    <row r="865">
      <c r="A865" s="11">
        <v>45887.0</v>
      </c>
      <c r="B865" s="9" t="s">
        <v>1237</v>
      </c>
      <c r="C865" s="9" t="s">
        <v>5</v>
      </c>
      <c r="D865" s="19"/>
    </row>
    <row r="866">
      <c r="A866" s="11">
        <v>45887.0</v>
      </c>
      <c r="B866" s="9" t="s">
        <v>1238</v>
      </c>
      <c r="C866" s="9" t="s">
        <v>5</v>
      </c>
      <c r="D866" s="19"/>
    </row>
    <row r="867">
      <c r="A867" s="11">
        <v>45887.0</v>
      </c>
      <c r="B867" s="9" t="s">
        <v>1239</v>
      </c>
      <c r="C867" s="9" t="s">
        <v>5</v>
      </c>
      <c r="D867" s="19"/>
    </row>
    <row r="868">
      <c r="A868" s="11">
        <v>45887.0</v>
      </c>
      <c r="B868" s="9" t="s">
        <v>1240</v>
      </c>
      <c r="C868" s="9" t="s">
        <v>5</v>
      </c>
      <c r="D868" s="19"/>
    </row>
    <row r="869">
      <c r="A869" s="11">
        <v>45887.0</v>
      </c>
      <c r="B869" s="9" t="s">
        <v>1241</v>
      </c>
      <c r="C869" s="9" t="s">
        <v>5</v>
      </c>
      <c r="D869" s="19"/>
    </row>
    <row r="870">
      <c r="A870" s="11">
        <v>45887.0</v>
      </c>
      <c r="B870" s="9" t="s">
        <v>1242</v>
      </c>
      <c r="C870" s="9" t="s">
        <v>5</v>
      </c>
      <c r="D870" s="19"/>
    </row>
    <row r="871">
      <c r="A871" s="11">
        <v>45887.0</v>
      </c>
      <c r="B871" s="9" t="s">
        <v>335</v>
      </c>
      <c r="C871" s="9" t="s">
        <v>23</v>
      </c>
      <c r="D871" s="19"/>
    </row>
    <row r="872">
      <c r="A872" s="11">
        <v>45887.0</v>
      </c>
      <c r="B872" s="9" t="s">
        <v>1243</v>
      </c>
      <c r="C872" s="9" t="s">
        <v>5</v>
      </c>
      <c r="D872" s="19"/>
    </row>
    <row r="873">
      <c r="A873" s="11">
        <v>45889.0</v>
      </c>
      <c r="B873" s="9" t="s">
        <v>337</v>
      </c>
      <c r="C873" s="9" t="s">
        <v>23</v>
      </c>
      <c r="D873" s="19"/>
    </row>
    <row r="874">
      <c r="A874" s="11">
        <v>45889.0</v>
      </c>
      <c r="B874" s="9" t="s">
        <v>338</v>
      </c>
      <c r="C874" s="9" t="s">
        <v>23</v>
      </c>
      <c r="D874" s="19"/>
    </row>
    <row r="875">
      <c r="A875" s="11">
        <v>45889.0</v>
      </c>
      <c r="B875" s="13" t="s">
        <v>1244</v>
      </c>
      <c r="C875" s="9" t="s">
        <v>5</v>
      </c>
      <c r="D875" s="19"/>
    </row>
    <row r="876">
      <c r="A876" s="11">
        <v>45889.0</v>
      </c>
      <c r="B876" s="13" t="s">
        <v>339</v>
      </c>
      <c r="C876" s="9" t="s">
        <v>23</v>
      </c>
      <c r="D876" s="19"/>
    </row>
    <row r="877">
      <c r="A877" s="11">
        <v>45889.0</v>
      </c>
      <c r="B877" s="13" t="s">
        <v>1245</v>
      </c>
      <c r="C877" s="9" t="s">
        <v>5</v>
      </c>
      <c r="D877" s="19"/>
    </row>
    <row r="878">
      <c r="A878" s="11">
        <v>45890.0</v>
      </c>
      <c r="B878" s="9" t="s">
        <v>1246</v>
      </c>
      <c r="C878" s="9" t="s">
        <v>5</v>
      </c>
      <c r="D878" s="19"/>
    </row>
    <row r="879">
      <c r="A879" s="11">
        <v>45890.0</v>
      </c>
      <c r="B879" s="9" t="s">
        <v>1247</v>
      </c>
      <c r="C879" s="9" t="s">
        <v>5</v>
      </c>
      <c r="D879" s="19"/>
    </row>
    <row r="880">
      <c r="A880" s="11">
        <v>45891.0</v>
      </c>
      <c r="B880" s="9" t="s">
        <v>340</v>
      </c>
      <c r="C880" s="9" t="s">
        <v>23</v>
      </c>
      <c r="D880" s="19"/>
    </row>
    <row r="881">
      <c r="A881" s="11">
        <v>45891.0</v>
      </c>
      <c r="B881" s="9" t="s">
        <v>342</v>
      </c>
      <c r="C881" s="9" t="s">
        <v>23</v>
      </c>
      <c r="D881" s="19"/>
    </row>
    <row r="882">
      <c r="A882" s="11">
        <v>45891.0</v>
      </c>
      <c r="B882" s="9" t="s">
        <v>1248</v>
      </c>
      <c r="C882" s="9" t="s">
        <v>5</v>
      </c>
      <c r="D882" s="19"/>
    </row>
    <row r="883">
      <c r="A883" s="11">
        <v>45891.0</v>
      </c>
      <c r="B883" s="13" t="s">
        <v>1249</v>
      </c>
      <c r="C883" s="9" t="s">
        <v>5</v>
      </c>
      <c r="D883" s="19"/>
    </row>
    <row r="884">
      <c r="A884" s="11">
        <v>45892.0</v>
      </c>
      <c r="B884" s="9" t="s">
        <v>1250</v>
      </c>
      <c r="C884" s="9" t="s">
        <v>5</v>
      </c>
      <c r="D884" s="19"/>
    </row>
    <row r="885">
      <c r="A885" s="11">
        <v>45892.0</v>
      </c>
      <c r="B885" s="9" t="s">
        <v>1251</v>
      </c>
      <c r="C885" s="9" t="s">
        <v>5</v>
      </c>
      <c r="D885" s="19"/>
    </row>
    <row r="886">
      <c r="A886" s="11">
        <v>45892.0</v>
      </c>
      <c r="B886" s="9" t="s">
        <v>1252</v>
      </c>
      <c r="C886" s="9" t="s">
        <v>5</v>
      </c>
      <c r="D886" s="19"/>
    </row>
    <row r="887">
      <c r="A887" s="11">
        <v>45892.0</v>
      </c>
      <c r="B887" s="9" t="s">
        <v>1253</v>
      </c>
      <c r="C887" s="9" t="s">
        <v>5</v>
      </c>
      <c r="D887" s="19"/>
    </row>
    <row r="888">
      <c r="A888" s="11">
        <v>45894.0</v>
      </c>
      <c r="B888" s="9" t="s">
        <v>1254</v>
      </c>
      <c r="C888" s="9" t="s">
        <v>5</v>
      </c>
      <c r="D888" s="19"/>
    </row>
    <row r="889">
      <c r="A889" s="11">
        <v>45894.0</v>
      </c>
      <c r="B889" s="9" t="s">
        <v>1255</v>
      </c>
      <c r="C889" s="9" t="s">
        <v>5</v>
      </c>
      <c r="D889" s="19"/>
    </row>
    <row r="890">
      <c r="A890" s="11">
        <v>45894.0</v>
      </c>
      <c r="B890" s="9" t="s">
        <v>1256</v>
      </c>
      <c r="C890" s="9" t="s">
        <v>5</v>
      </c>
      <c r="D890" s="19"/>
    </row>
    <row r="891">
      <c r="A891" s="11">
        <v>45894.0</v>
      </c>
      <c r="B891" s="9" t="s">
        <v>1257</v>
      </c>
      <c r="C891" s="9" t="s">
        <v>5</v>
      </c>
      <c r="D891" s="19"/>
    </row>
    <row r="892">
      <c r="A892" s="11">
        <v>45894.0</v>
      </c>
      <c r="B892" s="9" t="s">
        <v>1258</v>
      </c>
      <c r="C892" s="9" t="s">
        <v>5</v>
      </c>
      <c r="D892" s="19"/>
    </row>
    <row r="893">
      <c r="A893" s="11">
        <v>45894.0</v>
      </c>
      <c r="B893" s="9" t="s">
        <v>1259</v>
      </c>
      <c r="C893" s="9" t="s">
        <v>5</v>
      </c>
      <c r="D893" s="19"/>
    </row>
    <row r="894">
      <c r="A894" s="11">
        <v>45894.0</v>
      </c>
      <c r="B894" s="9" t="s">
        <v>1260</v>
      </c>
      <c r="C894" s="9" t="s">
        <v>5</v>
      </c>
      <c r="D894" s="19"/>
    </row>
    <row r="895">
      <c r="A895" s="11">
        <v>45894.0</v>
      </c>
      <c r="B895" s="9" t="s">
        <v>1261</v>
      </c>
      <c r="C895" s="9" t="s">
        <v>5</v>
      </c>
      <c r="D895" s="19"/>
    </row>
    <row r="896">
      <c r="A896" s="11">
        <v>45894.0</v>
      </c>
      <c r="B896" s="9" t="s">
        <v>1262</v>
      </c>
      <c r="C896" s="9" t="s">
        <v>5</v>
      </c>
      <c r="D896" s="19"/>
    </row>
    <row r="897">
      <c r="A897" s="11">
        <v>45894.0</v>
      </c>
      <c r="B897" s="9" t="s">
        <v>1263</v>
      </c>
      <c r="C897" s="9" t="s">
        <v>5</v>
      </c>
      <c r="D897" s="19"/>
    </row>
    <row r="898">
      <c r="A898" s="11">
        <v>45895.0</v>
      </c>
      <c r="B898" s="9" t="s">
        <v>1264</v>
      </c>
      <c r="C898" s="9" t="s">
        <v>5</v>
      </c>
      <c r="D898" s="19"/>
    </row>
    <row r="899">
      <c r="A899" s="11">
        <v>45895.0</v>
      </c>
      <c r="B899" s="9" t="s">
        <v>1265</v>
      </c>
      <c r="C899" s="9" t="s">
        <v>5</v>
      </c>
      <c r="D899" s="19"/>
    </row>
    <row r="900">
      <c r="A900" s="11">
        <v>45895.0</v>
      </c>
      <c r="B900" s="9" t="s">
        <v>343</v>
      </c>
      <c r="C900" s="9" t="s">
        <v>23</v>
      </c>
      <c r="D900" s="19"/>
    </row>
    <row r="901">
      <c r="A901" s="11">
        <v>45896.0</v>
      </c>
      <c r="B901" s="9" t="s">
        <v>1266</v>
      </c>
      <c r="C901" s="9" t="s">
        <v>5</v>
      </c>
      <c r="D901" s="19"/>
    </row>
    <row r="902">
      <c r="A902" s="11">
        <v>45896.0</v>
      </c>
      <c r="B902" s="9" t="s">
        <v>1267</v>
      </c>
      <c r="C902" s="9" t="s">
        <v>5</v>
      </c>
      <c r="D902" s="19"/>
    </row>
    <row r="903">
      <c r="A903" s="11">
        <v>45896.0</v>
      </c>
      <c r="B903" s="9" t="s">
        <v>1268</v>
      </c>
      <c r="C903" s="9" t="s">
        <v>5</v>
      </c>
      <c r="D903" s="19"/>
    </row>
    <row r="904">
      <c r="A904" s="11">
        <v>45897.0</v>
      </c>
      <c r="B904" s="9" t="s">
        <v>1269</v>
      </c>
      <c r="C904" s="9" t="s">
        <v>5</v>
      </c>
      <c r="D904" s="19"/>
    </row>
    <row r="905">
      <c r="A905" s="11">
        <v>45897.0</v>
      </c>
      <c r="B905" s="9" t="s">
        <v>1270</v>
      </c>
      <c r="C905" s="9" t="s">
        <v>5</v>
      </c>
      <c r="D905" s="19"/>
    </row>
    <row r="906">
      <c r="A906" s="11">
        <v>45897.0</v>
      </c>
      <c r="B906" s="6" t="s">
        <v>344</v>
      </c>
      <c r="C906" s="9" t="s">
        <v>23</v>
      </c>
      <c r="D906" s="19"/>
    </row>
    <row r="907">
      <c r="A907" s="11">
        <v>45897.0</v>
      </c>
      <c r="B907" s="13" t="s">
        <v>1271</v>
      </c>
      <c r="C907" s="9" t="s">
        <v>5</v>
      </c>
      <c r="D907" s="19"/>
    </row>
    <row r="908">
      <c r="A908" s="11">
        <v>45898.0</v>
      </c>
      <c r="B908" s="9" t="s">
        <v>1272</v>
      </c>
      <c r="C908" s="9" t="s">
        <v>5</v>
      </c>
      <c r="D908" s="19"/>
    </row>
    <row r="909">
      <c r="A909" s="11">
        <v>45898.0</v>
      </c>
      <c r="B909" s="9" t="s">
        <v>1273</v>
      </c>
      <c r="C909" s="9" t="s">
        <v>5</v>
      </c>
      <c r="D909" s="19"/>
    </row>
    <row r="910">
      <c r="A910" s="11">
        <v>45899.0</v>
      </c>
      <c r="B910" s="9" t="s">
        <v>346</v>
      </c>
      <c r="C910" s="9" t="s">
        <v>23</v>
      </c>
      <c r="D910" s="19"/>
    </row>
    <row r="911">
      <c r="A911" s="11">
        <v>45899.0</v>
      </c>
      <c r="B911" s="9" t="s">
        <v>347</v>
      </c>
      <c r="C911" s="9" t="s">
        <v>23</v>
      </c>
      <c r="D911" s="19"/>
    </row>
    <row r="912">
      <c r="A912" s="11">
        <v>45901.0</v>
      </c>
      <c r="B912" s="9" t="s">
        <v>1274</v>
      </c>
      <c r="C912" s="9" t="s">
        <v>5</v>
      </c>
      <c r="D912" s="19"/>
    </row>
    <row r="913">
      <c r="A913" s="11">
        <v>45901.0</v>
      </c>
      <c r="B913" s="9" t="s">
        <v>1275</v>
      </c>
      <c r="C913" s="9" t="s">
        <v>5</v>
      </c>
      <c r="D913" s="19"/>
    </row>
    <row r="914">
      <c r="A914" s="11">
        <v>45901.0</v>
      </c>
      <c r="B914" s="9" t="s">
        <v>1276</v>
      </c>
      <c r="C914" s="9" t="s">
        <v>5</v>
      </c>
      <c r="D914" s="19"/>
    </row>
    <row r="915">
      <c r="A915" s="11">
        <v>45902.0</v>
      </c>
      <c r="B915" s="9" t="s">
        <v>348</v>
      </c>
      <c r="C915" s="9" t="s">
        <v>23</v>
      </c>
      <c r="D915" s="19"/>
    </row>
    <row r="916">
      <c r="A916" s="11">
        <v>45902.0</v>
      </c>
      <c r="B916" s="9" t="s">
        <v>1277</v>
      </c>
      <c r="C916" s="9" t="s">
        <v>5</v>
      </c>
      <c r="D916" s="19"/>
    </row>
    <row r="917">
      <c r="A917" s="11">
        <v>45902.0</v>
      </c>
      <c r="B917" s="9" t="s">
        <v>350</v>
      </c>
      <c r="C917" s="9" t="s">
        <v>23</v>
      </c>
      <c r="D917" s="19"/>
    </row>
    <row r="918">
      <c r="A918" s="11">
        <v>45902.0</v>
      </c>
      <c r="B918" s="9" t="s">
        <v>1278</v>
      </c>
      <c r="C918" s="9" t="s">
        <v>5</v>
      </c>
      <c r="D918" s="19"/>
    </row>
    <row r="919">
      <c r="A919" s="11">
        <v>45902.0</v>
      </c>
      <c r="B919" s="9" t="s">
        <v>1279</v>
      </c>
      <c r="C919" s="9" t="s">
        <v>5</v>
      </c>
      <c r="D919" s="19"/>
    </row>
    <row r="920">
      <c r="A920" s="11">
        <v>45902.0</v>
      </c>
      <c r="B920" s="9" t="s">
        <v>1280</v>
      </c>
      <c r="C920" s="9" t="s">
        <v>5</v>
      </c>
      <c r="D920" s="19"/>
    </row>
    <row r="921">
      <c r="A921" s="11">
        <v>45902.0</v>
      </c>
      <c r="B921" s="9" t="s">
        <v>1281</v>
      </c>
      <c r="C921" s="9" t="s">
        <v>5</v>
      </c>
      <c r="D921" s="19"/>
    </row>
    <row r="922">
      <c r="A922" s="11">
        <v>45903.0</v>
      </c>
      <c r="B922" s="9" t="s">
        <v>1282</v>
      </c>
      <c r="C922" s="9" t="s">
        <v>23</v>
      </c>
      <c r="D922" s="19"/>
    </row>
    <row r="923">
      <c r="A923" s="11">
        <v>45903.0</v>
      </c>
      <c r="B923" s="9" t="s">
        <v>1283</v>
      </c>
      <c r="C923" s="9" t="s">
        <v>5</v>
      </c>
      <c r="D923" s="19"/>
    </row>
    <row r="924">
      <c r="A924" s="11">
        <v>45903.0</v>
      </c>
      <c r="B924" s="9" t="s">
        <v>1284</v>
      </c>
      <c r="C924" s="9" t="s">
        <v>5</v>
      </c>
      <c r="D924" s="19"/>
    </row>
    <row r="925">
      <c r="A925" s="11">
        <v>45903.0</v>
      </c>
      <c r="B925" s="13" t="s">
        <v>1285</v>
      </c>
      <c r="C925" s="9" t="s">
        <v>5</v>
      </c>
      <c r="D925" s="19"/>
    </row>
    <row r="926">
      <c r="A926" s="11">
        <v>45904.0</v>
      </c>
      <c r="B926" s="9" t="s">
        <v>1286</v>
      </c>
      <c r="C926" s="9" t="s">
        <v>5</v>
      </c>
      <c r="D926" s="19"/>
    </row>
    <row r="927">
      <c r="A927" s="11">
        <v>45904.0</v>
      </c>
      <c r="B927" s="9" t="s">
        <v>1287</v>
      </c>
      <c r="C927" s="9" t="s">
        <v>5</v>
      </c>
      <c r="D927" s="19"/>
    </row>
    <row r="928">
      <c r="A928" s="11">
        <v>45904.0</v>
      </c>
      <c r="B928" s="9" t="s">
        <v>1288</v>
      </c>
      <c r="C928" s="9" t="s">
        <v>5</v>
      </c>
      <c r="D928" s="19"/>
    </row>
    <row r="929">
      <c r="A929" s="11">
        <v>45905.0</v>
      </c>
      <c r="B929" s="9" t="s">
        <v>1289</v>
      </c>
      <c r="C929" s="9" t="s">
        <v>5</v>
      </c>
      <c r="D929" s="19"/>
    </row>
    <row r="930">
      <c r="A930" s="11">
        <v>45905.0</v>
      </c>
      <c r="B930" s="9" t="s">
        <v>1290</v>
      </c>
      <c r="C930" s="9" t="s">
        <v>5</v>
      </c>
      <c r="D930" s="19"/>
    </row>
    <row r="931">
      <c r="A931" s="11">
        <v>45905.0</v>
      </c>
      <c r="B931" s="9" t="s">
        <v>1291</v>
      </c>
      <c r="C931" s="9" t="s">
        <v>5</v>
      </c>
      <c r="D931" s="19"/>
    </row>
    <row r="932">
      <c r="A932" s="11">
        <v>45905.0</v>
      </c>
      <c r="B932" s="9" t="s">
        <v>1292</v>
      </c>
      <c r="C932" s="9" t="s">
        <v>5</v>
      </c>
      <c r="D932" s="19"/>
    </row>
    <row r="933">
      <c r="A933" s="11">
        <v>45905.0</v>
      </c>
      <c r="B933" s="9" t="s">
        <v>1293</v>
      </c>
      <c r="C933" s="9" t="s">
        <v>5</v>
      </c>
      <c r="D933" s="19"/>
    </row>
    <row r="934">
      <c r="A934" s="11">
        <v>45905.0</v>
      </c>
      <c r="B934" s="9" t="s">
        <v>352</v>
      </c>
      <c r="C934" s="9" t="s">
        <v>23</v>
      </c>
      <c r="D934" s="19"/>
    </row>
    <row r="935">
      <c r="A935" s="11">
        <v>45905.0</v>
      </c>
      <c r="B935" s="9" t="s">
        <v>1294</v>
      </c>
      <c r="C935" s="9" t="s">
        <v>5</v>
      </c>
      <c r="D935" s="19"/>
    </row>
    <row r="936">
      <c r="A936" s="11">
        <v>45906.0</v>
      </c>
      <c r="B936" s="9" t="s">
        <v>353</v>
      </c>
      <c r="C936" s="9" t="s">
        <v>23</v>
      </c>
      <c r="D936" s="19"/>
    </row>
    <row r="937">
      <c r="A937" s="11">
        <v>45906.0</v>
      </c>
      <c r="B937" s="9" t="s">
        <v>1295</v>
      </c>
      <c r="C937" s="9" t="s">
        <v>5</v>
      </c>
      <c r="D937" s="19"/>
    </row>
    <row r="938">
      <c r="A938" s="11">
        <v>45906.0</v>
      </c>
      <c r="B938" s="9" t="s">
        <v>1296</v>
      </c>
      <c r="C938" s="9" t="s">
        <v>5</v>
      </c>
      <c r="D938" s="19"/>
    </row>
    <row r="939">
      <c r="A939" s="11">
        <v>45906.0</v>
      </c>
      <c r="B939" s="9" t="s">
        <v>1297</v>
      </c>
      <c r="C939" s="9" t="s">
        <v>5</v>
      </c>
      <c r="D939" s="19"/>
    </row>
    <row r="940">
      <c r="A940" s="11">
        <v>45906.0</v>
      </c>
      <c r="B940" s="9" t="s">
        <v>1298</v>
      </c>
      <c r="C940" s="9" t="s">
        <v>5</v>
      </c>
      <c r="D940" s="19"/>
    </row>
    <row r="941">
      <c r="A941" s="11">
        <v>45906.0</v>
      </c>
      <c r="B941" s="9" t="s">
        <v>1299</v>
      </c>
      <c r="C941" s="9" t="s">
        <v>5</v>
      </c>
      <c r="D941" s="19"/>
    </row>
    <row r="942">
      <c r="A942" s="11">
        <v>45906.0</v>
      </c>
      <c r="B942" s="9" t="s">
        <v>1300</v>
      </c>
      <c r="C942" s="9" t="s">
        <v>5</v>
      </c>
      <c r="D942" s="19"/>
    </row>
    <row r="943">
      <c r="A943" s="11">
        <v>45906.0</v>
      </c>
      <c r="B943" s="9" t="s">
        <v>1301</v>
      </c>
      <c r="C943" s="9" t="s">
        <v>5</v>
      </c>
      <c r="D943" s="19"/>
    </row>
    <row r="944">
      <c r="A944" s="11">
        <v>45908.0</v>
      </c>
      <c r="B944" s="9" t="s">
        <v>1302</v>
      </c>
      <c r="C944" s="9" t="s">
        <v>5</v>
      </c>
      <c r="D944" s="19"/>
    </row>
    <row r="945">
      <c r="A945" s="11">
        <v>45908.0</v>
      </c>
      <c r="B945" s="9" t="s">
        <v>1303</v>
      </c>
      <c r="C945" s="9" t="s">
        <v>5</v>
      </c>
      <c r="D945" s="19"/>
    </row>
    <row r="946">
      <c r="A946" s="11">
        <v>45908.0</v>
      </c>
      <c r="B946" s="9" t="s">
        <v>1304</v>
      </c>
      <c r="C946" s="9" t="s">
        <v>5</v>
      </c>
      <c r="D946" s="19"/>
    </row>
    <row r="947">
      <c r="A947" s="11">
        <v>45908.0</v>
      </c>
      <c r="B947" s="9" t="s">
        <v>1305</v>
      </c>
      <c r="C947" s="9" t="s">
        <v>5</v>
      </c>
      <c r="D947" s="19"/>
    </row>
    <row r="948">
      <c r="A948" s="11">
        <v>45908.0</v>
      </c>
      <c r="B948" s="9" t="s">
        <v>1306</v>
      </c>
      <c r="C948" s="9" t="s">
        <v>5</v>
      </c>
      <c r="D948" s="19"/>
    </row>
    <row r="949">
      <c r="A949" s="11">
        <v>45908.0</v>
      </c>
      <c r="B949" s="9" t="s">
        <v>355</v>
      </c>
      <c r="C949" s="9" t="s">
        <v>23</v>
      </c>
      <c r="D949" s="19"/>
    </row>
    <row r="950">
      <c r="A950" s="11">
        <v>45908.0</v>
      </c>
      <c r="B950" s="9" t="s">
        <v>1307</v>
      </c>
      <c r="C950" s="9" t="s">
        <v>5</v>
      </c>
      <c r="D950" s="19"/>
    </row>
    <row r="951">
      <c r="A951" s="11">
        <v>45908.0</v>
      </c>
      <c r="B951" s="9" t="s">
        <v>1308</v>
      </c>
      <c r="C951" s="9" t="s">
        <v>5</v>
      </c>
      <c r="D951" s="19"/>
    </row>
    <row r="952">
      <c r="A952" s="11">
        <v>45909.0</v>
      </c>
      <c r="B952" s="9" t="s">
        <v>1309</v>
      </c>
      <c r="C952" s="9" t="s">
        <v>5</v>
      </c>
      <c r="D952" s="19"/>
    </row>
    <row r="953">
      <c r="A953" s="11">
        <v>45909.0</v>
      </c>
      <c r="B953" s="9" t="s">
        <v>1310</v>
      </c>
      <c r="C953" s="9" t="s">
        <v>5</v>
      </c>
      <c r="D953" s="19"/>
    </row>
    <row r="954">
      <c r="A954" s="11">
        <v>45909.0</v>
      </c>
      <c r="B954" s="9" t="s">
        <v>1311</v>
      </c>
      <c r="C954" s="9" t="s">
        <v>5</v>
      </c>
      <c r="D954" s="19"/>
    </row>
    <row r="955">
      <c r="A955" s="11">
        <v>45909.0</v>
      </c>
      <c r="B955" s="9" t="s">
        <v>1312</v>
      </c>
      <c r="C955" s="9" t="s">
        <v>5</v>
      </c>
      <c r="D955" s="19"/>
    </row>
    <row r="956">
      <c r="A956" s="11">
        <v>45909.0</v>
      </c>
      <c r="B956" s="9" t="s">
        <v>1313</v>
      </c>
      <c r="C956" s="9" t="s">
        <v>5</v>
      </c>
      <c r="D956" s="19"/>
    </row>
    <row r="957">
      <c r="A957" s="11">
        <v>45909.0</v>
      </c>
      <c r="B957" s="9" t="s">
        <v>1314</v>
      </c>
      <c r="C957" s="9" t="s">
        <v>5</v>
      </c>
      <c r="D957" s="19"/>
    </row>
    <row r="958">
      <c r="A958" s="11">
        <v>45910.0</v>
      </c>
      <c r="B958" s="9" t="s">
        <v>1315</v>
      </c>
      <c r="C958" s="9" t="s">
        <v>5</v>
      </c>
      <c r="D958" s="19"/>
    </row>
    <row r="959">
      <c r="A959" s="11">
        <v>45910.0</v>
      </c>
      <c r="B959" s="9" t="s">
        <v>356</v>
      </c>
      <c r="C959" s="9" t="s">
        <v>23</v>
      </c>
      <c r="D959" s="19"/>
    </row>
    <row r="960">
      <c r="A960" s="11">
        <v>45910.0</v>
      </c>
      <c r="B960" s="9" t="s">
        <v>1316</v>
      </c>
      <c r="C960" s="9" t="s">
        <v>5</v>
      </c>
      <c r="D960" s="19"/>
    </row>
    <row r="961">
      <c r="A961" s="11">
        <v>45910.0</v>
      </c>
      <c r="B961" s="9" t="s">
        <v>1267</v>
      </c>
      <c r="C961" s="9" t="s">
        <v>5</v>
      </c>
      <c r="D961" s="19"/>
    </row>
    <row r="962">
      <c r="A962" s="11">
        <v>45910.0</v>
      </c>
      <c r="B962" s="9" t="s">
        <v>1317</v>
      </c>
      <c r="C962" s="9" t="s">
        <v>5</v>
      </c>
      <c r="D962" s="19"/>
    </row>
    <row r="963">
      <c r="A963" s="11">
        <v>45910.0</v>
      </c>
      <c r="B963" s="9" t="s">
        <v>1318</v>
      </c>
      <c r="C963" s="9" t="s">
        <v>5</v>
      </c>
      <c r="D963" s="19"/>
    </row>
    <row r="964">
      <c r="A964" s="11">
        <v>45910.0</v>
      </c>
      <c r="B964" s="9" t="s">
        <v>1319</v>
      </c>
      <c r="C964" s="9" t="s">
        <v>5</v>
      </c>
      <c r="D964" s="19"/>
    </row>
    <row r="965">
      <c r="A965" s="11">
        <v>45910.0</v>
      </c>
      <c r="B965" s="9" t="s">
        <v>1320</v>
      </c>
      <c r="C965" s="9" t="s">
        <v>5</v>
      </c>
      <c r="D965" s="19"/>
    </row>
    <row r="966">
      <c r="A966" s="11">
        <v>45910.0</v>
      </c>
      <c r="B966" s="9" t="s">
        <v>1321</v>
      </c>
      <c r="C966" s="9" t="s">
        <v>5</v>
      </c>
      <c r="D966" s="19"/>
    </row>
    <row r="967">
      <c r="A967" s="11">
        <v>45910.0</v>
      </c>
      <c r="B967" s="9" t="s">
        <v>357</v>
      </c>
      <c r="C967" s="9" t="s">
        <v>23</v>
      </c>
      <c r="D967" s="19"/>
    </row>
    <row r="968">
      <c r="A968" s="11">
        <v>45910.0</v>
      </c>
      <c r="B968" s="9" t="s">
        <v>1322</v>
      </c>
      <c r="C968" s="9" t="s">
        <v>5</v>
      </c>
      <c r="D968" s="19"/>
    </row>
    <row r="969">
      <c r="A969" s="11">
        <v>45911.0</v>
      </c>
      <c r="B969" s="9" t="s">
        <v>1323</v>
      </c>
      <c r="C969" s="9" t="s">
        <v>5</v>
      </c>
      <c r="D969" s="19"/>
    </row>
    <row r="970">
      <c r="A970" s="11">
        <v>45911.0</v>
      </c>
      <c r="B970" s="9" t="s">
        <v>1324</v>
      </c>
      <c r="C970" s="9" t="s">
        <v>5</v>
      </c>
      <c r="D970" s="19"/>
    </row>
    <row r="971">
      <c r="A971" s="11">
        <v>45911.0</v>
      </c>
      <c r="B971" s="9" t="s">
        <v>1325</v>
      </c>
      <c r="C971" s="9" t="s">
        <v>5</v>
      </c>
      <c r="D971" s="19"/>
    </row>
    <row r="972">
      <c r="A972" s="11">
        <v>45911.0</v>
      </c>
      <c r="B972" s="9" t="s">
        <v>1326</v>
      </c>
      <c r="C972" s="9" t="s">
        <v>5</v>
      </c>
      <c r="D972" s="19"/>
    </row>
    <row r="973">
      <c r="A973" s="11">
        <v>45911.0</v>
      </c>
      <c r="B973" s="9" t="s">
        <v>1327</v>
      </c>
      <c r="C973" s="9" t="s">
        <v>5</v>
      </c>
      <c r="D973" s="19"/>
    </row>
    <row r="974">
      <c r="A974" s="11">
        <v>45911.0</v>
      </c>
      <c r="B974" s="13" t="s">
        <v>1328</v>
      </c>
      <c r="C974" s="9" t="s">
        <v>5</v>
      </c>
      <c r="D974" s="19"/>
    </row>
    <row r="975">
      <c r="A975" s="11">
        <v>45913.0</v>
      </c>
      <c r="B975" s="9" t="s">
        <v>1329</v>
      </c>
      <c r="C975" s="9" t="s">
        <v>5</v>
      </c>
      <c r="D975" s="19"/>
    </row>
    <row r="976">
      <c r="A976" s="11">
        <v>45913.0</v>
      </c>
      <c r="B976" s="9" t="s">
        <v>1330</v>
      </c>
      <c r="C976" s="9" t="s">
        <v>5</v>
      </c>
      <c r="D976" s="19"/>
    </row>
    <row r="977">
      <c r="A977" s="11">
        <v>45915.0</v>
      </c>
      <c r="B977" s="9" t="s">
        <v>1331</v>
      </c>
      <c r="C977" s="9" t="s">
        <v>5</v>
      </c>
      <c r="D977" s="19"/>
    </row>
    <row r="978">
      <c r="A978" s="11">
        <v>45915.0</v>
      </c>
      <c r="B978" s="13" t="s">
        <v>1332</v>
      </c>
      <c r="C978" s="9" t="s">
        <v>5</v>
      </c>
      <c r="D978" s="19"/>
    </row>
    <row r="979">
      <c r="A979" s="11">
        <v>45915.0</v>
      </c>
      <c r="B979" s="9" t="s">
        <v>1333</v>
      </c>
      <c r="C979" s="9" t="s">
        <v>5</v>
      </c>
      <c r="D979" s="19"/>
    </row>
    <row r="980">
      <c r="A980" s="11">
        <v>45915.0</v>
      </c>
      <c r="B980" s="9" t="s">
        <v>1334</v>
      </c>
      <c r="C980" s="9" t="s">
        <v>5</v>
      </c>
      <c r="D980" s="19"/>
    </row>
    <row r="981">
      <c r="A981" s="11">
        <v>45915.0</v>
      </c>
      <c r="B981" s="9" t="s">
        <v>1335</v>
      </c>
      <c r="C981" s="9" t="s">
        <v>5</v>
      </c>
      <c r="D981" s="19"/>
    </row>
    <row r="982">
      <c r="A982" s="11">
        <v>45915.0</v>
      </c>
      <c r="B982" s="9" t="s">
        <v>1336</v>
      </c>
      <c r="C982" s="9" t="s">
        <v>5</v>
      </c>
      <c r="D982" s="19"/>
    </row>
    <row r="983">
      <c r="A983" s="11">
        <v>45915.0</v>
      </c>
      <c r="B983" s="9" t="s">
        <v>1337</v>
      </c>
      <c r="C983" s="9" t="s">
        <v>5</v>
      </c>
      <c r="D983" s="19"/>
    </row>
    <row r="984">
      <c r="A984" s="11">
        <v>45916.0</v>
      </c>
      <c r="B984" s="9" t="s">
        <v>1338</v>
      </c>
      <c r="C984" s="9" t="s">
        <v>5</v>
      </c>
      <c r="D984" s="19"/>
    </row>
    <row r="985">
      <c r="A985" s="11">
        <v>45916.0</v>
      </c>
      <c r="B985" s="9" t="s">
        <v>1339</v>
      </c>
      <c r="C985" s="9" t="s">
        <v>5</v>
      </c>
      <c r="D985" s="19"/>
    </row>
    <row r="986">
      <c r="A986" s="11">
        <v>45916.0</v>
      </c>
      <c r="B986" s="13" t="s">
        <v>1340</v>
      </c>
      <c r="C986" s="9" t="s">
        <v>5</v>
      </c>
      <c r="D986" s="19"/>
    </row>
    <row r="987">
      <c r="A987" s="11">
        <v>45916.0</v>
      </c>
      <c r="B987" s="9" t="s">
        <v>1341</v>
      </c>
      <c r="C987" s="9" t="s">
        <v>5</v>
      </c>
      <c r="D987" s="19"/>
    </row>
    <row r="988">
      <c r="A988" s="11">
        <v>45916.0</v>
      </c>
      <c r="B988" s="9" t="s">
        <v>1342</v>
      </c>
      <c r="C988" s="9" t="s">
        <v>5</v>
      </c>
      <c r="D988" s="19"/>
    </row>
    <row r="989">
      <c r="A989" s="11">
        <v>45916.0</v>
      </c>
      <c r="B989" s="9" t="s">
        <v>1343</v>
      </c>
      <c r="C989" s="9" t="s">
        <v>5</v>
      </c>
      <c r="D989" s="19"/>
    </row>
    <row r="990">
      <c r="A990" s="11">
        <v>45916.0</v>
      </c>
      <c r="B990" s="9" t="s">
        <v>359</v>
      </c>
      <c r="C990" s="9" t="s">
        <v>23</v>
      </c>
      <c r="D990" s="19"/>
    </row>
    <row r="991">
      <c r="A991" s="11">
        <v>45917.0</v>
      </c>
      <c r="B991" s="9" t="s">
        <v>1344</v>
      </c>
      <c r="C991" s="9" t="s">
        <v>5</v>
      </c>
      <c r="D991" s="19"/>
    </row>
    <row r="992">
      <c r="A992" s="11">
        <v>45917.0</v>
      </c>
      <c r="B992" s="9" t="s">
        <v>1345</v>
      </c>
      <c r="C992" s="9" t="s">
        <v>5</v>
      </c>
      <c r="D992" s="19"/>
    </row>
    <row r="993">
      <c r="A993" s="11">
        <v>45917.0</v>
      </c>
      <c r="B993" s="9" t="s">
        <v>1346</v>
      </c>
      <c r="C993" s="9" t="s">
        <v>5</v>
      </c>
      <c r="D993" s="19"/>
    </row>
    <row r="994">
      <c r="A994" s="11">
        <v>45917.0</v>
      </c>
      <c r="B994" s="9" t="s">
        <v>1347</v>
      </c>
      <c r="C994" s="9" t="s">
        <v>5</v>
      </c>
      <c r="D994" s="19"/>
    </row>
    <row r="995">
      <c r="A995" s="11">
        <v>45917.0</v>
      </c>
      <c r="B995" s="9" t="s">
        <v>1348</v>
      </c>
      <c r="C995" s="9" t="s">
        <v>5</v>
      </c>
      <c r="D995" s="19"/>
    </row>
    <row r="996">
      <c r="A996" s="11">
        <v>45917.0</v>
      </c>
      <c r="B996" s="9" t="s">
        <v>1349</v>
      </c>
      <c r="C996" s="9" t="s">
        <v>5</v>
      </c>
      <c r="D996" s="19"/>
    </row>
    <row r="997">
      <c r="A997" s="11">
        <v>45918.0</v>
      </c>
      <c r="B997" s="6" t="s">
        <v>1350</v>
      </c>
      <c r="C997" s="9" t="s">
        <v>5</v>
      </c>
      <c r="D997" s="19"/>
    </row>
    <row r="998">
      <c r="A998" s="11">
        <v>45919.0</v>
      </c>
      <c r="B998" s="9" t="s">
        <v>1351</v>
      </c>
      <c r="C998" s="9" t="s">
        <v>5</v>
      </c>
      <c r="D998" s="19"/>
    </row>
    <row r="999">
      <c r="A999" s="11">
        <v>45919.0</v>
      </c>
      <c r="B999" s="9" t="s">
        <v>1352</v>
      </c>
      <c r="C999" s="9" t="s">
        <v>5</v>
      </c>
      <c r="D999" s="19"/>
    </row>
    <row r="1000">
      <c r="A1000" s="11">
        <v>45919.0</v>
      </c>
      <c r="B1000" s="9" t="s">
        <v>1353</v>
      </c>
      <c r="C1000" s="9" t="s">
        <v>5</v>
      </c>
      <c r="D1000" s="19"/>
    </row>
    <row r="1001">
      <c r="A1001" s="11">
        <v>45919.0</v>
      </c>
      <c r="B1001" s="9" t="s">
        <v>1354</v>
      </c>
      <c r="C1001" s="9" t="s">
        <v>5</v>
      </c>
      <c r="D1001" s="19"/>
    </row>
    <row r="1002">
      <c r="A1002" s="11">
        <v>45920.0</v>
      </c>
      <c r="B1002" s="9" t="s">
        <v>1355</v>
      </c>
      <c r="C1002" s="9" t="s">
        <v>5</v>
      </c>
      <c r="D1002" s="19"/>
    </row>
    <row r="1003">
      <c r="A1003" s="11">
        <v>45920.0</v>
      </c>
      <c r="B1003" s="9" t="s">
        <v>1356</v>
      </c>
      <c r="C1003" s="9" t="s">
        <v>5</v>
      </c>
      <c r="D1003" s="19"/>
    </row>
    <row r="1004">
      <c r="A1004" s="11">
        <v>45920.0</v>
      </c>
      <c r="B1004" s="9" t="s">
        <v>1357</v>
      </c>
      <c r="C1004" s="9" t="s">
        <v>5</v>
      </c>
      <c r="D1004" s="19"/>
    </row>
    <row r="1005">
      <c r="A1005" s="11">
        <v>45922.0</v>
      </c>
      <c r="B1005" s="9" t="s">
        <v>1358</v>
      </c>
      <c r="C1005" s="9" t="s">
        <v>5</v>
      </c>
      <c r="D1005" s="19"/>
    </row>
    <row r="1006">
      <c r="A1006" s="11">
        <v>45922.0</v>
      </c>
      <c r="B1006" s="9" t="s">
        <v>1359</v>
      </c>
      <c r="C1006" s="9" t="s">
        <v>5</v>
      </c>
      <c r="D1006" s="19"/>
    </row>
    <row r="1007">
      <c r="A1007" s="11">
        <v>45922.0</v>
      </c>
      <c r="B1007" s="9" t="s">
        <v>360</v>
      </c>
      <c r="C1007" s="9" t="s">
        <v>23</v>
      </c>
      <c r="D1007" s="19"/>
    </row>
    <row r="1008">
      <c r="A1008" s="11">
        <v>45923.0</v>
      </c>
      <c r="B1008" s="9" t="s">
        <v>1360</v>
      </c>
      <c r="C1008" s="9" t="s">
        <v>5</v>
      </c>
      <c r="D1008" s="19"/>
    </row>
    <row r="1009">
      <c r="A1009" s="11">
        <v>45923.0</v>
      </c>
      <c r="B1009" s="9" t="s">
        <v>362</v>
      </c>
      <c r="C1009" s="9" t="s">
        <v>23</v>
      </c>
      <c r="D1009" s="19"/>
    </row>
    <row r="1010">
      <c r="A1010" s="11">
        <v>45926.0</v>
      </c>
      <c r="B1010" s="9" t="s">
        <v>1361</v>
      </c>
      <c r="C1010" s="9" t="s">
        <v>5</v>
      </c>
      <c r="D1010" s="19"/>
    </row>
    <row r="1011">
      <c r="A1011" s="11">
        <v>45926.0</v>
      </c>
      <c r="B1011" s="9" t="s">
        <v>1362</v>
      </c>
      <c r="C1011" s="9" t="s">
        <v>5</v>
      </c>
      <c r="D1011" s="19"/>
    </row>
    <row r="1012">
      <c r="A1012" s="11">
        <v>45926.0</v>
      </c>
      <c r="B1012" s="9" t="s">
        <v>1363</v>
      </c>
      <c r="C1012" s="9" t="s">
        <v>5</v>
      </c>
      <c r="D1012" s="19"/>
    </row>
    <row r="1013">
      <c r="A1013" s="11">
        <v>45926.0</v>
      </c>
      <c r="B1013" s="9" t="s">
        <v>363</v>
      </c>
      <c r="C1013" s="9" t="s">
        <v>23</v>
      </c>
      <c r="D1013" s="19"/>
    </row>
    <row r="1014">
      <c r="A1014" s="11">
        <v>45926.0</v>
      </c>
      <c r="B1014" s="9" t="s">
        <v>1364</v>
      </c>
      <c r="C1014" s="9" t="s">
        <v>5</v>
      </c>
      <c r="D1014" s="19"/>
    </row>
    <row r="1015">
      <c r="A1015" s="11">
        <v>45929.0</v>
      </c>
      <c r="B1015" s="9" t="s">
        <v>1365</v>
      </c>
      <c r="C1015" s="9" t="s">
        <v>5</v>
      </c>
      <c r="D1015" s="19"/>
    </row>
    <row r="1016">
      <c r="A1016" s="11">
        <v>45929.0</v>
      </c>
      <c r="B1016" s="9" t="s">
        <v>1366</v>
      </c>
      <c r="C1016" s="9" t="s">
        <v>5</v>
      </c>
      <c r="D1016" s="19"/>
    </row>
    <row r="1017">
      <c r="A1017" s="11">
        <v>45929.0</v>
      </c>
      <c r="B1017" s="9" t="s">
        <v>1367</v>
      </c>
      <c r="C1017" s="9" t="s">
        <v>5</v>
      </c>
      <c r="D1017" s="19"/>
    </row>
    <row r="1018">
      <c r="A1018" s="11">
        <v>45929.0</v>
      </c>
      <c r="B1018" s="9" t="s">
        <v>1368</v>
      </c>
      <c r="C1018" s="9" t="s">
        <v>5</v>
      </c>
      <c r="D1018" s="19"/>
    </row>
    <row r="1019">
      <c r="A1019" s="11">
        <v>45930.0</v>
      </c>
      <c r="B1019" s="9" t="s">
        <v>364</v>
      </c>
      <c r="C1019" s="9" t="s">
        <v>23</v>
      </c>
      <c r="D1019" s="19"/>
    </row>
    <row r="1020">
      <c r="A1020" s="11">
        <v>45930.0</v>
      </c>
      <c r="B1020" s="13" t="s">
        <v>1369</v>
      </c>
      <c r="C1020" s="9" t="s">
        <v>5</v>
      </c>
      <c r="D1020" s="19"/>
    </row>
    <row r="1021">
      <c r="A1021" s="11">
        <v>45930.0</v>
      </c>
      <c r="B1021" s="13" t="s">
        <v>1370</v>
      </c>
      <c r="C1021" s="9" t="s">
        <v>5</v>
      </c>
      <c r="D1021" s="19"/>
    </row>
    <row r="1022">
      <c r="A1022" s="11">
        <v>45930.0</v>
      </c>
      <c r="B1022" s="9" t="s">
        <v>1371</v>
      </c>
      <c r="C1022" s="9" t="s">
        <v>5</v>
      </c>
      <c r="D1022" s="19"/>
    </row>
    <row r="1023">
      <c r="A1023" s="11">
        <v>45930.0</v>
      </c>
      <c r="B1023" s="9" t="s">
        <v>1372</v>
      </c>
      <c r="C1023" s="9" t="s">
        <v>5</v>
      </c>
      <c r="D1023" s="19"/>
    </row>
    <row r="1024">
      <c r="A1024" s="11">
        <v>45930.0</v>
      </c>
      <c r="B1024" s="9" t="s">
        <v>1373</v>
      </c>
      <c r="C1024" s="9" t="s">
        <v>5</v>
      </c>
      <c r="D1024" s="19"/>
    </row>
    <row r="1025">
      <c r="A1025" s="11">
        <v>45930.0</v>
      </c>
      <c r="B1025" s="9" t="s">
        <v>1374</v>
      </c>
      <c r="C1025" s="9" t="s">
        <v>5</v>
      </c>
      <c r="D1025" s="19"/>
    </row>
    <row r="1026">
      <c r="A1026" s="11">
        <v>45930.0</v>
      </c>
      <c r="B1026" s="9" t="s">
        <v>1375</v>
      </c>
      <c r="C1026" s="9" t="s">
        <v>5</v>
      </c>
      <c r="D1026" s="19"/>
    </row>
    <row r="1027">
      <c r="A1027" s="11">
        <v>45931.0</v>
      </c>
      <c r="B1027" s="9" t="s">
        <v>366</v>
      </c>
      <c r="C1027" s="9" t="s">
        <v>23</v>
      </c>
      <c r="D1027" s="19"/>
    </row>
    <row r="1028">
      <c r="A1028" s="11">
        <v>45931.0</v>
      </c>
      <c r="B1028" s="9" t="s">
        <v>367</v>
      </c>
      <c r="C1028" s="9" t="s">
        <v>23</v>
      </c>
      <c r="D1028" s="19"/>
    </row>
    <row r="1029">
      <c r="A1029" s="11">
        <v>45933.0</v>
      </c>
      <c r="B1029" s="9" t="s">
        <v>1376</v>
      </c>
      <c r="C1029" s="9" t="s">
        <v>5</v>
      </c>
      <c r="D1029" s="19"/>
    </row>
    <row r="1030">
      <c r="A1030" s="11">
        <v>45933.0</v>
      </c>
      <c r="B1030" s="9" t="s">
        <v>1377</v>
      </c>
      <c r="C1030" s="9" t="s">
        <v>5</v>
      </c>
      <c r="D1030" s="19"/>
    </row>
    <row r="1031">
      <c r="A1031" s="11">
        <v>45933.0</v>
      </c>
      <c r="B1031" s="9" t="s">
        <v>368</v>
      </c>
      <c r="C1031" s="9" t="s">
        <v>23</v>
      </c>
      <c r="D1031" s="19"/>
    </row>
    <row r="1032">
      <c r="A1032" s="11">
        <v>45933.0</v>
      </c>
      <c r="B1032" s="9" t="s">
        <v>1378</v>
      </c>
      <c r="C1032" s="9" t="s">
        <v>5</v>
      </c>
      <c r="D1032" s="19"/>
    </row>
    <row r="1033">
      <c r="A1033" s="11">
        <v>45933.0</v>
      </c>
      <c r="B1033" s="13" t="s">
        <v>1379</v>
      </c>
      <c r="C1033" s="9" t="s">
        <v>5</v>
      </c>
      <c r="D1033" s="19"/>
    </row>
    <row r="1034">
      <c r="A1034" s="11">
        <v>45933.0</v>
      </c>
      <c r="B1034" s="9" t="s">
        <v>1380</v>
      </c>
      <c r="C1034" s="9" t="s">
        <v>5</v>
      </c>
      <c r="D1034" s="19"/>
    </row>
    <row r="1035">
      <c r="A1035" s="11">
        <v>45933.0</v>
      </c>
      <c r="B1035" s="9" t="s">
        <v>1381</v>
      </c>
      <c r="C1035" s="9" t="s">
        <v>5</v>
      </c>
      <c r="D1035" s="19"/>
    </row>
    <row r="1036">
      <c r="A1036" s="11">
        <v>45934.0</v>
      </c>
      <c r="B1036" s="9" t="s">
        <v>1382</v>
      </c>
      <c r="C1036" s="9" t="s">
        <v>5</v>
      </c>
      <c r="D1036" s="19"/>
    </row>
    <row r="1037">
      <c r="A1037" s="11">
        <v>45934.0</v>
      </c>
      <c r="B1037" s="9" t="s">
        <v>1383</v>
      </c>
      <c r="C1037" s="9" t="s">
        <v>5</v>
      </c>
      <c r="D1037" s="19"/>
    </row>
    <row r="1038">
      <c r="A1038" s="11">
        <v>45934.0</v>
      </c>
      <c r="B1038" s="9" t="s">
        <v>1384</v>
      </c>
      <c r="C1038" s="9" t="s">
        <v>5</v>
      </c>
      <c r="D1038" s="19"/>
    </row>
    <row r="1039">
      <c r="A1039" s="11">
        <v>45934.0</v>
      </c>
      <c r="B1039" s="9" t="s">
        <v>1385</v>
      </c>
      <c r="C1039" s="9" t="s">
        <v>5</v>
      </c>
      <c r="D1039" s="19"/>
    </row>
    <row r="1040">
      <c r="A1040" s="11">
        <v>45934.0</v>
      </c>
      <c r="B1040" s="9" t="s">
        <v>1386</v>
      </c>
      <c r="C1040" s="9" t="s">
        <v>5</v>
      </c>
      <c r="D1040" s="19"/>
    </row>
    <row r="1041">
      <c r="A1041" s="11">
        <v>45934.0</v>
      </c>
      <c r="B1041" s="9" t="s">
        <v>369</v>
      </c>
      <c r="C1041" s="9" t="s">
        <v>23</v>
      </c>
      <c r="D1041" s="19"/>
    </row>
    <row r="1042">
      <c r="A1042" s="11">
        <v>45936.0</v>
      </c>
      <c r="B1042" s="6" t="s">
        <v>371</v>
      </c>
      <c r="C1042" s="9" t="s">
        <v>23</v>
      </c>
      <c r="D1042" s="19"/>
    </row>
    <row r="1043">
      <c r="A1043" s="11">
        <v>45936.0</v>
      </c>
      <c r="B1043" s="9" t="s">
        <v>1387</v>
      </c>
      <c r="C1043" s="9" t="s">
        <v>5</v>
      </c>
      <c r="D1043" s="19"/>
    </row>
    <row r="1044">
      <c r="A1044" s="11">
        <v>45936.0</v>
      </c>
      <c r="B1044" s="9" t="s">
        <v>1388</v>
      </c>
      <c r="C1044" s="9" t="s">
        <v>5</v>
      </c>
      <c r="D1044" s="19"/>
    </row>
    <row r="1045">
      <c r="A1045" s="11">
        <v>45936.0</v>
      </c>
      <c r="B1045" s="9" t="s">
        <v>373</v>
      </c>
      <c r="C1045" s="9" t="s">
        <v>23</v>
      </c>
      <c r="D1045" s="19"/>
    </row>
    <row r="1046">
      <c r="A1046" s="11">
        <v>45936.0</v>
      </c>
      <c r="B1046" s="9" t="s">
        <v>1389</v>
      </c>
      <c r="C1046" s="9" t="s">
        <v>5</v>
      </c>
      <c r="D1046" s="19"/>
    </row>
    <row r="1047">
      <c r="A1047" s="11">
        <v>45936.0</v>
      </c>
      <c r="B1047" s="9" t="s">
        <v>1390</v>
      </c>
      <c r="C1047" s="9" t="s">
        <v>5</v>
      </c>
      <c r="D1047" s="19"/>
    </row>
    <row r="1048">
      <c r="A1048" s="11">
        <v>45936.0</v>
      </c>
      <c r="B1048" s="9" t="s">
        <v>1391</v>
      </c>
      <c r="C1048" s="9" t="s">
        <v>5</v>
      </c>
      <c r="D1048" s="19"/>
    </row>
    <row r="1049">
      <c r="A1049" s="11">
        <v>45936.0</v>
      </c>
      <c r="B1049" s="9" t="s">
        <v>1392</v>
      </c>
      <c r="C1049" s="9" t="s">
        <v>5</v>
      </c>
      <c r="D1049" s="19"/>
    </row>
    <row r="1050">
      <c r="A1050" s="11">
        <v>45936.0</v>
      </c>
      <c r="B1050" s="9" t="s">
        <v>1393</v>
      </c>
      <c r="C1050" s="9" t="s">
        <v>5</v>
      </c>
      <c r="D1050" s="19"/>
    </row>
    <row r="1051">
      <c r="A1051" s="11">
        <v>45936.0</v>
      </c>
      <c r="B1051" s="9" t="s">
        <v>1394</v>
      </c>
      <c r="C1051" s="9" t="s">
        <v>5</v>
      </c>
      <c r="D1051" s="19"/>
    </row>
    <row r="1052">
      <c r="A1052" s="11">
        <v>45937.0</v>
      </c>
      <c r="B1052" s="6" t="s">
        <v>374</v>
      </c>
      <c r="C1052" s="9" t="s">
        <v>23</v>
      </c>
      <c r="D1052" s="19"/>
    </row>
    <row r="1053">
      <c r="A1053" s="11">
        <v>45937.0</v>
      </c>
      <c r="B1053" s="9" t="s">
        <v>1395</v>
      </c>
      <c r="C1053" s="9" t="s">
        <v>5</v>
      </c>
      <c r="D1053" s="19"/>
    </row>
    <row r="1054">
      <c r="A1054" s="11">
        <v>45937.0</v>
      </c>
      <c r="B1054" s="9" t="s">
        <v>1396</v>
      </c>
      <c r="C1054" s="9" t="s">
        <v>5</v>
      </c>
      <c r="D1054" s="19"/>
    </row>
    <row r="1055">
      <c r="A1055" s="11">
        <v>45937.0</v>
      </c>
      <c r="B1055" s="9" t="s">
        <v>1397</v>
      </c>
      <c r="C1055" s="9" t="s">
        <v>5</v>
      </c>
      <c r="D1055" s="19"/>
    </row>
    <row r="1056">
      <c r="A1056" s="11">
        <v>45938.0</v>
      </c>
      <c r="B1056" s="9" t="s">
        <v>1398</v>
      </c>
      <c r="C1056" s="9" t="s">
        <v>5</v>
      </c>
      <c r="D1056" s="19"/>
    </row>
    <row r="1057">
      <c r="A1057" s="11">
        <v>45939.0</v>
      </c>
      <c r="B1057" s="13" t="s">
        <v>1399</v>
      </c>
      <c r="C1057" s="9" t="s">
        <v>5</v>
      </c>
      <c r="D1057" s="19"/>
    </row>
    <row r="1058">
      <c r="A1058" s="11">
        <v>45939.0</v>
      </c>
      <c r="B1058" s="13" t="s">
        <v>1400</v>
      </c>
      <c r="C1058" s="9" t="s">
        <v>5</v>
      </c>
      <c r="D1058" s="19"/>
    </row>
    <row r="1059">
      <c r="A1059" s="11">
        <v>45939.0</v>
      </c>
      <c r="B1059" s="9" t="s">
        <v>1401</v>
      </c>
      <c r="C1059" s="9" t="s">
        <v>5</v>
      </c>
      <c r="D1059" s="19"/>
    </row>
    <row r="1060">
      <c r="A1060" s="11">
        <v>45939.0</v>
      </c>
      <c r="B1060" s="9" t="s">
        <v>1402</v>
      </c>
      <c r="C1060" s="9" t="s">
        <v>5</v>
      </c>
      <c r="D1060" s="19"/>
    </row>
    <row r="1061">
      <c r="A1061" s="11">
        <v>45940.0</v>
      </c>
      <c r="B1061" s="9" t="s">
        <v>1403</v>
      </c>
      <c r="C1061" s="9" t="s">
        <v>5</v>
      </c>
      <c r="D1061" s="19"/>
    </row>
    <row r="1062">
      <c r="A1062" s="11">
        <v>45940.0</v>
      </c>
      <c r="B1062" s="9" t="s">
        <v>1404</v>
      </c>
      <c r="C1062" s="9" t="s">
        <v>5</v>
      </c>
      <c r="D1062" s="19"/>
    </row>
    <row r="1063">
      <c r="A1063" s="11">
        <v>45940.0</v>
      </c>
      <c r="B1063" s="9" t="s">
        <v>376</v>
      </c>
      <c r="C1063" s="9" t="s">
        <v>23</v>
      </c>
      <c r="D1063" s="19"/>
    </row>
    <row r="1064">
      <c r="A1064" s="11">
        <v>45940.0</v>
      </c>
      <c r="B1064" s="9" t="s">
        <v>1405</v>
      </c>
      <c r="C1064" s="9" t="s">
        <v>5</v>
      </c>
      <c r="D1064" s="19"/>
    </row>
    <row r="1065">
      <c r="A1065" s="11">
        <v>45940.0</v>
      </c>
      <c r="B1065" s="9" t="s">
        <v>1406</v>
      </c>
      <c r="C1065" s="9" t="s">
        <v>5</v>
      </c>
      <c r="D1065" s="19"/>
    </row>
    <row r="1066">
      <c r="A1066" s="11">
        <v>45940.0</v>
      </c>
      <c r="B1066" s="9" t="s">
        <v>377</v>
      </c>
      <c r="C1066" s="9" t="s">
        <v>23</v>
      </c>
      <c r="D1066" s="19"/>
    </row>
    <row r="1067">
      <c r="A1067" s="11">
        <v>45940.0</v>
      </c>
      <c r="B1067" s="9" t="s">
        <v>1407</v>
      </c>
      <c r="C1067" s="9" t="s">
        <v>5</v>
      </c>
      <c r="D1067" s="19"/>
    </row>
    <row r="1068">
      <c r="A1068" s="11">
        <v>45940.0</v>
      </c>
      <c r="B1068" s="13" t="s">
        <v>1408</v>
      </c>
      <c r="C1068" s="9" t="s">
        <v>5</v>
      </c>
      <c r="D1068" s="19"/>
    </row>
    <row r="1069">
      <c r="A1069" s="11">
        <v>45941.0</v>
      </c>
      <c r="B1069" s="13" t="s">
        <v>1409</v>
      </c>
      <c r="C1069" s="9" t="s">
        <v>5</v>
      </c>
      <c r="D1069" s="19"/>
    </row>
    <row r="1070">
      <c r="A1070" s="11">
        <v>45943.0</v>
      </c>
      <c r="B1070" s="9" t="s">
        <v>1410</v>
      </c>
      <c r="C1070" s="9" t="s">
        <v>5</v>
      </c>
      <c r="D1070" s="19"/>
    </row>
    <row r="1071">
      <c r="A1071" s="11">
        <v>45943.0</v>
      </c>
      <c r="B1071" s="9" t="s">
        <v>378</v>
      </c>
      <c r="C1071" s="9" t="s">
        <v>23</v>
      </c>
      <c r="D1071" s="19"/>
    </row>
    <row r="1072">
      <c r="A1072" s="11">
        <v>45943.0</v>
      </c>
      <c r="B1072" s="13" t="s">
        <v>1411</v>
      </c>
      <c r="C1072" s="9" t="s">
        <v>5</v>
      </c>
      <c r="D1072" s="19"/>
    </row>
    <row r="1073">
      <c r="A1073" s="11">
        <v>45943.0</v>
      </c>
      <c r="B1073" s="13" t="s">
        <v>1412</v>
      </c>
      <c r="C1073" s="9" t="s">
        <v>5</v>
      </c>
      <c r="D1073" s="19"/>
    </row>
    <row r="1074">
      <c r="A1074" s="11">
        <v>45943.0</v>
      </c>
      <c r="B1074" s="9" t="s">
        <v>1413</v>
      </c>
      <c r="C1074" s="9" t="s">
        <v>5</v>
      </c>
      <c r="D1074" s="19"/>
    </row>
    <row r="1075">
      <c r="A1075" s="11">
        <v>45943.0</v>
      </c>
      <c r="B1075" s="9" t="s">
        <v>1414</v>
      </c>
      <c r="C1075" s="9" t="s">
        <v>5</v>
      </c>
      <c r="D1075" s="19"/>
    </row>
    <row r="1076">
      <c r="A1076" s="11">
        <v>45944.0</v>
      </c>
      <c r="B1076" s="9" t="s">
        <v>1415</v>
      </c>
      <c r="C1076" s="9" t="s">
        <v>5</v>
      </c>
      <c r="D1076" s="19"/>
    </row>
    <row r="1077">
      <c r="A1077" s="11">
        <v>45944.0</v>
      </c>
      <c r="B1077" s="9" t="s">
        <v>1416</v>
      </c>
      <c r="C1077" s="9" t="s">
        <v>5</v>
      </c>
      <c r="D1077" s="19"/>
    </row>
    <row r="1078">
      <c r="A1078" s="11">
        <v>45944.0</v>
      </c>
      <c r="B1078" s="9" t="s">
        <v>1417</v>
      </c>
      <c r="C1078" s="9" t="s">
        <v>5</v>
      </c>
      <c r="D1078" s="19"/>
    </row>
    <row r="1079">
      <c r="A1079" s="11">
        <v>45944.0</v>
      </c>
      <c r="B1079" s="9" t="s">
        <v>1418</v>
      </c>
      <c r="C1079" s="9" t="s">
        <v>5</v>
      </c>
      <c r="D1079" s="19"/>
    </row>
    <row r="1080">
      <c r="A1080" s="11">
        <v>45944.0</v>
      </c>
      <c r="B1080" s="9" t="s">
        <v>1419</v>
      </c>
      <c r="C1080" s="9" t="s">
        <v>5</v>
      </c>
      <c r="D1080" s="19"/>
    </row>
    <row r="1081">
      <c r="A1081" s="11">
        <v>45944.0</v>
      </c>
      <c r="B1081" s="9" t="s">
        <v>1420</v>
      </c>
      <c r="C1081" s="9" t="s">
        <v>5</v>
      </c>
      <c r="D1081" s="19"/>
    </row>
    <row r="1082">
      <c r="A1082" s="11">
        <v>45945.0</v>
      </c>
      <c r="B1082" s="9" t="s">
        <v>1421</v>
      </c>
      <c r="C1082" s="9" t="s">
        <v>5</v>
      </c>
      <c r="D1082" s="19"/>
    </row>
    <row r="1083">
      <c r="A1083" s="11">
        <v>45946.0</v>
      </c>
      <c r="B1083" s="9" t="s">
        <v>1422</v>
      </c>
      <c r="C1083" s="9" t="s">
        <v>5</v>
      </c>
      <c r="D1083" s="19"/>
    </row>
    <row r="1084">
      <c r="A1084" s="11">
        <v>45946.0</v>
      </c>
      <c r="B1084" s="9" t="s">
        <v>1423</v>
      </c>
      <c r="C1084" s="9" t="s">
        <v>5</v>
      </c>
      <c r="D1084" s="19"/>
    </row>
    <row r="1085">
      <c r="A1085" s="11">
        <v>45946.0</v>
      </c>
      <c r="B1085" s="9" t="s">
        <v>1424</v>
      </c>
      <c r="C1085" s="9" t="s">
        <v>5</v>
      </c>
      <c r="D1085" s="19"/>
    </row>
    <row r="1086">
      <c r="A1086" s="11">
        <v>45946.0</v>
      </c>
      <c r="B1086" s="13" t="s">
        <v>1425</v>
      </c>
      <c r="C1086" s="9" t="s">
        <v>5</v>
      </c>
      <c r="D1086" s="19"/>
    </row>
    <row r="1087">
      <c r="A1087" s="11">
        <v>45946.0</v>
      </c>
      <c r="B1087" s="6" t="s">
        <v>380</v>
      </c>
      <c r="C1087" s="9" t="s">
        <v>23</v>
      </c>
      <c r="D1087" s="19"/>
    </row>
    <row r="1088">
      <c r="A1088" s="11">
        <v>45946.0</v>
      </c>
      <c r="B1088" s="9" t="s">
        <v>1426</v>
      </c>
      <c r="C1088" s="9" t="s">
        <v>5</v>
      </c>
      <c r="D1088" s="19"/>
    </row>
    <row r="1089">
      <c r="A1089" s="11">
        <v>45946.0</v>
      </c>
      <c r="B1089" s="9" t="s">
        <v>1427</v>
      </c>
      <c r="C1089" s="9" t="s">
        <v>5</v>
      </c>
      <c r="D1089" s="19"/>
    </row>
    <row r="1090">
      <c r="A1090" s="11">
        <v>45947.0</v>
      </c>
      <c r="B1090" s="9" t="s">
        <v>1428</v>
      </c>
      <c r="C1090" s="9" t="s">
        <v>5</v>
      </c>
      <c r="D1090" s="19"/>
    </row>
    <row r="1091">
      <c r="A1091" s="11">
        <v>45947.0</v>
      </c>
      <c r="B1091" s="9" t="s">
        <v>1429</v>
      </c>
      <c r="C1091" s="9" t="s">
        <v>5</v>
      </c>
      <c r="D1091" s="19"/>
    </row>
    <row r="1092">
      <c r="A1092" s="11">
        <v>45947.0</v>
      </c>
      <c r="B1092" s="13" t="s">
        <v>382</v>
      </c>
      <c r="C1092" s="9" t="s">
        <v>23</v>
      </c>
      <c r="D1092" s="19"/>
    </row>
    <row r="1093">
      <c r="A1093" s="11">
        <v>45948.0</v>
      </c>
      <c r="B1093" s="9" t="s">
        <v>1430</v>
      </c>
      <c r="C1093" s="9" t="s">
        <v>5</v>
      </c>
      <c r="D1093" s="19"/>
    </row>
    <row r="1094">
      <c r="A1094" s="11">
        <v>45948.0</v>
      </c>
      <c r="B1094" s="9" t="s">
        <v>1431</v>
      </c>
      <c r="C1094" s="9" t="s">
        <v>5</v>
      </c>
      <c r="D1094" s="19"/>
    </row>
    <row r="1095">
      <c r="A1095" s="11">
        <v>45948.0</v>
      </c>
      <c r="B1095" s="9" t="s">
        <v>1432</v>
      </c>
      <c r="C1095" s="9" t="s">
        <v>5</v>
      </c>
      <c r="D1095" s="19"/>
    </row>
    <row r="1096">
      <c r="A1096" s="11">
        <v>45948.0</v>
      </c>
      <c r="B1096" s="9" t="s">
        <v>1433</v>
      </c>
      <c r="C1096" s="9" t="s">
        <v>5</v>
      </c>
      <c r="D1096" s="19"/>
    </row>
    <row r="1097">
      <c r="A1097" s="11">
        <v>45948.0</v>
      </c>
      <c r="B1097" s="9" t="s">
        <v>1434</v>
      </c>
      <c r="C1097" s="9" t="s">
        <v>5</v>
      </c>
      <c r="D1097" s="19"/>
    </row>
    <row r="1098">
      <c r="A1098" s="11">
        <v>45952.0</v>
      </c>
      <c r="B1098" s="9" t="s">
        <v>1435</v>
      </c>
      <c r="C1098" s="9" t="s">
        <v>5</v>
      </c>
      <c r="D1098" s="19"/>
    </row>
    <row r="1099">
      <c r="A1099" s="11">
        <v>45952.0</v>
      </c>
      <c r="B1099" s="9" t="s">
        <v>1436</v>
      </c>
      <c r="C1099" s="9" t="s">
        <v>5</v>
      </c>
      <c r="D1099" s="19"/>
    </row>
    <row r="1100">
      <c r="A1100" s="11">
        <v>45952.0</v>
      </c>
      <c r="B1100" s="9" t="s">
        <v>1437</v>
      </c>
      <c r="C1100" s="9" t="s">
        <v>5</v>
      </c>
      <c r="D1100" s="19"/>
    </row>
    <row r="1101">
      <c r="A1101" s="11">
        <v>45952.0</v>
      </c>
      <c r="B1101" s="9" t="s">
        <v>1438</v>
      </c>
      <c r="C1101" s="9" t="s">
        <v>5</v>
      </c>
      <c r="D1101" s="19"/>
    </row>
    <row r="1102">
      <c r="A1102" s="11">
        <v>45952.0</v>
      </c>
      <c r="B1102" s="6" t="s">
        <v>383</v>
      </c>
      <c r="C1102" s="9" t="s">
        <v>23</v>
      </c>
      <c r="D1102" s="19"/>
    </row>
    <row r="1103">
      <c r="A1103" s="11">
        <v>45952.0</v>
      </c>
      <c r="B1103" s="9" t="s">
        <v>385</v>
      </c>
      <c r="C1103" s="9" t="s">
        <v>23</v>
      </c>
      <c r="D1103" s="19"/>
    </row>
    <row r="1104">
      <c r="A1104" s="11">
        <v>45952.0</v>
      </c>
      <c r="B1104" s="9" t="s">
        <v>1439</v>
      </c>
      <c r="C1104" s="9" t="s">
        <v>5</v>
      </c>
      <c r="D1104" s="19"/>
    </row>
    <row r="1105">
      <c r="A1105" s="11">
        <v>45952.0</v>
      </c>
      <c r="B1105" s="9" t="s">
        <v>387</v>
      </c>
      <c r="C1105" s="9" t="s">
        <v>23</v>
      </c>
      <c r="D1105" s="19"/>
    </row>
    <row r="1106">
      <c r="A1106" s="11">
        <v>45954.0</v>
      </c>
      <c r="B1106" s="9" t="s">
        <v>1440</v>
      </c>
      <c r="C1106" s="9" t="s">
        <v>5</v>
      </c>
      <c r="D1106" s="19"/>
    </row>
    <row r="1107">
      <c r="A1107" s="11">
        <v>45954.0</v>
      </c>
      <c r="B1107" s="9" t="s">
        <v>1441</v>
      </c>
      <c r="C1107" s="9" t="s">
        <v>5</v>
      </c>
      <c r="D1107" s="19"/>
    </row>
    <row r="1108">
      <c r="A1108" s="11">
        <v>45954.0</v>
      </c>
      <c r="B1108" s="9" t="s">
        <v>1442</v>
      </c>
      <c r="C1108" s="9" t="s">
        <v>5</v>
      </c>
      <c r="D1108" s="19"/>
    </row>
    <row r="1109">
      <c r="A1109" s="11">
        <v>45954.0</v>
      </c>
      <c r="B1109" s="9" t="s">
        <v>1443</v>
      </c>
      <c r="C1109" s="9" t="s">
        <v>5</v>
      </c>
      <c r="D1109" s="19"/>
    </row>
    <row r="1110">
      <c r="A1110" s="11">
        <v>45954.0</v>
      </c>
      <c r="B1110" s="13" t="s">
        <v>1444</v>
      </c>
      <c r="C1110" s="9" t="s">
        <v>5</v>
      </c>
      <c r="D1110" s="19"/>
    </row>
    <row r="1111">
      <c r="A1111" s="11">
        <v>45954.0</v>
      </c>
      <c r="B1111" s="13" t="s">
        <v>1445</v>
      </c>
      <c r="C1111" s="9" t="s">
        <v>5</v>
      </c>
      <c r="D1111" s="19"/>
    </row>
    <row r="1112">
      <c r="A1112" s="11">
        <v>45955.0</v>
      </c>
      <c r="B1112" s="13" t="s">
        <v>1446</v>
      </c>
      <c r="C1112" s="9" t="s">
        <v>5</v>
      </c>
      <c r="D1112" s="19"/>
    </row>
    <row r="1113">
      <c r="A1113" s="11">
        <v>45955.0</v>
      </c>
      <c r="B1113" s="9" t="s">
        <v>1447</v>
      </c>
      <c r="C1113" s="9" t="s">
        <v>5</v>
      </c>
      <c r="D1113" s="19"/>
    </row>
    <row r="1114">
      <c r="A1114" s="11">
        <v>45955.0</v>
      </c>
      <c r="B1114" s="9" t="s">
        <v>1448</v>
      </c>
      <c r="C1114" s="9" t="s">
        <v>5</v>
      </c>
      <c r="D1114" s="19"/>
    </row>
    <row r="1115">
      <c r="A1115" s="11">
        <v>45955.0</v>
      </c>
      <c r="B1115" s="6" t="s">
        <v>389</v>
      </c>
      <c r="C1115" s="9" t="s">
        <v>23</v>
      </c>
      <c r="D1115" s="19"/>
    </row>
    <row r="1116">
      <c r="A1116" s="11">
        <v>45957.0</v>
      </c>
      <c r="B1116" s="6" t="s">
        <v>1449</v>
      </c>
      <c r="C1116" s="9" t="s">
        <v>5</v>
      </c>
      <c r="D1116" s="19"/>
    </row>
    <row r="1117">
      <c r="A1117" s="11">
        <v>45957.0</v>
      </c>
      <c r="B1117" s="9" t="s">
        <v>1450</v>
      </c>
      <c r="C1117" s="9" t="s">
        <v>5</v>
      </c>
      <c r="D1117" s="19"/>
    </row>
    <row r="1118">
      <c r="A1118" s="11">
        <v>45957.0</v>
      </c>
      <c r="B1118" s="9" t="s">
        <v>1451</v>
      </c>
      <c r="C1118" s="9" t="s">
        <v>5</v>
      </c>
      <c r="D1118" s="19"/>
    </row>
    <row r="1119">
      <c r="A1119" s="11">
        <v>45957.0</v>
      </c>
      <c r="B1119" s="9" t="s">
        <v>1452</v>
      </c>
      <c r="C1119" s="9" t="s">
        <v>5</v>
      </c>
      <c r="D1119" s="19"/>
    </row>
    <row r="1120">
      <c r="A1120" s="11">
        <v>45957.0</v>
      </c>
      <c r="B1120" s="9" t="s">
        <v>1453</v>
      </c>
      <c r="C1120" s="9" t="s">
        <v>5</v>
      </c>
      <c r="D1120" s="19"/>
    </row>
    <row r="1121">
      <c r="A1121" s="11">
        <v>45957.0</v>
      </c>
      <c r="B1121" s="9" t="s">
        <v>1454</v>
      </c>
      <c r="C1121" s="9" t="s">
        <v>5</v>
      </c>
      <c r="D1121" s="19"/>
    </row>
    <row r="1122">
      <c r="A1122" s="11">
        <v>45957.0</v>
      </c>
      <c r="B1122" s="9" t="s">
        <v>1455</v>
      </c>
      <c r="C1122" s="9" t="s">
        <v>5</v>
      </c>
      <c r="D1122" s="19"/>
    </row>
    <row r="1123">
      <c r="A1123" s="11">
        <v>45957.0</v>
      </c>
      <c r="B1123" s="9" t="s">
        <v>391</v>
      </c>
      <c r="C1123" s="9" t="s">
        <v>23</v>
      </c>
      <c r="D1123" s="19"/>
    </row>
    <row r="1124">
      <c r="A1124" s="11">
        <v>45957.0</v>
      </c>
      <c r="B1124" s="9" t="s">
        <v>393</v>
      </c>
      <c r="C1124" s="9" t="s">
        <v>23</v>
      </c>
      <c r="D1124" s="19"/>
    </row>
    <row r="1125">
      <c r="A1125" s="11">
        <v>45957.0</v>
      </c>
      <c r="B1125" s="9" t="s">
        <v>1456</v>
      </c>
      <c r="C1125" s="9" t="s">
        <v>5</v>
      </c>
      <c r="D1125" s="19"/>
    </row>
    <row r="1126">
      <c r="A1126" s="11">
        <v>45958.0</v>
      </c>
      <c r="B1126" s="9" t="s">
        <v>1457</v>
      </c>
      <c r="C1126" s="9" t="s">
        <v>5</v>
      </c>
      <c r="D1126" s="19"/>
    </row>
    <row r="1127">
      <c r="A1127" s="11">
        <v>45959.0</v>
      </c>
      <c r="B1127" s="9" t="s">
        <v>1458</v>
      </c>
      <c r="C1127" s="9" t="s">
        <v>5</v>
      </c>
      <c r="D1127" s="19"/>
    </row>
    <row r="1128">
      <c r="A1128" s="11">
        <v>45960.0</v>
      </c>
      <c r="B1128" s="13" t="s">
        <v>394</v>
      </c>
      <c r="C1128" s="9" t="s">
        <v>23</v>
      </c>
      <c r="D1128" s="19"/>
    </row>
    <row r="1129">
      <c r="A1129" s="11">
        <v>45960.0</v>
      </c>
      <c r="B1129" s="9" t="s">
        <v>1459</v>
      </c>
      <c r="C1129" s="9" t="s">
        <v>5</v>
      </c>
      <c r="D1129" s="19"/>
    </row>
    <row r="1130">
      <c r="A1130" s="11">
        <v>45960.0</v>
      </c>
      <c r="B1130" s="9" t="s">
        <v>1460</v>
      </c>
      <c r="C1130" s="9" t="s">
        <v>5</v>
      </c>
      <c r="D1130" s="19"/>
    </row>
    <row r="1131">
      <c r="A1131" s="11">
        <v>45960.0</v>
      </c>
      <c r="B1131" s="9" t="s">
        <v>1461</v>
      </c>
      <c r="C1131" s="9" t="s">
        <v>5</v>
      </c>
      <c r="D1131" s="19"/>
    </row>
    <row r="1132">
      <c r="A1132" s="11">
        <v>45960.0</v>
      </c>
      <c r="B1132" s="9" t="s">
        <v>1462</v>
      </c>
      <c r="C1132" s="9" t="s">
        <v>5</v>
      </c>
      <c r="D1132" s="19"/>
    </row>
    <row r="1133">
      <c r="A1133" s="11">
        <v>45961.0</v>
      </c>
      <c r="B1133" s="9" t="s">
        <v>1463</v>
      </c>
      <c r="C1133" s="9" t="s">
        <v>5</v>
      </c>
      <c r="D1133" s="19"/>
    </row>
    <row r="1134">
      <c r="A1134" s="11">
        <v>45961.0</v>
      </c>
      <c r="B1134" s="9" t="s">
        <v>1464</v>
      </c>
      <c r="C1134" s="9" t="s">
        <v>5</v>
      </c>
      <c r="D1134" s="19"/>
    </row>
    <row r="1135">
      <c r="A1135" s="11">
        <v>45961.0</v>
      </c>
      <c r="B1135" s="13" t="s">
        <v>1465</v>
      </c>
      <c r="C1135" s="9" t="s">
        <v>5</v>
      </c>
      <c r="D1135" s="19"/>
    </row>
    <row r="1136">
      <c r="A1136" s="11">
        <v>45962.0</v>
      </c>
      <c r="B1136" s="9" t="s">
        <v>395</v>
      </c>
      <c r="C1136" s="9" t="s">
        <v>23</v>
      </c>
      <c r="D1136" s="19"/>
    </row>
    <row r="1137">
      <c r="A1137" s="11">
        <v>45962.0</v>
      </c>
      <c r="B1137" s="9" t="s">
        <v>396</v>
      </c>
      <c r="C1137" s="9" t="s">
        <v>23</v>
      </c>
      <c r="D1137" s="19"/>
    </row>
    <row r="1138">
      <c r="A1138" s="11">
        <v>45962.0</v>
      </c>
      <c r="B1138" s="9" t="s">
        <v>1466</v>
      </c>
      <c r="C1138" s="9" t="s">
        <v>5</v>
      </c>
      <c r="D1138" s="19"/>
    </row>
    <row r="1139">
      <c r="A1139" s="11">
        <v>45962.0</v>
      </c>
      <c r="B1139" s="9" t="s">
        <v>1467</v>
      </c>
      <c r="C1139" s="9" t="s">
        <v>5</v>
      </c>
      <c r="D1139" s="19"/>
    </row>
    <row r="1140">
      <c r="A1140" s="11">
        <v>45964.0</v>
      </c>
      <c r="B1140" s="9" t="s">
        <v>398</v>
      </c>
      <c r="C1140" s="9" t="s">
        <v>23</v>
      </c>
      <c r="D1140" s="19"/>
    </row>
    <row r="1141">
      <c r="A1141" s="11">
        <v>45964.0</v>
      </c>
      <c r="B1141" s="9" t="s">
        <v>1468</v>
      </c>
      <c r="C1141" s="9" t="s">
        <v>5</v>
      </c>
      <c r="D1141" s="19"/>
    </row>
    <row r="1142">
      <c r="A1142" s="11">
        <v>45964.0</v>
      </c>
      <c r="B1142" s="9" t="s">
        <v>399</v>
      </c>
      <c r="C1142" s="9" t="s">
        <v>23</v>
      </c>
      <c r="D1142" s="19"/>
    </row>
    <row r="1143">
      <c r="A1143" s="11">
        <v>45964.0</v>
      </c>
      <c r="B1143" s="9" t="s">
        <v>1469</v>
      </c>
      <c r="C1143" s="9" t="s">
        <v>5</v>
      </c>
      <c r="D1143" s="19"/>
    </row>
    <row r="1144">
      <c r="A1144" s="11">
        <v>45964.0</v>
      </c>
      <c r="B1144" s="9" t="s">
        <v>400</v>
      </c>
      <c r="C1144" s="9" t="s">
        <v>23</v>
      </c>
      <c r="D1144" s="19"/>
    </row>
    <row r="1145">
      <c r="A1145" s="11">
        <v>45964.0</v>
      </c>
      <c r="B1145" s="9" t="s">
        <v>1470</v>
      </c>
      <c r="C1145" s="9" t="s">
        <v>5</v>
      </c>
      <c r="D1145" s="19"/>
    </row>
    <row r="1146">
      <c r="A1146" s="11">
        <v>45964.0</v>
      </c>
      <c r="B1146" s="9" t="s">
        <v>1471</v>
      </c>
      <c r="C1146" s="9" t="s">
        <v>5</v>
      </c>
      <c r="D1146" s="19"/>
    </row>
    <row r="1147">
      <c r="A1147" s="11">
        <v>45965.0</v>
      </c>
      <c r="B1147" s="9" t="s">
        <v>1472</v>
      </c>
      <c r="C1147" s="9" t="s">
        <v>5</v>
      </c>
      <c r="D1147" s="19"/>
    </row>
    <row r="1148">
      <c r="A1148" s="11">
        <v>45965.0</v>
      </c>
      <c r="B1148" s="9" t="s">
        <v>1473</v>
      </c>
      <c r="C1148" s="9" t="s">
        <v>5</v>
      </c>
      <c r="D1148" s="19"/>
    </row>
    <row r="1149">
      <c r="A1149" s="11">
        <v>45965.0</v>
      </c>
      <c r="B1149" s="9" t="s">
        <v>1474</v>
      </c>
      <c r="C1149" s="9" t="s">
        <v>5</v>
      </c>
      <c r="D1149" s="19"/>
    </row>
    <row r="1150">
      <c r="A1150" s="11">
        <v>45965.0</v>
      </c>
      <c r="B1150" s="9" t="s">
        <v>1475</v>
      </c>
      <c r="C1150" s="9" t="s">
        <v>5</v>
      </c>
      <c r="D1150" s="19"/>
    </row>
    <row r="1151">
      <c r="A1151" s="11">
        <v>45965.0</v>
      </c>
      <c r="B1151" s="9" t="s">
        <v>1476</v>
      </c>
      <c r="C1151" s="9" t="s">
        <v>5</v>
      </c>
      <c r="D1151" s="19"/>
    </row>
    <row r="1152">
      <c r="A1152" s="11">
        <v>45965.0</v>
      </c>
      <c r="B1152" s="9" t="s">
        <v>1477</v>
      </c>
      <c r="C1152" s="9" t="s">
        <v>5</v>
      </c>
      <c r="D1152" s="19"/>
    </row>
    <row r="1153">
      <c r="A1153" s="11">
        <v>45965.0</v>
      </c>
      <c r="B1153" s="9" t="s">
        <v>1478</v>
      </c>
      <c r="C1153" s="9" t="s">
        <v>5</v>
      </c>
      <c r="D1153" s="19"/>
    </row>
    <row r="1154">
      <c r="A1154" s="11">
        <v>45965.0</v>
      </c>
      <c r="B1154" s="9" t="s">
        <v>1479</v>
      </c>
      <c r="C1154" s="9" t="s">
        <v>5</v>
      </c>
      <c r="D1154" s="19"/>
    </row>
    <row r="1155">
      <c r="A1155" s="11">
        <v>45965.0</v>
      </c>
      <c r="B1155" s="9" t="s">
        <v>1480</v>
      </c>
      <c r="C1155" s="9" t="s">
        <v>5</v>
      </c>
      <c r="D1155" s="19"/>
    </row>
    <row r="1156">
      <c r="A1156" s="11">
        <v>45965.0</v>
      </c>
      <c r="B1156" s="9" t="s">
        <v>1481</v>
      </c>
      <c r="C1156" s="9" t="s">
        <v>5</v>
      </c>
      <c r="D1156" s="19"/>
    </row>
    <row r="1157">
      <c r="A1157" s="11">
        <v>45966.0</v>
      </c>
      <c r="B1157" s="9" t="s">
        <v>401</v>
      </c>
      <c r="C1157" s="9" t="s">
        <v>23</v>
      </c>
      <c r="D1157" s="19"/>
    </row>
    <row r="1158">
      <c r="A1158" s="11">
        <v>45966.0</v>
      </c>
      <c r="B1158" s="9" t="s">
        <v>403</v>
      </c>
      <c r="C1158" s="9" t="s">
        <v>23</v>
      </c>
      <c r="D1158" s="19"/>
    </row>
    <row r="1159">
      <c r="A1159" s="11">
        <v>45966.0</v>
      </c>
      <c r="B1159" s="9" t="s">
        <v>1482</v>
      </c>
      <c r="C1159" s="9" t="s">
        <v>5</v>
      </c>
      <c r="D1159" s="19"/>
    </row>
    <row r="1160">
      <c r="A1160" s="11">
        <v>45967.0</v>
      </c>
      <c r="B1160" s="9" t="s">
        <v>1483</v>
      </c>
      <c r="C1160" s="9" t="s">
        <v>5</v>
      </c>
      <c r="D1160" s="19"/>
    </row>
    <row r="1161">
      <c r="A1161" s="11">
        <v>45967.0</v>
      </c>
      <c r="B1161" s="9" t="s">
        <v>1484</v>
      </c>
      <c r="C1161" s="9" t="s">
        <v>5</v>
      </c>
      <c r="D1161" s="19"/>
    </row>
    <row r="1162">
      <c r="A1162" s="11">
        <v>45967.0</v>
      </c>
      <c r="B1162" s="9" t="s">
        <v>1485</v>
      </c>
      <c r="C1162" s="9" t="s">
        <v>5</v>
      </c>
      <c r="D1162" s="19"/>
    </row>
    <row r="1163">
      <c r="A1163" s="11">
        <v>45967.0</v>
      </c>
      <c r="B1163" s="13" t="s">
        <v>1486</v>
      </c>
      <c r="C1163" s="9" t="s">
        <v>5</v>
      </c>
      <c r="D1163" s="19"/>
    </row>
    <row r="1164">
      <c r="A1164" s="11">
        <v>45967.0</v>
      </c>
      <c r="B1164" s="9" t="s">
        <v>1487</v>
      </c>
      <c r="C1164" s="9" t="s">
        <v>5</v>
      </c>
      <c r="D1164" s="19"/>
    </row>
    <row r="1165">
      <c r="A1165" s="11">
        <v>45968.0</v>
      </c>
      <c r="B1165" s="9" t="s">
        <v>1488</v>
      </c>
      <c r="C1165" s="9" t="s">
        <v>5</v>
      </c>
      <c r="D1165" s="19"/>
    </row>
    <row r="1166">
      <c r="A1166" s="11">
        <v>45968.0</v>
      </c>
      <c r="B1166" s="9" t="s">
        <v>405</v>
      </c>
      <c r="C1166" s="9" t="s">
        <v>23</v>
      </c>
      <c r="D1166" s="19"/>
    </row>
    <row r="1167">
      <c r="A1167" s="11">
        <v>45968.0</v>
      </c>
      <c r="B1167" s="9" t="s">
        <v>1489</v>
      </c>
      <c r="C1167" s="9" t="s">
        <v>5</v>
      </c>
      <c r="D1167" s="19"/>
    </row>
    <row r="1168">
      <c r="A1168" s="11">
        <v>45968.0</v>
      </c>
      <c r="B1168" s="9" t="s">
        <v>1490</v>
      </c>
      <c r="C1168" s="9" t="s">
        <v>5</v>
      </c>
      <c r="D1168" s="19"/>
    </row>
    <row r="1169">
      <c r="A1169" s="11">
        <v>45968.0</v>
      </c>
      <c r="B1169" s="9" t="s">
        <v>1491</v>
      </c>
      <c r="C1169" s="9" t="s">
        <v>5</v>
      </c>
      <c r="D1169" s="19"/>
    </row>
    <row r="1170">
      <c r="A1170" s="11">
        <v>45968.0</v>
      </c>
      <c r="B1170" s="9" t="s">
        <v>1492</v>
      </c>
      <c r="C1170" s="9" t="s">
        <v>5</v>
      </c>
      <c r="D1170" s="19"/>
    </row>
    <row r="1171">
      <c r="A1171" s="11">
        <v>45969.0</v>
      </c>
      <c r="B1171" s="9" t="s">
        <v>407</v>
      </c>
      <c r="C1171" s="9" t="s">
        <v>23</v>
      </c>
      <c r="D1171" s="19"/>
    </row>
    <row r="1172">
      <c r="A1172" s="11">
        <v>45969.0</v>
      </c>
      <c r="B1172" s="13" t="s">
        <v>1493</v>
      </c>
      <c r="C1172" s="9" t="s">
        <v>5</v>
      </c>
      <c r="D1172" s="19"/>
    </row>
    <row r="1173">
      <c r="A1173" s="11">
        <v>45971.0</v>
      </c>
      <c r="B1173" s="9" t="s">
        <v>409</v>
      </c>
      <c r="C1173" s="9" t="s">
        <v>23</v>
      </c>
      <c r="D1173" s="19"/>
    </row>
    <row r="1174">
      <c r="A1174" s="11">
        <v>45971.0</v>
      </c>
      <c r="B1174" s="9" t="s">
        <v>411</v>
      </c>
      <c r="C1174" s="9" t="s">
        <v>23</v>
      </c>
      <c r="D1174" s="19"/>
    </row>
    <row r="1175">
      <c r="A1175" s="11">
        <v>45971.0</v>
      </c>
      <c r="B1175" s="9" t="s">
        <v>1494</v>
      </c>
      <c r="C1175" s="9" t="s">
        <v>5</v>
      </c>
      <c r="D1175" s="19"/>
    </row>
    <row r="1176">
      <c r="A1176" s="11">
        <v>45972.0</v>
      </c>
      <c r="B1176" s="9" t="s">
        <v>1495</v>
      </c>
      <c r="C1176" s="9" t="s">
        <v>5</v>
      </c>
      <c r="D1176" s="19"/>
    </row>
    <row r="1177">
      <c r="A1177" s="11">
        <v>45972.0</v>
      </c>
      <c r="B1177" s="9" t="s">
        <v>413</v>
      </c>
      <c r="C1177" s="9" t="s">
        <v>23</v>
      </c>
      <c r="D1177" s="19"/>
    </row>
    <row r="1178">
      <c r="A1178" s="11">
        <v>45972.0</v>
      </c>
      <c r="B1178" s="9" t="s">
        <v>1496</v>
      </c>
      <c r="C1178" s="9" t="s">
        <v>5</v>
      </c>
      <c r="D1178" s="19"/>
    </row>
    <row r="1179">
      <c r="A1179" s="11">
        <v>45972.0</v>
      </c>
      <c r="B1179" s="9" t="s">
        <v>1497</v>
      </c>
      <c r="C1179" s="9" t="s">
        <v>5</v>
      </c>
      <c r="D1179" s="19"/>
    </row>
    <row r="1180">
      <c r="A1180" s="11">
        <v>45973.0</v>
      </c>
      <c r="B1180" s="9" t="s">
        <v>1498</v>
      </c>
      <c r="C1180" s="9" t="s">
        <v>5</v>
      </c>
      <c r="D1180" s="19"/>
    </row>
    <row r="1181">
      <c r="A1181" s="11">
        <v>45974.0</v>
      </c>
      <c r="B1181" s="13" t="s">
        <v>1499</v>
      </c>
      <c r="C1181" s="9" t="s">
        <v>5</v>
      </c>
      <c r="D1181" s="19"/>
    </row>
    <row r="1182">
      <c r="A1182" s="11">
        <v>45975.0</v>
      </c>
      <c r="B1182" s="9" t="s">
        <v>1500</v>
      </c>
      <c r="C1182" s="9" t="s">
        <v>5</v>
      </c>
      <c r="D1182" s="19"/>
    </row>
    <row r="1183">
      <c r="A1183" s="11">
        <v>45975.0</v>
      </c>
      <c r="B1183" s="9" t="s">
        <v>1501</v>
      </c>
      <c r="C1183" s="9" t="s">
        <v>5</v>
      </c>
      <c r="D1183" s="19"/>
    </row>
    <row r="1184">
      <c r="A1184" s="11">
        <v>45975.0</v>
      </c>
      <c r="B1184" s="9" t="s">
        <v>1502</v>
      </c>
      <c r="C1184" s="9" t="s">
        <v>5</v>
      </c>
      <c r="D1184" s="19"/>
    </row>
    <row r="1185">
      <c r="A1185" s="11">
        <v>45975.0</v>
      </c>
      <c r="B1185" s="9" t="s">
        <v>1503</v>
      </c>
      <c r="C1185" s="9" t="s">
        <v>5</v>
      </c>
      <c r="D1185" s="19"/>
    </row>
    <row r="1186">
      <c r="A1186" s="11">
        <v>45975.0</v>
      </c>
      <c r="B1186" s="9" t="s">
        <v>1504</v>
      </c>
      <c r="C1186" s="9" t="s">
        <v>5</v>
      </c>
      <c r="D1186" s="19"/>
    </row>
    <row r="1187">
      <c r="A1187" s="11">
        <v>45976.0</v>
      </c>
      <c r="B1187" s="9" t="s">
        <v>1505</v>
      </c>
      <c r="C1187" s="9" t="s">
        <v>5</v>
      </c>
      <c r="D1187" s="19"/>
    </row>
    <row r="1188">
      <c r="A1188" s="11">
        <v>45978.0</v>
      </c>
      <c r="B1188" s="9" t="s">
        <v>1506</v>
      </c>
      <c r="C1188" s="9" t="s">
        <v>5</v>
      </c>
      <c r="D1188" s="19"/>
    </row>
    <row r="1189">
      <c r="A1189" s="11">
        <v>45978.0</v>
      </c>
      <c r="B1189" s="9" t="s">
        <v>1507</v>
      </c>
      <c r="C1189" s="9" t="s">
        <v>5</v>
      </c>
      <c r="D1189" s="19"/>
    </row>
    <row r="1190">
      <c r="A1190" s="11">
        <v>45978.0</v>
      </c>
      <c r="B1190" s="9" t="s">
        <v>415</v>
      </c>
      <c r="C1190" s="9" t="s">
        <v>23</v>
      </c>
      <c r="D1190" s="19"/>
    </row>
    <row r="1191">
      <c r="A1191" s="11">
        <v>45978.0</v>
      </c>
      <c r="B1191" s="9" t="s">
        <v>1508</v>
      </c>
      <c r="C1191" s="9" t="s">
        <v>5</v>
      </c>
      <c r="D1191" s="19"/>
    </row>
    <row r="1192">
      <c r="A1192" s="11">
        <v>45978.0</v>
      </c>
      <c r="B1192" s="9" t="s">
        <v>416</v>
      </c>
      <c r="C1192" s="9" t="s">
        <v>23</v>
      </c>
      <c r="D1192" s="19"/>
    </row>
    <row r="1193">
      <c r="A1193" s="11">
        <v>45979.0</v>
      </c>
      <c r="B1193" s="9" t="s">
        <v>418</v>
      </c>
      <c r="C1193" s="9" t="s">
        <v>23</v>
      </c>
      <c r="D1193" s="19"/>
    </row>
    <row r="1194">
      <c r="A1194" s="11">
        <v>45979.0</v>
      </c>
      <c r="B1194" s="9" t="s">
        <v>1509</v>
      </c>
      <c r="C1194" s="9" t="s">
        <v>5</v>
      </c>
      <c r="D1194" s="19"/>
    </row>
    <row r="1195">
      <c r="A1195" s="11">
        <v>45980.0</v>
      </c>
      <c r="B1195" s="9" t="s">
        <v>1510</v>
      </c>
      <c r="C1195" s="9" t="s">
        <v>5</v>
      </c>
      <c r="D1195" s="19"/>
    </row>
    <row r="1196">
      <c r="A1196" s="11">
        <v>45980.0</v>
      </c>
      <c r="B1196" s="9" t="s">
        <v>1511</v>
      </c>
      <c r="C1196" s="9" t="s">
        <v>5</v>
      </c>
      <c r="D1196" s="19"/>
    </row>
    <row r="1197">
      <c r="A1197" s="11">
        <v>45980.0</v>
      </c>
      <c r="B1197" s="9" t="s">
        <v>1512</v>
      </c>
      <c r="C1197" s="9" t="s">
        <v>5</v>
      </c>
      <c r="D1197" s="19"/>
    </row>
    <row r="1198">
      <c r="A1198" s="11">
        <v>45981.0</v>
      </c>
      <c r="B1198" s="9" t="s">
        <v>1513</v>
      </c>
      <c r="C1198" s="9" t="s">
        <v>5</v>
      </c>
      <c r="D1198" s="19"/>
    </row>
    <row r="1199">
      <c r="A1199" s="11">
        <v>45981.0</v>
      </c>
      <c r="B1199" s="9" t="s">
        <v>1514</v>
      </c>
      <c r="C1199" s="9" t="s">
        <v>5</v>
      </c>
      <c r="D1199" s="19"/>
    </row>
    <row r="1200">
      <c r="A1200" s="11">
        <v>45982.0</v>
      </c>
      <c r="B1200" s="9" t="s">
        <v>1515</v>
      </c>
      <c r="C1200" s="9" t="s">
        <v>5</v>
      </c>
      <c r="D1200" s="19"/>
    </row>
    <row r="1201">
      <c r="A1201" s="11">
        <v>45982.0</v>
      </c>
      <c r="B1201" s="9" t="s">
        <v>1516</v>
      </c>
      <c r="C1201" s="9" t="s">
        <v>5</v>
      </c>
      <c r="D1201" s="19"/>
    </row>
    <row r="1202">
      <c r="A1202" s="11">
        <v>45982.0</v>
      </c>
      <c r="B1202" s="9" t="s">
        <v>1517</v>
      </c>
      <c r="C1202" s="9" t="s">
        <v>5</v>
      </c>
      <c r="D1202" s="19"/>
    </row>
    <row r="1203">
      <c r="A1203" s="11">
        <v>45982.0</v>
      </c>
      <c r="B1203" s="9" t="s">
        <v>1518</v>
      </c>
      <c r="C1203" s="9" t="s">
        <v>5</v>
      </c>
      <c r="D1203" s="19"/>
    </row>
    <row r="1204">
      <c r="A1204" s="11">
        <v>45983.0</v>
      </c>
      <c r="B1204" s="9" t="s">
        <v>1519</v>
      </c>
      <c r="C1204" s="9" t="s">
        <v>5</v>
      </c>
      <c r="D1204" s="19"/>
    </row>
    <row r="1205">
      <c r="A1205" s="11">
        <v>45983.0</v>
      </c>
      <c r="B1205" s="9" t="s">
        <v>1520</v>
      </c>
      <c r="C1205" s="9" t="s">
        <v>5</v>
      </c>
      <c r="D1205" s="19"/>
    </row>
    <row r="1206">
      <c r="A1206" s="11">
        <v>45985.0</v>
      </c>
      <c r="B1206" s="9" t="s">
        <v>1521</v>
      </c>
      <c r="C1206" s="9" t="s">
        <v>5</v>
      </c>
      <c r="D1206" s="19"/>
    </row>
    <row r="1207">
      <c r="A1207" s="11">
        <v>45985.0</v>
      </c>
      <c r="B1207" s="9" t="s">
        <v>1522</v>
      </c>
      <c r="C1207" s="9" t="s">
        <v>5</v>
      </c>
      <c r="D1207" s="19"/>
    </row>
    <row r="1208">
      <c r="A1208" s="11">
        <v>45985.0</v>
      </c>
      <c r="B1208" s="9" t="s">
        <v>1523</v>
      </c>
      <c r="C1208" s="9" t="s">
        <v>5</v>
      </c>
      <c r="D1208" s="19"/>
    </row>
    <row r="1209">
      <c r="A1209" s="11">
        <v>45985.0</v>
      </c>
      <c r="B1209" s="9" t="s">
        <v>1524</v>
      </c>
      <c r="D1209" s="19"/>
    </row>
    <row r="1210">
      <c r="A1210" s="11">
        <v>45985.0</v>
      </c>
      <c r="B1210" s="9" t="s">
        <v>1525</v>
      </c>
      <c r="C1210" s="9" t="s">
        <v>5</v>
      </c>
      <c r="D1210" s="19"/>
    </row>
    <row r="1211">
      <c r="A1211" s="11">
        <v>45985.0</v>
      </c>
      <c r="B1211" s="9" t="s">
        <v>1526</v>
      </c>
      <c r="C1211" s="9" t="s">
        <v>5</v>
      </c>
      <c r="D1211" s="19"/>
    </row>
    <row r="1212">
      <c r="A1212" s="11">
        <v>45985.0</v>
      </c>
      <c r="B1212" s="9" t="s">
        <v>1527</v>
      </c>
      <c r="C1212" s="9" t="s">
        <v>5</v>
      </c>
      <c r="D1212" s="19"/>
    </row>
    <row r="1213">
      <c r="A1213" s="11">
        <v>45985.0</v>
      </c>
      <c r="B1213" s="9" t="s">
        <v>1528</v>
      </c>
      <c r="C1213" s="9" t="s">
        <v>5</v>
      </c>
      <c r="D1213" s="19"/>
    </row>
    <row r="1214">
      <c r="A1214" s="11">
        <v>45986.0</v>
      </c>
      <c r="B1214" s="13" t="s">
        <v>1529</v>
      </c>
      <c r="C1214" s="9" t="s">
        <v>5</v>
      </c>
      <c r="D1214" s="19"/>
    </row>
    <row r="1215">
      <c r="A1215" s="11">
        <v>45986.0</v>
      </c>
      <c r="B1215" s="9" t="s">
        <v>1530</v>
      </c>
      <c r="C1215" s="9" t="s">
        <v>5</v>
      </c>
      <c r="D1215" s="19"/>
    </row>
    <row r="1216">
      <c r="A1216" s="11">
        <v>45987.0</v>
      </c>
      <c r="B1216" s="9" t="s">
        <v>1531</v>
      </c>
      <c r="C1216" s="9" t="s">
        <v>5</v>
      </c>
      <c r="D1216" s="19"/>
    </row>
    <row r="1217">
      <c r="A1217" s="11">
        <v>45987.0</v>
      </c>
      <c r="B1217" s="9" t="s">
        <v>1532</v>
      </c>
      <c r="C1217" s="9" t="s">
        <v>5</v>
      </c>
      <c r="D1217" s="19"/>
    </row>
    <row r="1218">
      <c r="A1218" s="11">
        <v>45987.0</v>
      </c>
      <c r="B1218" s="13" t="s">
        <v>1533</v>
      </c>
      <c r="C1218" s="9" t="s">
        <v>5</v>
      </c>
      <c r="D1218" s="19"/>
    </row>
    <row r="1219">
      <c r="A1219" s="11">
        <v>45987.0</v>
      </c>
      <c r="B1219" s="9" t="s">
        <v>1534</v>
      </c>
      <c r="C1219" s="9" t="s">
        <v>5</v>
      </c>
      <c r="D1219" s="19"/>
    </row>
    <row r="1220">
      <c r="A1220" s="11">
        <v>45987.0</v>
      </c>
      <c r="B1220" s="9" t="s">
        <v>1535</v>
      </c>
      <c r="C1220" s="9" t="s">
        <v>5</v>
      </c>
      <c r="D1220" s="19"/>
    </row>
    <row r="1221">
      <c r="A1221" s="11">
        <v>45988.0</v>
      </c>
      <c r="B1221" s="9" t="s">
        <v>1536</v>
      </c>
      <c r="C1221" s="9" t="s">
        <v>5</v>
      </c>
      <c r="D1221" s="19"/>
    </row>
    <row r="1222">
      <c r="A1222" s="11">
        <v>45988.0</v>
      </c>
      <c r="B1222" s="9" t="s">
        <v>1537</v>
      </c>
      <c r="C1222" s="9" t="s">
        <v>5</v>
      </c>
      <c r="D1222" s="19"/>
    </row>
    <row r="1223">
      <c r="A1223" s="11">
        <v>45988.0</v>
      </c>
      <c r="B1223" s="9" t="s">
        <v>1538</v>
      </c>
      <c r="C1223" s="9" t="s">
        <v>5</v>
      </c>
      <c r="D1223" s="19"/>
    </row>
    <row r="1224">
      <c r="A1224" s="11">
        <v>45989.0</v>
      </c>
      <c r="B1224" s="9" t="s">
        <v>1539</v>
      </c>
      <c r="C1224" s="9" t="s">
        <v>5</v>
      </c>
      <c r="D1224" s="19"/>
    </row>
    <row r="1225">
      <c r="A1225" s="11">
        <v>45989.0</v>
      </c>
      <c r="B1225" s="9" t="s">
        <v>1540</v>
      </c>
      <c r="C1225" s="9" t="s">
        <v>5</v>
      </c>
      <c r="D1225" s="19"/>
    </row>
    <row r="1226">
      <c r="A1226" s="11">
        <v>45989.0</v>
      </c>
      <c r="B1226" s="9" t="s">
        <v>1541</v>
      </c>
      <c r="C1226" s="9" t="s">
        <v>5</v>
      </c>
      <c r="D1226" s="19"/>
    </row>
    <row r="1227">
      <c r="A1227" s="11">
        <v>45989.0</v>
      </c>
      <c r="B1227" s="9" t="s">
        <v>1542</v>
      </c>
      <c r="C1227" s="9" t="s">
        <v>5</v>
      </c>
      <c r="D1227" s="19"/>
    </row>
    <row r="1228">
      <c r="A1228" s="11">
        <v>45990.0</v>
      </c>
      <c r="B1228" s="13" t="s">
        <v>1543</v>
      </c>
      <c r="C1228" s="9" t="s">
        <v>5</v>
      </c>
      <c r="D1228" s="19"/>
    </row>
    <row r="1229">
      <c r="A1229" s="11">
        <v>45992.0</v>
      </c>
      <c r="B1229" s="9" t="s">
        <v>1544</v>
      </c>
      <c r="C1229" s="9" t="s">
        <v>5</v>
      </c>
      <c r="D1229" s="19"/>
    </row>
    <row r="1230">
      <c r="A1230" s="11">
        <v>45992.0</v>
      </c>
      <c r="B1230" s="9" t="s">
        <v>1545</v>
      </c>
      <c r="C1230" s="9" t="s">
        <v>5</v>
      </c>
      <c r="D1230" s="19"/>
    </row>
    <row r="1231">
      <c r="A1231" s="11">
        <v>45992.0</v>
      </c>
      <c r="B1231" s="9" t="s">
        <v>1546</v>
      </c>
      <c r="C1231" s="9" t="s">
        <v>5</v>
      </c>
      <c r="D1231" s="19"/>
    </row>
    <row r="1232">
      <c r="A1232" s="11">
        <v>45992.0</v>
      </c>
      <c r="B1232" s="9" t="s">
        <v>1547</v>
      </c>
      <c r="C1232" s="9" t="s">
        <v>5</v>
      </c>
      <c r="D1232" s="19"/>
    </row>
    <row r="1233">
      <c r="A1233" s="11">
        <v>45992.0</v>
      </c>
      <c r="B1233" s="9" t="s">
        <v>1548</v>
      </c>
      <c r="C1233" s="9" t="s">
        <v>5</v>
      </c>
      <c r="D1233" s="19"/>
    </row>
    <row r="1234">
      <c r="A1234" s="11">
        <v>45992.0</v>
      </c>
      <c r="B1234" s="9" t="s">
        <v>1549</v>
      </c>
      <c r="C1234" s="9" t="s">
        <v>5</v>
      </c>
      <c r="D1234" s="19"/>
    </row>
    <row r="1235">
      <c r="A1235" s="11">
        <v>45992.0</v>
      </c>
      <c r="B1235" s="9" t="s">
        <v>1550</v>
      </c>
      <c r="C1235" s="9" t="s">
        <v>5</v>
      </c>
      <c r="D1235" s="19"/>
    </row>
    <row r="1236">
      <c r="A1236" s="11">
        <v>45993.0</v>
      </c>
      <c r="B1236" s="9" t="s">
        <v>1551</v>
      </c>
      <c r="C1236" s="9" t="s">
        <v>5</v>
      </c>
      <c r="D1236" s="19"/>
    </row>
    <row r="1237">
      <c r="A1237" s="11">
        <v>45993.0</v>
      </c>
      <c r="B1237" s="9" t="s">
        <v>1552</v>
      </c>
      <c r="C1237" s="9" t="s">
        <v>5</v>
      </c>
      <c r="D1237" s="19"/>
    </row>
    <row r="1238">
      <c r="A1238" s="11">
        <v>45993.0</v>
      </c>
      <c r="B1238" s="9" t="s">
        <v>1553</v>
      </c>
      <c r="C1238" s="9" t="s">
        <v>5</v>
      </c>
      <c r="D1238" s="19"/>
    </row>
    <row r="1239">
      <c r="A1239" s="11">
        <v>45993.0</v>
      </c>
      <c r="B1239" s="9" t="s">
        <v>1554</v>
      </c>
      <c r="C1239" s="9" t="s">
        <v>5</v>
      </c>
      <c r="D1239" s="19"/>
    </row>
    <row r="1240">
      <c r="A1240" s="11">
        <v>45995.0</v>
      </c>
      <c r="B1240" s="9" t="s">
        <v>1555</v>
      </c>
      <c r="C1240" s="9" t="s">
        <v>5</v>
      </c>
      <c r="D1240" s="19"/>
    </row>
    <row r="1241">
      <c r="A1241" s="11">
        <v>45995.0</v>
      </c>
      <c r="B1241" s="9" t="s">
        <v>1556</v>
      </c>
      <c r="C1241" s="9" t="s">
        <v>5</v>
      </c>
      <c r="D1241" s="19"/>
    </row>
    <row r="1242">
      <c r="A1242" s="11">
        <v>45995.0</v>
      </c>
      <c r="B1242" s="9" t="s">
        <v>1557</v>
      </c>
      <c r="C1242" s="9" t="s">
        <v>5</v>
      </c>
      <c r="D1242" s="19"/>
    </row>
    <row r="1243">
      <c r="A1243" s="11">
        <v>45999.0</v>
      </c>
      <c r="B1243" s="9" t="s">
        <v>1558</v>
      </c>
      <c r="C1243" s="9" t="s">
        <v>5</v>
      </c>
      <c r="D1243" s="19"/>
    </row>
    <row r="1244">
      <c r="A1244" s="11">
        <v>45999.0</v>
      </c>
      <c r="B1244" s="9" t="s">
        <v>1559</v>
      </c>
      <c r="C1244" s="9" t="s">
        <v>5</v>
      </c>
      <c r="D1244" s="19"/>
    </row>
    <row r="1245">
      <c r="A1245" s="11">
        <v>45999.0</v>
      </c>
      <c r="B1245" s="9" t="s">
        <v>1560</v>
      </c>
      <c r="C1245" s="9" t="s">
        <v>5</v>
      </c>
      <c r="D1245" s="19"/>
    </row>
    <row r="1246">
      <c r="A1246" s="11">
        <v>45999.0</v>
      </c>
      <c r="B1246" s="9" t="s">
        <v>1561</v>
      </c>
      <c r="C1246" s="9" t="s">
        <v>5</v>
      </c>
      <c r="D1246" s="19"/>
    </row>
    <row r="1247">
      <c r="A1247" s="11">
        <v>46000.0</v>
      </c>
      <c r="B1247" s="9" t="s">
        <v>1562</v>
      </c>
      <c r="C1247" s="9" t="s">
        <v>5</v>
      </c>
      <c r="D1247" s="19"/>
    </row>
    <row r="1248">
      <c r="A1248" s="11">
        <v>46001.0</v>
      </c>
      <c r="B1248" s="9" t="s">
        <v>1563</v>
      </c>
      <c r="C1248" s="9" t="s">
        <v>5</v>
      </c>
      <c r="D1248" s="19"/>
    </row>
    <row r="1249">
      <c r="A1249" s="11">
        <v>46001.0</v>
      </c>
      <c r="B1249" s="6" t="s">
        <v>1564</v>
      </c>
      <c r="C1249" s="9" t="s">
        <v>5</v>
      </c>
      <c r="D1249" s="19"/>
    </row>
    <row r="1250">
      <c r="A1250" s="11">
        <v>46002.0</v>
      </c>
      <c r="B1250" s="9" t="s">
        <v>420</v>
      </c>
      <c r="C1250" s="9" t="s">
        <v>23</v>
      </c>
      <c r="D1250" s="19"/>
    </row>
    <row r="1251">
      <c r="A1251" s="11">
        <v>46002.0</v>
      </c>
      <c r="B1251" s="9" t="s">
        <v>1565</v>
      </c>
      <c r="C1251" s="9" t="s">
        <v>5</v>
      </c>
      <c r="D1251" s="19"/>
    </row>
    <row r="1252">
      <c r="A1252" s="11">
        <v>46002.0</v>
      </c>
      <c r="B1252" s="9" t="s">
        <v>1566</v>
      </c>
      <c r="C1252" s="9" t="s">
        <v>5</v>
      </c>
      <c r="D1252" s="19"/>
    </row>
    <row r="1253">
      <c r="A1253" s="11">
        <v>46002.0</v>
      </c>
      <c r="B1253" s="9" t="s">
        <v>1567</v>
      </c>
      <c r="C1253" s="9" t="s">
        <v>5</v>
      </c>
      <c r="D1253" s="19"/>
    </row>
    <row r="1254">
      <c r="A1254" s="11">
        <v>46002.0</v>
      </c>
      <c r="B1254" s="9" t="s">
        <v>1568</v>
      </c>
      <c r="C1254" s="9" t="s">
        <v>5</v>
      </c>
      <c r="D1254" s="19"/>
    </row>
    <row r="1255">
      <c r="A1255" s="11">
        <v>46003.0</v>
      </c>
      <c r="B1255" s="9" t="s">
        <v>1569</v>
      </c>
      <c r="C1255" s="9" t="s">
        <v>5</v>
      </c>
      <c r="D1255" s="19"/>
    </row>
    <row r="1256">
      <c r="A1256" s="11">
        <v>46003.0</v>
      </c>
      <c r="B1256" s="6" t="s">
        <v>1570</v>
      </c>
      <c r="C1256" s="9" t="s">
        <v>5</v>
      </c>
      <c r="D1256" s="19"/>
    </row>
    <row r="1257">
      <c r="A1257" s="11">
        <v>46003.0</v>
      </c>
      <c r="B1257" s="9" t="s">
        <v>1571</v>
      </c>
      <c r="C1257" s="9" t="s">
        <v>5</v>
      </c>
      <c r="D1257" s="19"/>
    </row>
    <row r="1258">
      <c r="A1258" s="11">
        <v>46003.0</v>
      </c>
      <c r="B1258" s="13" t="s">
        <v>1572</v>
      </c>
      <c r="C1258" s="9" t="s">
        <v>5</v>
      </c>
      <c r="D1258" s="19"/>
    </row>
    <row r="1259">
      <c r="A1259" s="11">
        <v>46003.0</v>
      </c>
      <c r="B1259" s="9" t="s">
        <v>421</v>
      </c>
      <c r="C1259" s="9" t="s">
        <v>23</v>
      </c>
      <c r="D1259" s="19"/>
    </row>
    <row r="1260">
      <c r="A1260" s="11">
        <v>46004.0</v>
      </c>
      <c r="B1260" s="9" t="s">
        <v>1573</v>
      </c>
      <c r="C1260" s="9" t="s">
        <v>5</v>
      </c>
      <c r="D1260" s="19"/>
    </row>
    <row r="1261">
      <c r="A1261" s="11">
        <v>46004.0</v>
      </c>
      <c r="B1261" s="9" t="s">
        <v>1574</v>
      </c>
      <c r="C1261" s="9" t="s">
        <v>5</v>
      </c>
      <c r="D1261" s="19"/>
    </row>
    <row r="1262">
      <c r="A1262" s="11">
        <v>46006.0</v>
      </c>
      <c r="B1262" s="9" t="s">
        <v>1575</v>
      </c>
      <c r="C1262" s="9" t="s">
        <v>5</v>
      </c>
      <c r="D1262" s="19"/>
    </row>
    <row r="1263">
      <c r="A1263" s="11">
        <v>46006.0</v>
      </c>
      <c r="B1263" s="9" t="s">
        <v>1576</v>
      </c>
      <c r="C1263" s="9" t="s">
        <v>5</v>
      </c>
      <c r="D1263" s="19"/>
    </row>
    <row r="1264">
      <c r="A1264" s="11">
        <v>46006.0</v>
      </c>
      <c r="B1264" s="9" t="s">
        <v>1577</v>
      </c>
      <c r="C1264" s="9" t="s">
        <v>5</v>
      </c>
      <c r="D1264" s="19"/>
    </row>
    <row r="1265">
      <c r="A1265" s="11">
        <v>46006.0</v>
      </c>
      <c r="B1265" s="9" t="s">
        <v>1578</v>
      </c>
      <c r="C1265" s="9" t="s">
        <v>5</v>
      </c>
      <c r="D1265" s="19"/>
    </row>
    <row r="1266">
      <c r="A1266" s="11">
        <v>46006.0</v>
      </c>
      <c r="B1266" s="9" t="s">
        <v>1579</v>
      </c>
      <c r="C1266" s="9" t="s">
        <v>5</v>
      </c>
      <c r="D1266" s="19"/>
    </row>
    <row r="1267">
      <c r="A1267" s="11">
        <v>46007.0</v>
      </c>
      <c r="B1267" s="9" t="s">
        <v>1580</v>
      </c>
      <c r="C1267" s="9" t="s">
        <v>5</v>
      </c>
      <c r="D1267" s="19"/>
    </row>
    <row r="1268">
      <c r="A1268" s="11">
        <v>46007.0</v>
      </c>
      <c r="B1268" s="9" t="s">
        <v>1581</v>
      </c>
      <c r="C1268" s="9" t="s">
        <v>5</v>
      </c>
      <c r="D1268" s="19"/>
    </row>
    <row r="1269">
      <c r="A1269" s="11">
        <v>46008.0</v>
      </c>
      <c r="B1269" s="9" t="s">
        <v>1582</v>
      </c>
      <c r="C1269" s="9" t="s">
        <v>5</v>
      </c>
      <c r="D1269" s="19"/>
    </row>
    <row r="1270">
      <c r="A1270" s="11">
        <v>46008.0</v>
      </c>
      <c r="B1270" s="9" t="s">
        <v>1583</v>
      </c>
      <c r="C1270" s="9" t="s">
        <v>5</v>
      </c>
      <c r="D1270" s="19"/>
    </row>
    <row r="1271">
      <c r="A1271" s="11">
        <v>46009.0</v>
      </c>
      <c r="B1271" s="9" t="s">
        <v>422</v>
      </c>
      <c r="C1271" s="9" t="s">
        <v>23</v>
      </c>
      <c r="D1271" s="19"/>
    </row>
    <row r="1272">
      <c r="A1272" s="11">
        <v>46009.0</v>
      </c>
      <c r="B1272" s="9" t="s">
        <v>1584</v>
      </c>
      <c r="C1272" s="9" t="s">
        <v>5</v>
      </c>
      <c r="D1272" s="19"/>
    </row>
    <row r="1273">
      <c r="A1273" s="11">
        <v>46009.0</v>
      </c>
      <c r="B1273" s="9" t="s">
        <v>424</v>
      </c>
      <c r="C1273" s="9" t="s">
        <v>23</v>
      </c>
      <c r="D1273" s="19"/>
    </row>
    <row r="1274">
      <c r="A1274" s="11">
        <v>46009.0</v>
      </c>
      <c r="B1274" s="6" t="s">
        <v>426</v>
      </c>
      <c r="C1274" s="9" t="s">
        <v>23</v>
      </c>
      <c r="D1274" s="19"/>
    </row>
    <row r="1275">
      <c r="A1275" s="11">
        <v>46009.0</v>
      </c>
      <c r="B1275" s="9" t="s">
        <v>428</v>
      </c>
      <c r="C1275" s="9" t="s">
        <v>23</v>
      </c>
      <c r="D1275" s="19"/>
    </row>
    <row r="1276">
      <c r="A1276" s="11">
        <v>46009.0</v>
      </c>
      <c r="B1276" s="9" t="s">
        <v>429</v>
      </c>
      <c r="C1276" s="9" t="s">
        <v>23</v>
      </c>
      <c r="D1276" s="19"/>
    </row>
    <row r="1277">
      <c r="A1277" s="11">
        <v>46010.0</v>
      </c>
      <c r="B1277" s="9" t="s">
        <v>1585</v>
      </c>
      <c r="C1277" s="9" t="s">
        <v>5</v>
      </c>
      <c r="D1277" s="19"/>
    </row>
    <row r="1278">
      <c r="A1278" s="11">
        <v>46010.0</v>
      </c>
      <c r="B1278" s="9" t="s">
        <v>1586</v>
      </c>
      <c r="C1278" s="9" t="s">
        <v>5</v>
      </c>
      <c r="D1278" s="19"/>
    </row>
    <row r="1279">
      <c r="A1279" s="11">
        <v>46010.0</v>
      </c>
      <c r="B1279" s="13" t="s">
        <v>1587</v>
      </c>
      <c r="C1279" s="9" t="s">
        <v>5</v>
      </c>
      <c r="D1279" s="19"/>
    </row>
    <row r="1280">
      <c r="A1280" s="11">
        <v>46013.0</v>
      </c>
      <c r="B1280" s="9" t="s">
        <v>1588</v>
      </c>
      <c r="C1280" s="9" t="s">
        <v>5</v>
      </c>
      <c r="D1280" s="19"/>
    </row>
    <row r="1281">
      <c r="A1281" s="11">
        <v>46013.0</v>
      </c>
      <c r="B1281" s="9" t="s">
        <v>1589</v>
      </c>
      <c r="C1281" s="9" t="s">
        <v>5</v>
      </c>
      <c r="D1281" s="19"/>
    </row>
    <row r="1282">
      <c r="A1282" s="11">
        <v>46013.0</v>
      </c>
      <c r="B1282" s="9" t="s">
        <v>1590</v>
      </c>
      <c r="C1282" s="9" t="s">
        <v>5</v>
      </c>
      <c r="D1282" s="19"/>
    </row>
    <row r="1283">
      <c r="A1283" s="11">
        <v>46013.0</v>
      </c>
      <c r="B1283" s="9" t="s">
        <v>1591</v>
      </c>
      <c r="C1283" s="9" t="s">
        <v>5</v>
      </c>
      <c r="D1283" s="19"/>
    </row>
    <row r="1284">
      <c r="A1284" s="11">
        <v>46013.0</v>
      </c>
      <c r="B1284" s="9" t="s">
        <v>1592</v>
      </c>
      <c r="C1284" s="9" t="s">
        <v>5</v>
      </c>
      <c r="D1284" s="19"/>
    </row>
    <row r="1285">
      <c r="A1285" s="11">
        <v>46013.0</v>
      </c>
      <c r="B1285" s="9" t="s">
        <v>1593</v>
      </c>
      <c r="C1285" s="9" t="s">
        <v>5</v>
      </c>
      <c r="D1285" s="19"/>
    </row>
    <row r="1286">
      <c r="A1286" s="11">
        <v>46014.0</v>
      </c>
      <c r="B1286" s="9" t="s">
        <v>1594</v>
      </c>
      <c r="C1286" s="9" t="s">
        <v>5</v>
      </c>
      <c r="D1286" s="19"/>
    </row>
    <row r="1287">
      <c r="A1287" s="11">
        <v>46014.0</v>
      </c>
      <c r="B1287" s="9" t="s">
        <v>1595</v>
      </c>
      <c r="C1287" s="9" t="s">
        <v>5</v>
      </c>
      <c r="D1287" s="19"/>
    </row>
    <row r="1288">
      <c r="A1288" s="11">
        <v>46014.0</v>
      </c>
      <c r="B1288" s="9" t="s">
        <v>1596</v>
      </c>
      <c r="C1288" s="9" t="s">
        <v>5</v>
      </c>
      <c r="D1288" s="19"/>
    </row>
    <row r="1289">
      <c r="A1289" s="11">
        <v>46015.0</v>
      </c>
      <c r="B1289" s="9" t="s">
        <v>431</v>
      </c>
      <c r="C1289" s="9" t="s">
        <v>23</v>
      </c>
      <c r="D1289" s="19"/>
    </row>
    <row r="1290">
      <c r="A1290" s="11">
        <v>46015.0</v>
      </c>
      <c r="B1290" s="9" t="s">
        <v>1597</v>
      </c>
      <c r="C1290" s="9" t="s">
        <v>5</v>
      </c>
      <c r="D1290" s="19"/>
    </row>
    <row r="1291">
      <c r="A1291" s="11">
        <v>46017.0</v>
      </c>
      <c r="B1291" s="9" t="s">
        <v>1598</v>
      </c>
      <c r="C1291" s="9" t="s">
        <v>5</v>
      </c>
      <c r="D1291" s="19"/>
    </row>
    <row r="1292">
      <c r="A1292" s="11">
        <v>46017.0</v>
      </c>
      <c r="B1292" s="9" t="s">
        <v>1599</v>
      </c>
      <c r="C1292" s="9" t="s">
        <v>5</v>
      </c>
      <c r="D1292" s="19"/>
    </row>
    <row r="1293">
      <c r="A1293" s="11">
        <v>46017.0</v>
      </c>
      <c r="B1293" s="6" t="s">
        <v>1600</v>
      </c>
      <c r="C1293" s="9" t="s">
        <v>5</v>
      </c>
      <c r="D1293" s="19"/>
    </row>
    <row r="1294">
      <c r="A1294" s="11">
        <v>46017.0</v>
      </c>
      <c r="B1294" s="13" t="s">
        <v>1601</v>
      </c>
      <c r="C1294" s="9" t="s">
        <v>5</v>
      </c>
      <c r="D1294" s="19"/>
    </row>
    <row r="1295">
      <c r="A1295" s="11">
        <v>46017.0</v>
      </c>
      <c r="B1295" s="9" t="s">
        <v>1602</v>
      </c>
      <c r="C1295" s="9" t="s">
        <v>5</v>
      </c>
      <c r="D1295" s="19"/>
    </row>
    <row r="1296">
      <c r="A1296" s="11">
        <v>46017.0</v>
      </c>
      <c r="B1296" s="9" t="s">
        <v>1603</v>
      </c>
      <c r="C1296" s="9" t="s">
        <v>5</v>
      </c>
      <c r="D1296" s="19"/>
    </row>
    <row r="1297">
      <c r="A1297" s="11">
        <v>46017.0</v>
      </c>
      <c r="B1297" s="9" t="s">
        <v>433</v>
      </c>
      <c r="C1297" s="9" t="s">
        <v>23</v>
      </c>
      <c r="D1297" s="19"/>
    </row>
    <row r="1298">
      <c r="A1298" s="11">
        <v>46017.0</v>
      </c>
      <c r="B1298" s="9" t="s">
        <v>435</v>
      </c>
      <c r="C1298" s="9" t="s">
        <v>23</v>
      </c>
      <c r="D1298" s="19"/>
    </row>
    <row r="1299">
      <c r="A1299" s="11">
        <v>46017.0</v>
      </c>
      <c r="B1299" s="9" t="s">
        <v>1604</v>
      </c>
      <c r="C1299" s="9" t="s">
        <v>5</v>
      </c>
      <c r="D1299" s="19"/>
    </row>
    <row r="1300">
      <c r="A1300" s="11">
        <v>46017.0</v>
      </c>
      <c r="B1300" s="9" t="s">
        <v>1605</v>
      </c>
      <c r="C1300" s="9" t="s">
        <v>1606</v>
      </c>
      <c r="D1300" s="19"/>
    </row>
    <row r="1301">
      <c r="A1301" s="11">
        <v>46018.0</v>
      </c>
      <c r="B1301" s="13" t="s">
        <v>1607</v>
      </c>
      <c r="C1301" s="9" t="s">
        <v>1608</v>
      </c>
      <c r="D1301" s="19"/>
    </row>
    <row r="1302">
      <c r="A1302" s="11">
        <v>46018.0</v>
      </c>
      <c r="B1302" s="9" t="s">
        <v>1609</v>
      </c>
      <c r="C1302" s="9" t="s">
        <v>5</v>
      </c>
      <c r="D1302" s="19"/>
    </row>
    <row r="1303">
      <c r="A1303" s="11">
        <v>46018.0</v>
      </c>
      <c r="B1303" s="9" t="s">
        <v>1610</v>
      </c>
      <c r="C1303" s="9" t="s">
        <v>5</v>
      </c>
      <c r="D1303" s="19"/>
    </row>
    <row r="1304">
      <c r="A1304" s="11">
        <v>46018.0</v>
      </c>
      <c r="B1304" s="9" t="s">
        <v>1611</v>
      </c>
      <c r="C1304" s="9" t="s">
        <v>5</v>
      </c>
      <c r="D1304" s="19"/>
    </row>
    <row r="1305">
      <c r="A1305" s="11">
        <v>46018.0</v>
      </c>
      <c r="B1305" s="9" t="s">
        <v>1612</v>
      </c>
      <c r="C1305" s="9" t="s">
        <v>5</v>
      </c>
      <c r="D1305" s="19"/>
    </row>
    <row r="1306">
      <c r="A1306" s="11">
        <v>46020.0</v>
      </c>
      <c r="B1306" s="9" t="s">
        <v>1613</v>
      </c>
      <c r="C1306" s="9" t="s">
        <v>5</v>
      </c>
      <c r="D1306" s="19"/>
    </row>
    <row r="1307">
      <c r="A1307" s="11">
        <v>46020.0</v>
      </c>
      <c r="B1307" s="9" t="s">
        <v>1614</v>
      </c>
      <c r="C1307" s="9" t="s">
        <v>5</v>
      </c>
      <c r="D1307" s="19"/>
    </row>
    <row r="1308">
      <c r="A1308" s="11">
        <v>46020.0</v>
      </c>
      <c r="B1308" s="9" t="s">
        <v>1615</v>
      </c>
      <c r="C1308" s="9" t="s">
        <v>5</v>
      </c>
      <c r="D1308" s="19"/>
    </row>
    <row r="1309">
      <c r="A1309" s="11">
        <v>46020.0</v>
      </c>
      <c r="B1309" s="9" t="s">
        <v>1616</v>
      </c>
      <c r="C1309" s="9" t="s">
        <v>5</v>
      </c>
      <c r="D1309" s="19"/>
    </row>
    <row r="1310">
      <c r="A1310" s="11">
        <v>46020.0</v>
      </c>
      <c r="B1310" s="9" t="s">
        <v>1617</v>
      </c>
      <c r="C1310" s="9" t="s">
        <v>5</v>
      </c>
      <c r="D1310" s="19"/>
    </row>
    <row r="1311">
      <c r="A1311" s="11">
        <v>46020.0</v>
      </c>
      <c r="B1311" s="9" t="s">
        <v>1618</v>
      </c>
      <c r="C1311" s="9" t="s">
        <v>5</v>
      </c>
      <c r="D1311" s="19"/>
    </row>
    <row r="1312">
      <c r="A1312" s="11">
        <v>46021.0</v>
      </c>
      <c r="B1312" s="9" t="s">
        <v>1619</v>
      </c>
      <c r="C1312" s="9" t="s">
        <v>5</v>
      </c>
      <c r="D1312" s="19"/>
    </row>
    <row r="1313">
      <c r="A1313" s="11">
        <v>46021.0</v>
      </c>
      <c r="B1313" s="9" t="s">
        <v>1620</v>
      </c>
      <c r="C1313" s="9" t="s">
        <v>5</v>
      </c>
      <c r="D1313" s="19"/>
    </row>
    <row r="1314">
      <c r="D1314" s="19"/>
    </row>
    <row r="1315">
      <c r="D1315" s="19"/>
    </row>
    <row r="1316">
      <c r="D1316" s="19"/>
    </row>
    <row r="1317">
      <c r="A1317" s="40" t="s">
        <v>1621</v>
      </c>
    </row>
    <row r="1318">
      <c r="D1318" s="19"/>
    </row>
    <row r="1319">
      <c r="D1319" s="19"/>
    </row>
    <row r="1320">
      <c r="D1320" s="19"/>
    </row>
    <row r="1321">
      <c r="B1321" s="9"/>
      <c r="D1321" s="19"/>
    </row>
    <row r="1322">
      <c r="D1322" s="19"/>
    </row>
    <row r="1323">
      <c r="D1323" s="19"/>
    </row>
    <row r="1324">
      <c r="D1324" s="19"/>
    </row>
    <row r="1325">
      <c r="D1325" s="19"/>
    </row>
    <row r="1326">
      <c r="D1326" s="19"/>
    </row>
    <row r="1327">
      <c r="D1327" s="19"/>
    </row>
    <row r="1328">
      <c r="D1328" s="19"/>
    </row>
    <row r="1329">
      <c r="D1329" s="19"/>
    </row>
    <row r="1330">
      <c r="D1330" s="19"/>
    </row>
    <row r="1331">
      <c r="D1331" s="19"/>
    </row>
    <row r="1332">
      <c r="D1332" s="19"/>
    </row>
    <row r="1333">
      <c r="D1333" s="19"/>
    </row>
    <row r="1334">
      <c r="D1334" s="19"/>
    </row>
    <row r="1335">
      <c r="D1335" s="19"/>
    </row>
    <row r="1336">
      <c r="D1336" s="19"/>
    </row>
    <row r="1337">
      <c r="D1337" s="19"/>
    </row>
    <row r="1338">
      <c r="D1338" s="19"/>
    </row>
    <row r="1339">
      <c r="D1339" s="19"/>
    </row>
    <row r="1340">
      <c r="D1340" s="19"/>
    </row>
    <row r="1341">
      <c r="D1341" s="19"/>
    </row>
    <row r="1342">
      <c r="D1342" s="19"/>
    </row>
    <row r="1343">
      <c r="D1343" s="19"/>
    </row>
    <row r="1344">
      <c r="D1344" s="19"/>
    </row>
    <row r="1345">
      <c r="D1345" s="19"/>
    </row>
    <row r="1346">
      <c r="D1346" s="19"/>
    </row>
    <row r="1347">
      <c r="D1347" s="19"/>
    </row>
    <row r="1348">
      <c r="D1348" s="19"/>
    </row>
    <row r="1349">
      <c r="D1349" s="19"/>
    </row>
    <row r="1350">
      <c r="D1350" s="19"/>
    </row>
    <row r="1351">
      <c r="D1351" s="19"/>
    </row>
    <row r="1352">
      <c r="D1352" s="19"/>
    </row>
    <row r="1353">
      <c r="D1353" s="19"/>
    </row>
    <row r="1354">
      <c r="D1354" s="19"/>
    </row>
    <row r="1355">
      <c r="D1355" s="19"/>
    </row>
    <row r="1356">
      <c r="D1356" s="19"/>
    </row>
    <row r="1357">
      <c r="D1357" s="19"/>
    </row>
    <row r="1358">
      <c r="D1358" s="19"/>
    </row>
    <row r="1359">
      <c r="D1359" s="19"/>
    </row>
    <row r="1360">
      <c r="D1360" s="19"/>
    </row>
    <row r="1361">
      <c r="D1361" s="19"/>
    </row>
    <row r="1362">
      <c r="D1362" s="19"/>
    </row>
    <row r="1363">
      <c r="D1363" s="19"/>
    </row>
    <row r="1364">
      <c r="D1364" s="19"/>
    </row>
    <row r="1365">
      <c r="D1365" s="19"/>
    </row>
    <row r="1366">
      <c r="D1366" s="19"/>
    </row>
    <row r="1367">
      <c r="D1367" s="19"/>
    </row>
    <row r="1368">
      <c r="D1368" s="19"/>
    </row>
    <row r="1369">
      <c r="D1369" s="19"/>
    </row>
    <row r="1370">
      <c r="D1370" s="19"/>
    </row>
    <row r="1371">
      <c r="D1371" s="19"/>
    </row>
    <row r="1372">
      <c r="D1372" s="19"/>
    </row>
    <row r="1373">
      <c r="D1373" s="19"/>
    </row>
    <row r="1374">
      <c r="D1374" s="19"/>
    </row>
    <row r="1375">
      <c r="D1375" s="19"/>
    </row>
    <row r="1376">
      <c r="D1376" s="19"/>
    </row>
    <row r="1377">
      <c r="D1377" s="19"/>
    </row>
    <row r="1378">
      <c r="D1378" s="19"/>
    </row>
    <row r="1379">
      <c r="D1379" s="19"/>
    </row>
    <row r="1380">
      <c r="D1380" s="19"/>
    </row>
    <row r="1381">
      <c r="D1381" s="19"/>
    </row>
    <row r="1382">
      <c r="D1382" s="19"/>
    </row>
    <row r="1383">
      <c r="D1383" s="19"/>
    </row>
    <row r="1384">
      <c r="D1384" s="19"/>
    </row>
    <row r="1385">
      <c r="D1385" s="19"/>
    </row>
    <row r="1386">
      <c r="D1386" s="19"/>
    </row>
    <row r="1387">
      <c r="D1387" s="19"/>
    </row>
    <row r="1388">
      <c r="D1388" s="19"/>
    </row>
    <row r="1389">
      <c r="D1389" s="19"/>
    </row>
    <row r="1390">
      <c r="D1390" s="19"/>
    </row>
    <row r="1391">
      <c r="D1391" s="19"/>
    </row>
    <row r="1392">
      <c r="D1392" s="19"/>
    </row>
    <row r="1393">
      <c r="D1393" s="19"/>
    </row>
    <row r="1394">
      <c r="D1394" s="19"/>
    </row>
    <row r="1395">
      <c r="D1395" s="19"/>
    </row>
    <row r="1396">
      <c r="D1396" s="19"/>
    </row>
    <row r="1397">
      <c r="D1397" s="19"/>
    </row>
    <row r="1398">
      <c r="D1398" s="19"/>
    </row>
    <row r="1399">
      <c r="D1399" s="19"/>
    </row>
    <row r="1400">
      <c r="D1400" s="19"/>
    </row>
    <row r="1401">
      <c r="D1401" s="19"/>
    </row>
    <row r="1402">
      <c r="D1402" s="19"/>
    </row>
    <row r="1403">
      <c r="D1403" s="19"/>
    </row>
    <row r="1404">
      <c r="D1404" s="19"/>
    </row>
    <row r="1405">
      <c r="D1405" s="19"/>
    </row>
    <row r="1406">
      <c r="D1406" s="19"/>
    </row>
    <row r="1407">
      <c r="D1407" s="19"/>
    </row>
    <row r="1408">
      <c r="D1408" s="19"/>
    </row>
    <row r="1409">
      <c r="D1409" s="19"/>
    </row>
    <row r="1410">
      <c r="D1410" s="19"/>
    </row>
    <row r="1411">
      <c r="D1411" s="19"/>
    </row>
    <row r="1412">
      <c r="D1412" s="19"/>
    </row>
    <row r="1413">
      <c r="D1413" s="19"/>
    </row>
    <row r="1414">
      <c r="D1414" s="19"/>
    </row>
    <row r="1415">
      <c r="D1415" s="19"/>
    </row>
    <row r="1416">
      <c r="D1416" s="19"/>
    </row>
    <row r="1417">
      <c r="D1417" s="19"/>
    </row>
    <row r="1418">
      <c r="D1418" s="19"/>
    </row>
    <row r="1419">
      <c r="D1419" s="19"/>
    </row>
    <row r="1420">
      <c r="D1420" s="19"/>
    </row>
    <row r="1421">
      <c r="D1421" s="19"/>
    </row>
    <row r="1422">
      <c r="D1422" s="19"/>
    </row>
    <row r="1423">
      <c r="D1423" s="19"/>
    </row>
    <row r="1424">
      <c r="D1424" s="19"/>
    </row>
    <row r="1425">
      <c r="D1425" s="19"/>
    </row>
    <row r="1426">
      <c r="D1426" s="19"/>
    </row>
    <row r="1427">
      <c r="D1427" s="19"/>
    </row>
    <row r="1428">
      <c r="D1428" s="19"/>
    </row>
    <row r="1429">
      <c r="D1429" s="19"/>
    </row>
    <row r="1430">
      <c r="D1430" s="19"/>
    </row>
    <row r="1431">
      <c r="D1431" s="19"/>
    </row>
    <row r="1432">
      <c r="D1432" s="19"/>
    </row>
    <row r="1433">
      <c r="D1433" s="19"/>
    </row>
    <row r="1434">
      <c r="D1434" s="19"/>
    </row>
    <row r="1435">
      <c r="D1435" s="19"/>
    </row>
    <row r="1436">
      <c r="D1436" s="19"/>
    </row>
    <row r="1437">
      <c r="D1437" s="19"/>
    </row>
    <row r="1438">
      <c r="D1438" s="19"/>
    </row>
    <row r="1439">
      <c r="D1439" s="19"/>
    </row>
    <row r="1440">
      <c r="D1440" s="19"/>
    </row>
    <row r="1441">
      <c r="D1441" s="19"/>
    </row>
    <row r="1442">
      <c r="D1442" s="19"/>
    </row>
    <row r="1443">
      <c r="D1443" s="19"/>
    </row>
    <row r="1444">
      <c r="D1444" s="19"/>
    </row>
    <row r="1445">
      <c r="D1445" s="19"/>
    </row>
    <row r="1446">
      <c r="D1446" s="19"/>
    </row>
    <row r="1447">
      <c r="D1447" s="19"/>
    </row>
    <row r="1448">
      <c r="D1448" s="19"/>
    </row>
    <row r="1449">
      <c r="D1449" s="19"/>
    </row>
    <row r="1450">
      <c r="D1450" s="19"/>
    </row>
    <row r="1451">
      <c r="D1451" s="19"/>
    </row>
    <row r="1452">
      <c r="D1452" s="19"/>
    </row>
    <row r="1453">
      <c r="D1453" s="19"/>
    </row>
    <row r="1454">
      <c r="D1454" s="19"/>
    </row>
    <row r="1455">
      <c r="D1455" s="19"/>
    </row>
    <row r="1456">
      <c r="D1456" s="19"/>
    </row>
    <row r="1457">
      <c r="D1457" s="19"/>
    </row>
    <row r="1458">
      <c r="D1458" s="19"/>
    </row>
    <row r="1459">
      <c r="D1459" s="19"/>
    </row>
    <row r="1460">
      <c r="D1460" s="19"/>
    </row>
    <row r="1461">
      <c r="D1461" s="19"/>
    </row>
    <row r="1462">
      <c r="D1462" s="19"/>
    </row>
    <row r="1463">
      <c r="D1463" s="19"/>
    </row>
    <row r="1464">
      <c r="D1464" s="19"/>
    </row>
    <row r="1465">
      <c r="D1465" s="19"/>
    </row>
    <row r="1466">
      <c r="D1466" s="19"/>
    </row>
    <row r="1467">
      <c r="D1467" s="19"/>
    </row>
    <row r="1468">
      <c r="D1468" s="19"/>
    </row>
    <row r="1469">
      <c r="D1469" s="19"/>
    </row>
    <row r="1470">
      <c r="D1470" s="19"/>
    </row>
    <row r="1471">
      <c r="D1471" s="19"/>
    </row>
    <row r="1472">
      <c r="D1472" s="19"/>
    </row>
    <row r="1473">
      <c r="D1473" s="19"/>
    </row>
    <row r="1474">
      <c r="D1474" s="19"/>
    </row>
    <row r="1475">
      <c r="D1475" s="19"/>
    </row>
    <row r="1476">
      <c r="D1476" s="19"/>
    </row>
    <row r="1477">
      <c r="D1477" s="19"/>
    </row>
    <row r="1478">
      <c r="D1478" s="19"/>
    </row>
    <row r="1479">
      <c r="D1479" s="19"/>
    </row>
    <row r="1480">
      <c r="D1480" s="19"/>
    </row>
    <row r="1481">
      <c r="D1481" s="19"/>
    </row>
    <row r="1482">
      <c r="D1482" s="19"/>
    </row>
    <row r="1483">
      <c r="D1483" s="19"/>
    </row>
    <row r="1484">
      <c r="D1484" s="19"/>
    </row>
    <row r="1485">
      <c r="D1485" s="19"/>
    </row>
    <row r="1486">
      <c r="D1486" s="19"/>
    </row>
    <row r="1487">
      <c r="D1487" s="19"/>
    </row>
    <row r="1488">
      <c r="D1488" s="19"/>
    </row>
    <row r="1489">
      <c r="D1489" s="19"/>
    </row>
    <row r="1490">
      <c r="D1490" s="19"/>
    </row>
    <row r="1491">
      <c r="D1491" s="19"/>
    </row>
    <row r="1492">
      <c r="D1492" s="19"/>
    </row>
    <row r="1493">
      <c r="D1493" s="19"/>
    </row>
    <row r="1494">
      <c r="D1494" s="19"/>
    </row>
    <row r="1495">
      <c r="D1495" s="19"/>
    </row>
    <row r="1496">
      <c r="D1496" s="19"/>
    </row>
    <row r="1497">
      <c r="D1497" s="19"/>
    </row>
    <row r="1498">
      <c r="D1498" s="19"/>
    </row>
    <row r="1499">
      <c r="D1499" s="19"/>
    </row>
    <row r="1500">
      <c r="D1500" s="19"/>
    </row>
    <row r="1501">
      <c r="D1501" s="19"/>
    </row>
    <row r="1502">
      <c r="D1502" s="19"/>
    </row>
    <row r="1503">
      <c r="D1503" s="19"/>
    </row>
    <row r="1504">
      <c r="D1504" s="19"/>
    </row>
    <row r="1505">
      <c r="D1505" s="19"/>
    </row>
    <row r="1506">
      <c r="D1506" s="19"/>
    </row>
    <row r="1507">
      <c r="D1507" s="19"/>
    </row>
    <row r="1508">
      <c r="D1508" s="19"/>
    </row>
    <row r="1509">
      <c r="D1509" s="19"/>
    </row>
    <row r="1510">
      <c r="D1510" s="19"/>
    </row>
    <row r="1511">
      <c r="D1511" s="19"/>
    </row>
    <row r="1512">
      <c r="D1512" s="19"/>
    </row>
    <row r="1513">
      <c r="D1513" s="19"/>
    </row>
    <row r="1514">
      <c r="D1514" s="19"/>
    </row>
    <row r="1515">
      <c r="D1515" s="19"/>
    </row>
    <row r="1516">
      <c r="D1516" s="19"/>
    </row>
    <row r="1517">
      <c r="D1517" s="19"/>
    </row>
    <row r="1518">
      <c r="D1518" s="19"/>
    </row>
    <row r="1519">
      <c r="D1519" s="19"/>
    </row>
    <row r="1520">
      <c r="D1520" s="19"/>
    </row>
    <row r="1521">
      <c r="D1521" s="19"/>
    </row>
    <row r="1522">
      <c r="D1522" s="19"/>
    </row>
    <row r="1523">
      <c r="D1523" s="19"/>
    </row>
    <row r="1524">
      <c r="D1524" s="19"/>
    </row>
    <row r="1525">
      <c r="D1525" s="19"/>
    </row>
    <row r="1526">
      <c r="D1526" s="19"/>
    </row>
    <row r="1527">
      <c r="D1527" s="19"/>
    </row>
    <row r="1528">
      <c r="D1528" s="19"/>
    </row>
    <row r="1529">
      <c r="D1529" s="19"/>
    </row>
    <row r="1530">
      <c r="D1530" s="19"/>
    </row>
    <row r="1531">
      <c r="D1531" s="19"/>
    </row>
    <row r="1532">
      <c r="D1532" s="19"/>
    </row>
    <row r="1533">
      <c r="D1533" s="19"/>
    </row>
    <row r="1534">
      <c r="D1534" s="19"/>
    </row>
    <row r="1535">
      <c r="D1535" s="19"/>
    </row>
    <row r="1536">
      <c r="D1536" s="19"/>
    </row>
    <row r="1537">
      <c r="D1537" s="19"/>
    </row>
    <row r="1538">
      <c r="D1538" s="19"/>
    </row>
    <row r="1539">
      <c r="D1539" s="19"/>
    </row>
    <row r="1540">
      <c r="D1540" s="19"/>
    </row>
    <row r="1541">
      <c r="D1541" s="19"/>
    </row>
    <row r="1542">
      <c r="D1542" s="19"/>
    </row>
    <row r="1543">
      <c r="D1543" s="19"/>
    </row>
    <row r="1544">
      <c r="D1544" s="19"/>
    </row>
    <row r="1545">
      <c r="D1545" s="19"/>
    </row>
    <row r="1546">
      <c r="D1546" s="19"/>
    </row>
    <row r="1547">
      <c r="D1547" s="19"/>
    </row>
    <row r="1548">
      <c r="D1548" s="19"/>
    </row>
    <row r="1549">
      <c r="D1549" s="19"/>
    </row>
    <row r="1550">
      <c r="D1550" s="19"/>
    </row>
    <row r="1551">
      <c r="D1551" s="19"/>
    </row>
    <row r="1552">
      <c r="D1552" s="19"/>
    </row>
    <row r="1553">
      <c r="D1553" s="19"/>
    </row>
    <row r="1554">
      <c r="D1554" s="19"/>
    </row>
    <row r="1555">
      <c r="D1555" s="19"/>
    </row>
    <row r="1556">
      <c r="D1556" s="19"/>
    </row>
    <row r="1557">
      <c r="D1557" s="19"/>
    </row>
    <row r="1558">
      <c r="D1558" s="19"/>
    </row>
    <row r="1559">
      <c r="D1559" s="19"/>
    </row>
    <row r="1560">
      <c r="D1560" s="19"/>
    </row>
    <row r="1561">
      <c r="D1561" s="19"/>
    </row>
    <row r="1562">
      <c r="D1562" s="19"/>
    </row>
    <row r="1563">
      <c r="D1563" s="19"/>
    </row>
    <row r="1564">
      <c r="D1564" s="19"/>
    </row>
    <row r="1565">
      <c r="D1565" s="19"/>
    </row>
    <row r="1566">
      <c r="D1566" s="19"/>
    </row>
    <row r="1567">
      <c r="D1567" s="19"/>
    </row>
    <row r="1568">
      <c r="D1568" s="19"/>
    </row>
    <row r="1569">
      <c r="D1569" s="19"/>
    </row>
    <row r="1570">
      <c r="D1570" s="19"/>
    </row>
    <row r="1571">
      <c r="D1571" s="19"/>
    </row>
    <row r="1572">
      <c r="D1572" s="19"/>
    </row>
    <row r="1573">
      <c r="D1573" s="19"/>
    </row>
    <row r="1574">
      <c r="D1574" s="19"/>
    </row>
    <row r="1575">
      <c r="D1575" s="19"/>
    </row>
    <row r="1576">
      <c r="D1576" s="19"/>
    </row>
    <row r="1577">
      <c r="D1577" s="19"/>
    </row>
    <row r="1578">
      <c r="D1578" s="19"/>
    </row>
    <row r="1579">
      <c r="D1579" s="19"/>
    </row>
    <row r="1580">
      <c r="D1580" s="19"/>
    </row>
    <row r="1581">
      <c r="D1581" s="19"/>
    </row>
    <row r="1582">
      <c r="D1582" s="19"/>
    </row>
    <row r="1583">
      <c r="D1583" s="19"/>
    </row>
    <row r="1584">
      <c r="D1584" s="19"/>
    </row>
    <row r="1585">
      <c r="D1585" s="19"/>
    </row>
    <row r="1586">
      <c r="D1586" s="19"/>
    </row>
    <row r="1587">
      <c r="D1587" s="19"/>
    </row>
    <row r="1588">
      <c r="D1588" s="19"/>
    </row>
    <row r="1589">
      <c r="D1589" s="19"/>
    </row>
    <row r="1590">
      <c r="D1590" s="19"/>
    </row>
    <row r="1591">
      <c r="D1591" s="19"/>
    </row>
    <row r="1592">
      <c r="D1592" s="19"/>
    </row>
    <row r="1593">
      <c r="D1593" s="19"/>
    </row>
    <row r="1594">
      <c r="D1594" s="19"/>
    </row>
    <row r="1595">
      <c r="D1595" s="19"/>
    </row>
    <row r="1596">
      <c r="D1596" s="19"/>
    </row>
    <row r="1597">
      <c r="D1597" s="19"/>
    </row>
    <row r="1598">
      <c r="D1598" s="19"/>
    </row>
    <row r="1599">
      <c r="D1599" s="19"/>
    </row>
    <row r="1600">
      <c r="D1600" s="19"/>
    </row>
    <row r="1601">
      <c r="D1601" s="19"/>
    </row>
    <row r="1602">
      <c r="D1602" s="19"/>
    </row>
    <row r="1603">
      <c r="D1603" s="19"/>
    </row>
    <row r="1604">
      <c r="D1604" s="19"/>
    </row>
    <row r="1605">
      <c r="D1605" s="19"/>
    </row>
    <row r="1606">
      <c r="D1606" s="19"/>
    </row>
    <row r="1607">
      <c r="D1607" s="19"/>
    </row>
    <row r="1608">
      <c r="D1608" s="19"/>
    </row>
    <row r="1609">
      <c r="D1609" s="19"/>
    </row>
    <row r="1610">
      <c r="D1610" s="19"/>
    </row>
    <row r="1611">
      <c r="D1611" s="19"/>
    </row>
    <row r="1612">
      <c r="D1612" s="19"/>
    </row>
    <row r="1613">
      <c r="D1613" s="19"/>
    </row>
    <row r="1614">
      <c r="D1614" s="19"/>
    </row>
    <row r="1615">
      <c r="D1615" s="19"/>
    </row>
    <row r="1616">
      <c r="D1616" s="19"/>
    </row>
    <row r="1617">
      <c r="D1617" s="19"/>
    </row>
    <row r="1618">
      <c r="D1618" s="19"/>
    </row>
    <row r="1619">
      <c r="D1619" s="19"/>
    </row>
    <row r="1620">
      <c r="D1620" s="19"/>
    </row>
    <row r="1621">
      <c r="D1621" s="19"/>
    </row>
    <row r="1622">
      <c r="D1622" s="19"/>
    </row>
    <row r="1623">
      <c r="D1623" s="19"/>
    </row>
    <row r="1624">
      <c r="D1624" s="19"/>
    </row>
    <row r="1625">
      <c r="D1625" s="19"/>
    </row>
    <row r="1626">
      <c r="D1626" s="19"/>
    </row>
    <row r="1627">
      <c r="D1627" s="19"/>
    </row>
    <row r="1628">
      <c r="D1628" s="19"/>
    </row>
    <row r="1629">
      <c r="D1629" s="19"/>
    </row>
    <row r="1630">
      <c r="D1630" s="19"/>
    </row>
    <row r="1631">
      <c r="D1631" s="19"/>
    </row>
    <row r="1632">
      <c r="D1632" s="19"/>
    </row>
    <row r="1633">
      <c r="D1633" s="19"/>
    </row>
    <row r="1634">
      <c r="D1634" s="19"/>
    </row>
    <row r="1635">
      <c r="D1635" s="19"/>
    </row>
    <row r="1636">
      <c r="D1636" s="19"/>
    </row>
    <row r="1637">
      <c r="D1637" s="19"/>
    </row>
    <row r="1638">
      <c r="D1638" s="19"/>
    </row>
    <row r="1639">
      <c r="D1639" s="19"/>
    </row>
    <row r="1640">
      <c r="D1640" s="19"/>
    </row>
    <row r="1641">
      <c r="D1641" s="19"/>
    </row>
    <row r="1642">
      <c r="D1642" s="19"/>
    </row>
    <row r="1643">
      <c r="D1643" s="19"/>
    </row>
    <row r="1644">
      <c r="D1644" s="19"/>
    </row>
    <row r="1645">
      <c r="D1645" s="19"/>
    </row>
    <row r="1646">
      <c r="D1646" s="19"/>
    </row>
    <row r="1647">
      <c r="D1647" s="19"/>
    </row>
    <row r="1648">
      <c r="D1648" s="19"/>
    </row>
    <row r="1649">
      <c r="D1649" s="19"/>
    </row>
    <row r="1650">
      <c r="D1650" s="19"/>
    </row>
    <row r="1651">
      <c r="D1651" s="19"/>
    </row>
    <row r="1652">
      <c r="D1652" s="19"/>
    </row>
    <row r="1653">
      <c r="D1653" s="19"/>
    </row>
    <row r="1654">
      <c r="D1654" s="19"/>
    </row>
    <row r="1655">
      <c r="D1655" s="19"/>
    </row>
    <row r="1656">
      <c r="D1656" s="19"/>
    </row>
    <row r="1657">
      <c r="D1657" s="19"/>
    </row>
    <row r="1658">
      <c r="D1658" s="19"/>
    </row>
    <row r="1659">
      <c r="D1659" s="19"/>
    </row>
    <row r="1660">
      <c r="D1660" s="19"/>
    </row>
    <row r="1661">
      <c r="D1661" s="19"/>
    </row>
    <row r="1662">
      <c r="D1662" s="19"/>
    </row>
    <row r="1663">
      <c r="D1663" s="19"/>
    </row>
    <row r="1664">
      <c r="D1664" s="19"/>
    </row>
    <row r="1665">
      <c r="D1665" s="19"/>
    </row>
    <row r="1666">
      <c r="D1666" s="19"/>
    </row>
    <row r="1667">
      <c r="D1667" s="19"/>
    </row>
    <row r="1668">
      <c r="D1668" s="19"/>
    </row>
    <row r="1669">
      <c r="D1669" s="19"/>
    </row>
    <row r="1670">
      <c r="D1670" s="19"/>
    </row>
    <row r="1671">
      <c r="D1671" s="19"/>
    </row>
    <row r="1672">
      <c r="D1672" s="19"/>
    </row>
    <row r="1673">
      <c r="D1673" s="19"/>
    </row>
    <row r="1674">
      <c r="D1674" s="19"/>
    </row>
    <row r="1675">
      <c r="D1675" s="19"/>
    </row>
    <row r="1676">
      <c r="D1676" s="19"/>
    </row>
    <row r="1677">
      <c r="D1677" s="19"/>
    </row>
    <row r="1678">
      <c r="D1678" s="19"/>
    </row>
    <row r="1679">
      <c r="D1679" s="19"/>
    </row>
    <row r="1680">
      <c r="D1680" s="19"/>
    </row>
    <row r="1681">
      <c r="D1681" s="19"/>
    </row>
    <row r="1682">
      <c r="D1682" s="19"/>
    </row>
    <row r="1683">
      <c r="D1683" s="19"/>
    </row>
    <row r="1684">
      <c r="D1684" s="19"/>
    </row>
    <row r="1685">
      <c r="D1685" s="19"/>
    </row>
    <row r="1686">
      <c r="D1686" s="19"/>
    </row>
    <row r="1687">
      <c r="D1687" s="19"/>
    </row>
    <row r="1688">
      <c r="D1688" s="19"/>
    </row>
    <row r="1689">
      <c r="D1689" s="19"/>
    </row>
    <row r="1690">
      <c r="D1690" s="19"/>
    </row>
    <row r="1691">
      <c r="D1691" s="19"/>
    </row>
    <row r="1692">
      <c r="D1692" s="19"/>
    </row>
    <row r="1693">
      <c r="D1693" s="19"/>
    </row>
    <row r="1694">
      <c r="D1694" s="19"/>
    </row>
    <row r="1695">
      <c r="D1695" s="19"/>
    </row>
    <row r="1696">
      <c r="D1696" s="19"/>
    </row>
    <row r="1697">
      <c r="D1697" s="19"/>
    </row>
    <row r="1698">
      <c r="D1698" s="19"/>
    </row>
    <row r="1699">
      <c r="D1699" s="19"/>
    </row>
    <row r="1700">
      <c r="D1700" s="19"/>
    </row>
    <row r="1701">
      <c r="D1701" s="19"/>
    </row>
    <row r="1702">
      <c r="D1702" s="19"/>
    </row>
    <row r="1703">
      <c r="D1703" s="19"/>
    </row>
    <row r="1704">
      <c r="D1704" s="19"/>
    </row>
    <row r="1705">
      <c r="D1705" s="19"/>
    </row>
    <row r="1706">
      <c r="D1706" s="19"/>
    </row>
    <row r="1707">
      <c r="D1707" s="19"/>
    </row>
    <row r="1708">
      <c r="D1708" s="19"/>
    </row>
    <row r="1709">
      <c r="D1709" s="19"/>
    </row>
    <row r="1710">
      <c r="D1710" s="19"/>
    </row>
    <row r="1711">
      <c r="D1711" s="19"/>
    </row>
    <row r="1712">
      <c r="D1712" s="19"/>
    </row>
    <row r="1713">
      <c r="D1713" s="19"/>
    </row>
    <row r="1714">
      <c r="D1714" s="19"/>
    </row>
    <row r="1715">
      <c r="D1715" s="19"/>
    </row>
    <row r="1716">
      <c r="D1716" s="19"/>
    </row>
    <row r="1717">
      <c r="D1717" s="19"/>
    </row>
    <row r="1718">
      <c r="D1718" s="19"/>
    </row>
    <row r="1719">
      <c r="D1719" s="19"/>
    </row>
    <row r="1720">
      <c r="D1720" s="19"/>
    </row>
    <row r="1721">
      <c r="D1721" s="19"/>
    </row>
    <row r="1722">
      <c r="D1722" s="19"/>
    </row>
    <row r="1723">
      <c r="D1723" s="19"/>
    </row>
    <row r="1724">
      <c r="D1724" s="19"/>
    </row>
    <row r="1725">
      <c r="D1725" s="19"/>
    </row>
    <row r="1726">
      <c r="D1726" s="19"/>
    </row>
    <row r="1727">
      <c r="D1727" s="19"/>
    </row>
    <row r="1728">
      <c r="D1728" s="19"/>
    </row>
    <row r="1729">
      <c r="D1729" s="19"/>
    </row>
    <row r="1730">
      <c r="D1730" s="19"/>
    </row>
    <row r="1731">
      <c r="D1731" s="19"/>
    </row>
    <row r="1732">
      <c r="D1732" s="19"/>
    </row>
    <row r="1733">
      <c r="D1733" s="19"/>
    </row>
    <row r="1734">
      <c r="D1734" s="19"/>
    </row>
    <row r="1735">
      <c r="D1735" s="19"/>
    </row>
    <row r="1736">
      <c r="D1736" s="19"/>
    </row>
    <row r="1737">
      <c r="D1737" s="19"/>
    </row>
    <row r="1738">
      <c r="D1738" s="19"/>
    </row>
    <row r="1739">
      <c r="D1739" s="19"/>
    </row>
    <row r="1740">
      <c r="D1740" s="19"/>
    </row>
    <row r="1741">
      <c r="D1741" s="19"/>
    </row>
    <row r="1742">
      <c r="D1742" s="19"/>
    </row>
    <row r="1743">
      <c r="D1743" s="19"/>
    </row>
    <row r="1744">
      <c r="D1744" s="19"/>
    </row>
    <row r="1745">
      <c r="D1745" s="19"/>
    </row>
    <row r="1746">
      <c r="D1746" s="19"/>
    </row>
    <row r="1747">
      <c r="D1747" s="19"/>
    </row>
    <row r="1748">
      <c r="D1748" s="19"/>
    </row>
    <row r="1749">
      <c r="D1749" s="19"/>
    </row>
    <row r="1750">
      <c r="D1750" s="19"/>
    </row>
    <row r="1751">
      <c r="D1751" s="19"/>
    </row>
    <row r="1752">
      <c r="D1752" s="19"/>
    </row>
    <row r="1753">
      <c r="D1753" s="19"/>
    </row>
    <row r="1754">
      <c r="D1754" s="19"/>
    </row>
    <row r="1755">
      <c r="D1755" s="19"/>
    </row>
    <row r="1756">
      <c r="D1756" s="19"/>
    </row>
    <row r="1757">
      <c r="D1757" s="19"/>
    </row>
    <row r="1758">
      <c r="D1758" s="19"/>
    </row>
    <row r="1759">
      <c r="D1759" s="19"/>
    </row>
    <row r="1760">
      <c r="D1760" s="19"/>
    </row>
    <row r="1761">
      <c r="D1761" s="19"/>
    </row>
    <row r="1762">
      <c r="D1762" s="19"/>
    </row>
    <row r="1763">
      <c r="D1763" s="19"/>
    </row>
    <row r="1764">
      <c r="D1764" s="19"/>
    </row>
    <row r="1765">
      <c r="D1765" s="19"/>
    </row>
    <row r="1766">
      <c r="D1766" s="19"/>
    </row>
    <row r="1767">
      <c r="D1767" s="19"/>
    </row>
    <row r="1768">
      <c r="D1768" s="19"/>
    </row>
    <row r="1769">
      <c r="D1769" s="19"/>
    </row>
    <row r="1770">
      <c r="D1770" s="19"/>
    </row>
    <row r="1771">
      <c r="D1771" s="19"/>
    </row>
    <row r="1772">
      <c r="D1772" s="19"/>
    </row>
    <row r="1773">
      <c r="D1773" s="19"/>
    </row>
    <row r="1774">
      <c r="D1774" s="19"/>
    </row>
    <row r="1775">
      <c r="D1775" s="19"/>
    </row>
    <row r="1776">
      <c r="D1776" s="19"/>
    </row>
    <row r="1777">
      <c r="D1777" s="19"/>
    </row>
    <row r="1778">
      <c r="D1778" s="19"/>
    </row>
    <row r="1779">
      <c r="D1779" s="19"/>
    </row>
    <row r="1780">
      <c r="D1780" s="19"/>
    </row>
    <row r="1781">
      <c r="D1781" s="19"/>
    </row>
    <row r="1782">
      <c r="D1782" s="19"/>
    </row>
    <row r="1783">
      <c r="D1783" s="19"/>
    </row>
    <row r="1784">
      <c r="D1784" s="19"/>
    </row>
    <row r="1785">
      <c r="D1785" s="19"/>
    </row>
    <row r="1786">
      <c r="D1786" s="19"/>
    </row>
    <row r="1787">
      <c r="D1787" s="19"/>
    </row>
    <row r="1788">
      <c r="D1788" s="19"/>
    </row>
    <row r="1789">
      <c r="D1789" s="19"/>
    </row>
    <row r="1790">
      <c r="D1790" s="19"/>
    </row>
    <row r="1791">
      <c r="D1791" s="19"/>
    </row>
    <row r="1792">
      <c r="D1792" s="19"/>
    </row>
    <row r="1793">
      <c r="D1793" s="19"/>
    </row>
    <row r="1794">
      <c r="D1794" s="19"/>
    </row>
    <row r="1795">
      <c r="D1795" s="19"/>
    </row>
    <row r="1796">
      <c r="D1796" s="19"/>
    </row>
    <row r="1797">
      <c r="D1797" s="19"/>
    </row>
    <row r="1798">
      <c r="D1798" s="19"/>
    </row>
    <row r="1799">
      <c r="D1799" s="19"/>
    </row>
    <row r="1800">
      <c r="D1800" s="19"/>
    </row>
    <row r="1801">
      <c r="D1801" s="19"/>
    </row>
    <row r="1802">
      <c r="D1802" s="19"/>
    </row>
    <row r="1803">
      <c r="D1803" s="19"/>
    </row>
    <row r="1804">
      <c r="D1804" s="19"/>
    </row>
    <row r="1805">
      <c r="D1805" s="19"/>
    </row>
    <row r="1806">
      <c r="D1806" s="19"/>
    </row>
    <row r="1807">
      <c r="D1807" s="19"/>
    </row>
    <row r="1808">
      <c r="D1808" s="19"/>
    </row>
    <row r="1809">
      <c r="D1809" s="19"/>
    </row>
    <row r="1810">
      <c r="D1810" s="19"/>
    </row>
    <row r="1811">
      <c r="D1811" s="19"/>
    </row>
    <row r="1812">
      <c r="D1812" s="19"/>
    </row>
    <row r="1813">
      <c r="D1813" s="19"/>
    </row>
    <row r="1814">
      <c r="D1814" s="19"/>
    </row>
    <row r="1815">
      <c r="D1815" s="19"/>
    </row>
    <row r="1816">
      <c r="D1816" s="19"/>
    </row>
    <row r="1817">
      <c r="D1817" s="19"/>
    </row>
    <row r="1818">
      <c r="D1818" s="19"/>
    </row>
    <row r="1819">
      <c r="D1819" s="19"/>
    </row>
    <row r="1820">
      <c r="D1820" s="19"/>
    </row>
    <row r="1821">
      <c r="D1821" s="19"/>
    </row>
    <row r="1822">
      <c r="D1822" s="19"/>
    </row>
    <row r="1823">
      <c r="D1823" s="19"/>
    </row>
    <row r="1824">
      <c r="D1824" s="19"/>
    </row>
    <row r="1825">
      <c r="D1825" s="19"/>
    </row>
    <row r="1826">
      <c r="D1826" s="19"/>
    </row>
    <row r="1827">
      <c r="D1827" s="19"/>
    </row>
    <row r="1828">
      <c r="D1828" s="19"/>
    </row>
    <row r="1829">
      <c r="D1829" s="19"/>
    </row>
    <row r="1830">
      <c r="D1830" s="19"/>
    </row>
    <row r="1831">
      <c r="D1831" s="19"/>
    </row>
    <row r="1832">
      <c r="D1832" s="19"/>
    </row>
    <row r="1833">
      <c r="D1833" s="19"/>
    </row>
    <row r="1834">
      <c r="D1834" s="19"/>
    </row>
    <row r="1835">
      <c r="D1835" s="19"/>
    </row>
    <row r="1836">
      <c r="D1836" s="19"/>
    </row>
    <row r="1837">
      <c r="D1837" s="19"/>
    </row>
    <row r="1838">
      <c r="D1838" s="19"/>
    </row>
    <row r="1839">
      <c r="D1839" s="19"/>
    </row>
    <row r="1840">
      <c r="D1840" s="19"/>
    </row>
    <row r="1841">
      <c r="D1841" s="19"/>
    </row>
    <row r="1842">
      <c r="D1842" s="19"/>
    </row>
    <row r="1843">
      <c r="D1843" s="19"/>
    </row>
    <row r="1844">
      <c r="D1844" s="19"/>
    </row>
    <row r="1845">
      <c r="D1845" s="19"/>
    </row>
    <row r="1846">
      <c r="D1846" s="19"/>
    </row>
    <row r="1847">
      <c r="D1847" s="19"/>
    </row>
    <row r="1848">
      <c r="D1848" s="19"/>
    </row>
    <row r="1849">
      <c r="D1849" s="19"/>
    </row>
    <row r="1850">
      <c r="D1850" s="19"/>
    </row>
    <row r="1851">
      <c r="D1851" s="19"/>
    </row>
    <row r="1852">
      <c r="D1852" s="19"/>
    </row>
    <row r="1853">
      <c r="D1853" s="19"/>
    </row>
    <row r="1854">
      <c r="D1854" s="19"/>
    </row>
    <row r="1855">
      <c r="D1855" s="19"/>
    </row>
    <row r="1856">
      <c r="D1856" s="19"/>
    </row>
    <row r="1857">
      <c r="D1857" s="19"/>
    </row>
    <row r="1858">
      <c r="D1858" s="19"/>
    </row>
    <row r="1859">
      <c r="D1859" s="19"/>
    </row>
    <row r="1860">
      <c r="D1860" s="19"/>
    </row>
    <row r="1861">
      <c r="D1861" s="19"/>
    </row>
    <row r="1862">
      <c r="D1862" s="19"/>
    </row>
    <row r="1863">
      <c r="D1863" s="19"/>
    </row>
    <row r="1864">
      <c r="D1864" s="19"/>
    </row>
    <row r="1865">
      <c r="D1865" s="19"/>
    </row>
    <row r="1866">
      <c r="D1866" s="19"/>
    </row>
    <row r="1867">
      <c r="D1867" s="19"/>
    </row>
    <row r="1868">
      <c r="D1868" s="19"/>
    </row>
    <row r="1869">
      <c r="D1869" s="19"/>
    </row>
    <row r="1870">
      <c r="D1870" s="19"/>
    </row>
    <row r="1871">
      <c r="D1871" s="19"/>
    </row>
    <row r="1872">
      <c r="D1872" s="19"/>
    </row>
    <row r="1873">
      <c r="D1873" s="19"/>
    </row>
    <row r="1874">
      <c r="D1874" s="19"/>
    </row>
    <row r="1875">
      <c r="D1875" s="19"/>
    </row>
    <row r="1876">
      <c r="D1876" s="19"/>
    </row>
    <row r="1877">
      <c r="D1877" s="19"/>
    </row>
    <row r="1878">
      <c r="D1878" s="19"/>
    </row>
    <row r="1879">
      <c r="D1879" s="19"/>
    </row>
    <row r="1880">
      <c r="D1880" s="19"/>
    </row>
    <row r="1881">
      <c r="D1881" s="19"/>
    </row>
    <row r="1882">
      <c r="D1882" s="19"/>
    </row>
    <row r="1883">
      <c r="D1883" s="19"/>
    </row>
    <row r="1884">
      <c r="D1884" s="19"/>
    </row>
    <row r="1885">
      <c r="D1885" s="19"/>
    </row>
    <row r="1886">
      <c r="D1886" s="19"/>
    </row>
    <row r="1887">
      <c r="D1887" s="19"/>
    </row>
    <row r="1888">
      <c r="D1888" s="19"/>
    </row>
    <row r="1889">
      <c r="D1889" s="19"/>
    </row>
    <row r="1890">
      <c r="D1890" s="19"/>
    </row>
    <row r="1891">
      <c r="D1891" s="19"/>
    </row>
    <row r="1892">
      <c r="D1892" s="19"/>
    </row>
    <row r="1893">
      <c r="D1893" s="19"/>
    </row>
    <row r="1894">
      <c r="D1894" s="19"/>
    </row>
    <row r="1895">
      <c r="D1895" s="19"/>
    </row>
    <row r="1896">
      <c r="D1896" s="19"/>
    </row>
    <row r="1897">
      <c r="D1897" s="19"/>
    </row>
    <row r="1898">
      <c r="D1898" s="19"/>
    </row>
    <row r="1899">
      <c r="D1899" s="19"/>
    </row>
    <row r="1900">
      <c r="D1900" s="19"/>
    </row>
    <row r="1901">
      <c r="D1901" s="19"/>
    </row>
    <row r="1902">
      <c r="D1902" s="19"/>
    </row>
    <row r="1903">
      <c r="D1903" s="19"/>
    </row>
    <row r="1904">
      <c r="D1904" s="19"/>
    </row>
    <row r="1905">
      <c r="D1905" s="19"/>
    </row>
    <row r="1906">
      <c r="D1906" s="19"/>
    </row>
    <row r="1907">
      <c r="D1907" s="19"/>
    </row>
    <row r="1908">
      <c r="D1908" s="19"/>
    </row>
    <row r="1909">
      <c r="D1909" s="19"/>
    </row>
    <row r="1910">
      <c r="D1910" s="19"/>
    </row>
    <row r="1911">
      <c r="D1911" s="19"/>
    </row>
    <row r="1912">
      <c r="D1912" s="19"/>
    </row>
    <row r="1913">
      <c r="D1913" s="19"/>
    </row>
    <row r="1914">
      <c r="D1914" s="19"/>
    </row>
    <row r="1915">
      <c r="D1915" s="19"/>
    </row>
    <row r="1916">
      <c r="D1916" s="19"/>
    </row>
    <row r="1917">
      <c r="D1917" s="19"/>
    </row>
    <row r="1918">
      <c r="D1918" s="19"/>
    </row>
    <row r="1919">
      <c r="D1919" s="19"/>
    </row>
    <row r="1920">
      <c r="D1920" s="19"/>
    </row>
    <row r="1921">
      <c r="D1921" s="19"/>
    </row>
    <row r="1922">
      <c r="D1922" s="19"/>
    </row>
    <row r="1923">
      <c r="D1923" s="19"/>
    </row>
    <row r="1924">
      <c r="D1924" s="19"/>
    </row>
    <row r="1925">
      <c r="D1925" s="19"/>
    </row>
    <row r="1926">
      <c r="D1926" s="19"/>
    </row>
    <row r="1927">
      <c r="D1927" s="19"/>
    </row>
    <row r="1928">
      <c r="D1928" s="19"/>
    </row>
    <row r="1929">
      <c r="D1929" s="19"/>
    </row>
    <row r="1930">
      <c r="D1930" s="19"/>
    </row>
    <row r="1931">
      <c r="D1931" s="19"/>
    </row>
    <row r="1932">
      <c r="D1932" s="19"/>
    </row>
    <row r="1933">
      <c r="D1933" s="19"/>
    </row>
    <row r="1934">
      <c r="D1934" s="19"/>
    </row>
    <row r="1935">
      <c r="D1935" s="19"/>
    </row>
    <row r="1936">
      <c r="D1936" s="19"/>
    </row>
    <row r="1937">
      <c r="D1937" s="19"/>
    </row>
    <row r="1938">
      <c r="D1938" s="19"/>
    </row>
    <row r="1939">
      <c r="D1939" s="19"/>
    </row>
    <row r="1940">
      <c r="D1940" s="19"/>
    </row>
    <row r="1941">
      <c r="D1941" s="19"/>
    </row>
    <row r="1942">
      <c r="D1942" s="19"/>
    </row>
    <row r="1943">
      <c r="D1943" s="19"/>
    </row>
    <row r="1944">
      <c r="D1944" s="19"/>
    </row>
    <row r="1945">
      <c r="D1945" s="19"/>
    </row>
    <row r="1946">
      <c r="D1946" s="19"/>
    </row>
    <row r="1947">
      <c r="D1947" s="19"/>
    </row>
    <row r="1948">
      <c r="D1948" s="19"/>
    </row>
    <row r="1949">
      <c r="D1949" s="19"/>
    </row>
    <row r="1950">
      <c r="D1950" s="19"/>
    </row>
    <row r="1951">
      <c r="D1951" s="19"/>
    </row>
    <row r="1952">
      <c r="D1952" s="19"/>
    </row>
    <row r="1953">
      <c r="D1953" s="19"/>
    </row>
    <row r="1954">
      <c r="D1954" s="19"/>
    </row>
    <row r="1955">
      <c r="D1955" s="19"/>
    </row>
    <row r="1956">
      <c r="D1956" s="19"/>
    </row>
    <row r="1957">
      <c r="D1957" s="19"/>
    </row>
    <row r="1958">
      <c r="D1958" s="19"/>
    </row>
    <row r="1959">
      <c r="D1959" s="19"/>
    </row>
    <row r="1960">
      <c r="D1960" s="19"/>
    </row>
    <row r="1961">
      <c r="D1961" s="19"/>
    </row>
    <row r="1962">
      <c r="D1962" s="19"/>
    </row>
    <row r="1963">
      <c r="D1963" s="19"/>
    </row>
    <row r="1964">
      <c r="D1964" s="19"/>
    </row>
    <row r="1965">
      <c r="D1965" s="19"/>
    </row>
    <row r="1966">
      <c r="D1966" s="19"/>
    </row>
    <row r="1967">
      <c r="D1967" s="19"/>
    </row>
    <row r="1968">
      <c r="D1968" s="19"/>
    </row>
    <row r="1969">
      <c r="D1969" s="19"/>
    </row>
    <row r="1970">
      <c r="D1970" s="19"/>
    </row>
    <row r="1971">
      <c r="D1971" s="19"/>
    </row>
    <row r="1972">
      <c r="D1972" s="19"/>
    </row>
    <row r="1973">
      <c r="D1973" s="19"/>
    </row>
    <row r="1974">
      <c r="D1974" s="19"/>
    </row>
    <row r="1975">
      <c r="D1975" s="19"/>
    </row>
    <row r="1976">
      <c r="D1976" s="19"/>
    </row>
    <row r="1977">
      <c r="D1977" s="19"/>
    </row>
    <row r="1978">
      <c r="D1978" s="19"/>
    </row>
    <row r="1979">
      <c r="D1979" s="19"/>
    </row>
    <row r="1980">
      <c r="D1980" s="19"/>
    </row>
    <row r="1981">
      <c r="D1981" s="19"/>
    </row>
    <row r="1982">
      <c r="D1982" s="19"/>
    </row>
    <row r="1983">
      <c r="D1983" s="19"/>
    </row>
    <row r="1984">
      <c r="D1984" s="19"/>
    </row>
    <row r="1985">
      <c r="D1985" s="19"/>
    </row>
    <row r="1986">
      <c r="D1986" s="19"/>
    </row>
    <row r="1987">
      <c r="D1987" s="19"/>
    </row>
    <row r="1988">
      <c r="D1988" s="19"/>
    </row>
    <row r="1989">
      <c r="D1989" s="19"/>
    </row>
    <row r="1990">
      <c r="D1990" s="19"/>
    </row>
    <row r="1991">
      <c r="D1991" s="19"/>
    </row>
    <row r="1992">
      <c r="D1992" s="19"/>
    </row>
    <row r="1993">
      <c r="D1993" s="19"/>
    </row>
    <row r="1994">
      <c r="D1994" s="19"/>
    </row>
    <row r="1995">
      <c r="D1995" s="19"/>
    </row>
    <row r="1996">
      <c r="D1996" s="19"/>
    </row>
    <row r="1997">
      <c r="D1997" s="19"/>
    </row>
    <row r="1998">
      <c r="D1998" s="19"/>
    </row>
    <row r="1999">
      <c r="D1999" s="19"/>
    </row>
  </sheetData>
  <mergeCells count="1">
    <mergeCell ref="A1317:D1317"/>
  </mergeCells>
  <hyperlinks>
    <hyperlink r:id="rId1" ref="B487"/>
    <hyperlink r:id="rId2" ref="B52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70.38"/>
    <col customWidth="1" min="3" max="3" width="37.88"/>
  </cols>
  <sheetData>
    <row r="1">
      <c r="A1" s="41" t="s">
        <v>0</v>
      </c>
      <c r="B1" s="41" t="s">
        <v>1</v>
      </c>
      <c r="C1" s="41" t="s">
        <v>2</v>
      </c>
      <c r="D1" s="3"/>
      <c r="E1" s="3"/>
      <c r="F1" s="4"/>
      <c r="G1" s="3"/>
      <c r="H1" s="3"/>
      <c r="I1" s="3"/>
      <c r="J1" s="3"/>
      <c r="K1" s="3"/>
      <c r="L1" s="3"/>
      <c r="M1" s="3"/>
      <c r="N1" s="42"/>
    </row>
    <row r="2">
      <c r="A2" s="11">
        <v>45293.0</v>
      </c>
      <c r="B2" s="9" t="s">
        <v>1622</v>
      </c>
      <c r="C2" s="9" t="s">
        <v>5</v>
      </c>
    </row>
    <row r="3">
      <c r="A3" s="11">
        <v>45302.0</v>
      </c>
      <c r="B3" s="9" t="s">
        <v>1623</v>
      </c>
      <c r="C3" s="9" t="s">
        <v>5</v>
      </c>
    </row>
    <row r="4">
      <c r="A4" s="11">
        <v>45314.0</v>
      </c>
      <c r="B4" s="9" t="s">
        <v>436</v>
      </c>
      <c r="C4" s="9" t="s">
        <v>5</v>
      </c>
    </row>
    <row r="5">
      <c r="A5" s="11">
        <v>45348.0</v>
      </c>
      <c r="B5" s="9" t="s">
        <v>1624</v>
      </c>
      <c r="C5" s="9" t="s">
        <v>5</v>
      </c>
    </row>
    <row r="6">
      <c r="A6" s="11">
        <v>45351.0</v>
      </c>
      <c r="B6" s="9" t="s">
        <v>1625</v>
      </c>
      <c r="C6" s="9" t="s">
        <v>5</v>
      </c>
    </row>
    <row r="7">
      <c r="A7" s="11">
        <v>45351.0</v>
      </c>
      <c r="B7" s="9" t="s">
        <v>1626</v>
      </c>
      <c r="C7" s="9" t="s">
        <v>5</v>
      </c>
    </row>
    <row r="8">
      <c r="A8" s="11">
        <v>45351.0</v>
      </c>
      <c r="B8" s="9" t="s">
        <v>1627</v>
      </c>
      <c r="C8" s="9" t="s">
        <v>5</v>
      </c>
    </row>
    <row r="9">
      <c r="A9" s="11">
        <v>45358.0</v>
      </c>
      <c r="B9" s="9" t="s">
        <v>1628</v>
      </c>
      <c r="C9" s="9" t="s">
        <v>5</v>
      </c>
    </row>
    <row r="10">
      <c r="A10" s="11">
        <v>45369.0</v>
      </c>
      <c r="B10" s="9" t="s">
        <v>1629</v>
      </c>
      <c r="C10" s="9" t="s">
        <v>5</v>
      </c>
    </row>
    <row r="11">
      <c r="A11" s="11">
        <v>45372.0</v>
      </c>
      <c r="B11" s="9" t="s">
        <v>1630</v>
      </c>
      <c r="C11" s="9" t="s">
        <v>5</v>
      </c>
    </row>
    <row r="12">
      <c r="A12" s="11">
        <v>45384.0</v>
      </c>
      <c r="B12" s="9" t="s">
        <v>1631</v>
      </c>
      <c r="C12" s="9" t="s">
        <v>5</v>
      </c>
    </row>
    <row r="13">
      <c r="A13" s="11">
        <v>45418.0</v>
      </c>
      <c r="B13" s="9" t="s">
        <v>1632</v>
      </c>
      <c r="C13" s="9" t="s">
        <v>5</v>
      </c>
    </row>
    <row r="14">
      <c r="A14" s="11">
        <v>45418.0</v>
      </c>
      <c r="B14" s="9" t="s">
        <v>1633</v>
      </c>
      <c r="C14" s="9" t="s">
        <v>5</v>
      </c>
    </row>
    <row r="15">
      <c r="A15" s="11">
        <v>45430.0</v>
      </c>
      <c r="B15" s="9" t="s">
        <v>1634</v>
      </c>
      <c r="C15" s="9" t="s">
        <v>5</v>
      </c>
    </row>
    <row r="16">
      <c r="A16" s="11">
        <v>45430.0</v>
      </c>
      <c r="B16" s="9" t="s">
        <v>1635</v>
      </c>
      <c r="C16" s="9" t="s">
        <v>5</v>
      </c>
    </row>
    <row r="17">
      <c r="A17" s="11">
        <v>45439.0</v>
      </c>
      <c r="B17" s="9" t="s">
        <v>1636</v>
      </c>
      <c r="C17" s="9" t="s">
        <v>5</v>
      </c>
    </row>
    <row r="18">
      <c r="A18" s="11">
        <v>45439.0</v>
      </c>
      <c r="B18" s="9" t="s">
        <v>1637</v>
      </c>
      <c r="C18" s="9" t="s">
        <v>5</v>
      </c>
    </row>
    <row r="19">
      <c r="A19" s="11">
        <v>45441.0</v>
      </c>
      <c r="B19" s="9" t="s">
        <v>1638</v>
      </c>
      <c r="C19" s="9" t="s">
        <v>5</v>
      </c>
    </row>
    <row r="20">
      <c r="A20" s="11">
        <v>45446.0</v>
      </c>
      <c r="B20" s="9" t="s">
        <v>438</v>
      </c>
      <c r="C20" s="9" t="s">
        <v>5</v>
      </c>
    </row>
    <row r="21">
      <c r="A21" s="11">
        <v>45446.0</v>
      </c>
      <c r="B21" s="9" t="s">
        <v>1639</v>
      </c>
      <c r="C21" s="9" t="s">
        <v>5</v>
      </c>
    </row>
    <row r="22">
      <c r="A22" s="11">
        <v>45446.0</v>
      </c>
      <c r="B22" s="9" t="s">
        <v>1640</v>
      </c>
      <c r="C22" s="9" t="s">
        <v>5</v>
      </c>
    </row>
    <row r="23">
      <c r="A23" s="11">
        <v>45454.0</v>
      </c>
      <c r="B23" s="9" t="s">
        <v>439</v>
      </c>
      <c r="C23" s="9" t="s">
        <v>5</v>
      </c>
    </row>
    <row r="24">
      <c r="A24" s="11">
        <v>45460.0</v>
      </c>
      <c r="B24" s="9" t="s">
        <v>440</v>
      </c>
      <c r="C24" s="9" t="s">
        <v>5</v>
      </c>
    </row>
    <row r="25">
      <c r="A25" s="11">
        <v>45460.0</v>
      </c>
      <c r="B25" s="9" t="s">
        <v>1641</v>
      </c>
      <c r="C25" s="9" t="s">
        <v>5</v>
      </c>
    </row>
    <row r="26">
      <c r="A26" s="11">
        <v>45467.0</v>
      </c>
      <c r="B26" s="9" t="s">
        <v>1642</v>
      </c>
      <c r="C26" s="9" t="s">
        <v>5</v>
      </c>
    </row>
    <row r="27">
      <c r="A27" s="11">
        <v>45467.0</v>
      </c>
      <c r="B27" s="9" t="s">
        <v>1643</v>
      </c>
      <c r="C27" s="9" t="s">
        <v>5</v>
      </c>
    </row>
    <row r="28">
      <c r="A28" s="11">
        <v>45485.0</v>
      </c>
      <c r="B28" s="9" t="s">
        <v>441</v>
      </c>
      <c r="C28" s="9" t="s">
        <v>5</v>
      </c>
    </row>
    <row r="29">
      <c r="A29" s="11">
        <v>45485.0</v>
      </c>
      <c r="B29" s="9" t="s">
        <v>1644</v>
      </c>
      <c r="C29" s="9" t="s">
        <v>5</v>
      </c>
    </row>
    <row r="30">
      <c r="A30" s="11">
        <v>45488.0</v>
      </c>
      <c r="B30" s="9" t="s">
        <v>1645</v>
      </c>
      <c r="C30" s="9" t="s">
        <v>5</v>
      </c>
    </row>
    <row r="31">
      <c r="A31" s="11">
        <v>45498.0</v>
      </c>
      <c r="B31" s="9" t="s">
        <v>1646</v>
      </c>
      <c r="C31" s="9" t="s">
        <v>5</v>
      </c>
    </row>
    <row r="32">
      <c r="A32" s="11">
        <v>45524.0</v>
      </c>
      <c r="B32" s="9" t="s">
        <v>1647</v>
      </c>
      <c r="C32" s="9" t="s">
        <v>5</v>
      </c>
    </row>
    <row r="33">
      <c r="A33" s="11">
        <v>45531.0</v>
      </c>
      <c r="B33" s="9" t="s">
        <v>1648</v>
      </c>
      <c r="C33" s="9" t="s">
        <v>5</v>
      </c>
    </row>
    <row r="34">
      <c r="A34" s="11">
        <v>45534.0</v>
      </c>
      <c r="B34" s="9" t="s">
        <v>1649</v>
      </c>
      <c r="C34" s="9" t="s">
        <v>5</v>
      </c>
    </row>
    <row r="35">
      <c r="A35" s="11">
        <v>45538.0</v>
      </c>
      <c r="B35" s="9" t="s">
        <v>1650</v>
      </c>
      <c r="C35" s="9" t="s">
        <v>5</v>
      </c>
    </row>
    <row r="36">
      <c r="A36" s="11">
        <v>45538.0</v>
      </c>
      <c r="B36" s="9" t="s">
        <v>1651</v>
      </c>
      <c r="C36" s="9" t="s">
        <v>5</v>
      </c>
    </row>
    <row r="37">
      <c r="A37" s="11">
        <v>45538.0</v>
      </c>
      <c r="B37" s="9" t="s">
        <v>1652</v>
      </c>
      <c r="C37" s="9" t="s">
        <v>5</v>
      </c>
    </row>
    <row r="38">
      <c r="A38" s="11">
        <v>45538.0</v>
      </c>
      <c r="B38" s="9" t="s">
        <v>1653</v>
      </c>
      <c r="C38" s="9" t="s">
        <v>5</v>
      </c>
    </row>
    <row r="39">
      <c r="A39" s="11">
        <v>45539.0</v>
      </c>
      <c r="B39" s="9" t="s">
        <v>1654</v>
      </c>
      <c r="C39" s="9" t="s">
        <v>5</v>
      </c>
    </row>
    <row r="40">
      <c r="A40" s="11">
        <v>45539.0</v>
      </c>
      <c r="B40" s="13" t="s">
        <v>1655</v>
      </c>
      <c r="C40" s="9" t="s">
        <v>5</v>
      </c>
    </row>
    <row r="41">
      <c r="A41" s="11">
        <v>45539.0</v>
      </c>
      <c r="B41" s="9" t="s">
        <v>1656</v>
      </c>
      <c r="C41" s="9" t="s">
        <v>5</v>
      </c>
    </row>
    <row r="42">
      <c r="A42" s="11">
        <v>45539.0</v>
      </c>
      <c r="B42" s="13" t="s">
        <v>1657</v>
      </c>
      <c r="C42" s="9" t="s">
        <v>5</v>
      </c>
    </row>
    <row r="43">
      <c r="A43" s="11">
        <v>45539.0</v>
      </c>
      <c r="B43" s="9" t="s">
        <v>1658</v>
      </c>
      <c r="C43" s="9" t="s">
        <v>5</v>
      </c>
    </row>
    <row r="44">
      <c r="A44" s="11">
        <v>45539.0</v>
      </c>
      <c r="B44" s="9" t="s">
        <v>1659</v>
      </c>
      <c r="C44" s="9" t="s">
        <v>5</v>
      </c>
    </row>
    <row r="45">
      <c r="A45" s="11">
        <v>45539.0</v>
      </c>
      <c r="B45" s="9" t="s">
        <v>1660</v>
      </c>
      <c r="C45" s="9" t="s">
        <v>5</v>
      </c>
    </row>
    <row r="46">
      <c r="A46" s="11">
        <v>45539.0</v>
      </c>
      <c r="B46" s="9" t="s">
        <v>1661</v>
      </c>
      <c r="C46" s="9" t="s">
        <v>5</v>
      </c>
    </row>
    <row r="47">
      <c r="A47" s="11">
        <v>45539.0</v>
      </c>
      <c r="B47" s="9" t="s">
        <v>1662</v>
      </c>
      <c r="C47" s="9" t="s">
        <v>5</v>
      </c>
    </row>
    <row r="48">
      <c r="A48" s="11">
        <v>45539.0</v>
      </c>
      <c r="B48" s="9" t="s">
        <v>1663</v>
      </c>
      <c r="C48" s="9" t="s">
        <v>5</v>
      </c>
    </row>
    <row r="49">
      <c r="A49" s="11">
        <v>45539.0</v>
      </c>
      <c r="B49" s="9" t="s">
        <v>1664</v>
      </c>
      <c r="C49" s="9" t="s">
        <v>5</v>
      </c>
    </row>
    <row r="50">
      <c r="A50" s="11">
        <v>45539.0</v>
      </c>
      <c r="B50" s="9" t="s">
        <v>1665</v>
      </c>
      <c r="C50" s="9" t="s">
        <v>5</v>
      </c>
    </row>
    <row r="51">
      <c r="A51" s="11">
        <v>45539.0</v>
      </c>
      <c r="B51" s="9" t="s">
        <v>1666</v>
      </c>
      <c r="C51" s="9" t="s">
        <v>5</v>
      </c>
    </row>
    <row r="52">
      <c r="A52" s="11">
        <v>45539.0</v>
      </c>
      <c r="B52" s="9" t="s">
        <v>1667</v>
      </c>
      <c r="C52" s="9" t="s">
        <v>5</v>
      </c>
    </row>
    <row r="53">
      <c r="A53" s="11">
        <v>45540.0</v>
      </c>
      <c r="B53" s="9" t="s">
        <v>1668</v>
      </c>
      <c r="C53" s="9" t="s">
        <v>5</v>
      </c>
    </row>
    <row r="54">
      <c r="A54" s="11">
        <v>45540.0</v>
      </c>
      <c r="B54" s="9" t="s">
        <v>1669</v>
      </c>
      <c r="C54" s="9" t="s">
        <v>5</v>
      </c>
    </row>
    <row r="55">
      <c r="A55" s="11">
        <v>45541.0</v>
      </c>
      <c r="B55" s="9" t="s">
        <v>1670</v>
      </c>
      <c r="C55" s="9" t="s">
        <v>5</v>
      </c>
    </row>
    <row r="56">
      <c r="A56" s="11">
        <v>45541.0</v>
      </c>
      <c r="B56" s="9" t="s">
        <v>1671</v>
      </c>
      <c r="C56" s="9" t="s">
        <v>5</v>
      </c>
    </row>
    <row r="57">
      <c r="A57" s="11">
        <v>45541.0</v>
      </c>
      <c r="B57" s="9" t="s">
        <v>1672</v>
      </c>
      <c r="C57" s="9" t="s">
        <v>5</v>
      </c>
    </row>
    <row r="58">
      <c r="A58" s="11">
        <v>45542.0</v>
      </c>
      <c r="B58" s="9" t="s">
        <v>1673</v>
      </c>
      <c r="C58" s="9" t="s">
        <v>5</v>
      </c>
    </row>
    <row r="59">
      <c r="A59" s="11">
        <v>45542.0</v>
      </c>
      <c r="B59" s="9" t="s">
        <v>1674</v>
      </c>
      <c r="C59" s="9" t="s">
        <v>5</v>
      </c>
    </row>
    <row r="60">
      <c r="A60" s="11">
        <v>45542.0</v>
      </c>
      <c r="B60" s="9" t="s">
        <v>1675</v>
      </c>
      <c r="C60" s="9" t="s">
        <v>5</v>
      </c>
    </row>
    <row r="61">
      <c r="A61" s="11">
        <v>45542.0</v>
      </c>
      <c r="B61" s="9" t="s">
        <v>1676</v>
      </c>
      <c r="C61" s="9" t="s">
        <v>5</v>
      </c>
    </row>
    <row r="62">
      <c r="A62" s="11">
        <v>45543.0</v>
      </c>
      <c r="B62" s="9" t="s">
        <v>1677</v>
      </c>
      <c r="C62" s="9" t="s">
        <v>5</v>
      </c>
    </row>
    <row r="63">
      <c r="A63" s="11">
        <v>45543.0</v>
      </c>
      <c r="B63" s="9" t="s">
        <v>1678</v>
      </c>
      <c r="C63" s="9" t="s">
        <v>5</v>
      </c>
    </row>
    <row r="64">
      <c r="A64" s="11">
        <v>45543.0</v>
      </c>
      <c r="B64" s="9" t="s">
        <v>1679</v>
      </c>
      <c r="C64" s="9" t="s">
        <v>5</v>
      </c>
    </row>
    <row r="65">
      <c r="A65" s="11">
        <v>45544.0</v>
      </c>
      <c r="B65" s="9" t="s">
        <v>1680</v>
      </c>
      <c r="C65" s="9" t="s">
        <v>5</v>
      </c>
    </row>
    <row r="66">
      <c r="A66" s="11">
        <v>45544.0</v>
      </c>
      <c r="B66" s="9" t="s">
        <v>1681</v>
      </c>
      <c r="C66" s="9" t="s">
        <v>5</v>
      </c>
    </row>
    <row r="67">
      <c r="A67" s="11">
        <v>45544.0</v>
      </c>
      <c r="B67" s="9" t="s">
        <v>1682</v>
      </c>
      <c r="C67" s="9" t="s">
        <v>5</v>
      </c>
    </row>
    <row r="68">
      <c r="A68" s="11">
        <v>45544.0</v>
      </c>
      <c r="B68" s="9" t="s">
        <v>1683</v>
      </c>
      <c r="C68" s="9" t="s">
        <v>5</v>
      </c>
    </row>
    <row r="69">
      <c r="A69" s="11">
        <v>45544.0</v>
      </c>
      <c r="B69" s="9" t="s">
        <v>1684</v>
      </c>
      <c r="C69" s="9" t="s">
        <v>5</v>
      </c>
    </row>
    <row r="70">
      <c r="A70" s="11">
        <v>45544.0</v>
      </c>
      <c r="B70" s="9" t="s">
        <v>1685</v>
      </c>
      <c r="C70" s="9" t="s">
        <v>5</v>
      </c>
    </row>
    <row r="71">
      <c r="A71" s="11">
        <v>45544.0</v>
      </c>
      <c r="B71" s="9" t="s">
        <v>1686</v>
      </c>
      <c r="C71" s="9" t="s">
        <v>5</v>
      </c>
    </row>
    <row r="72">
      <c r="A72" s="11">
        <v>45545.0</v>
      </c>
      <c r="B72" s="9" t="s">
        <v>1687</v>
      </c>
      <c r="C72" s="9" t="s">
        <v>5</v>
      </c>
    </row>
    <row r="73">
      <c r="A73" s="11">
        <v>45545.0</v>
      </c>
      <c r="B73" s="9" t="s">
        <v>1688</v>
      </c>
      <c r="C73" s="9" t="s">
        <v>5</v>
      </c>
    </row>
    <row r="74">
      <c r="A74" s="11">
        <v>45546.0</v>
      </c>
      <c r="B74" s="9" t="s">
        <v>1689</v>
      </c>
      <c r="C74" s="9" t="s">
        <v>5</v>
      </c>
    </row>
    <row r="75">
      <c r="A75" s="11">
        <v>45547.0</v>
      </c>
      <c r="B75" s="9" t="s">
        <v>1690</v>
      </c>
      <c r="C75" s="9" t="s">
        <v>5</v>
      </c>
    </row>
    <row r="76">
      <c r="A76" s="11">
        <v>45547.0</v>
      </c>
      <c r="B76" s="9" t="s">
        <v>442</v>
      </c>
      <c r="C76" s="9" t="s">
        <v>5</v>
      </c>
    </row>
    <row r="77">
      <c r="A77" s="11">
        <v>45547.0</v>
      </c>
      <c r="B77" s="9" t="s">
        <v>1691</v>
      </c>
      <c r="C77" s="9" t="s">
        <v>5</v>
      </c>
    </row>
    <row r="78">
      <c r="A78" s="11">
        <v>45547.0</v>
      </c>
      <c r="B78" s="9" t="s">
        <v>1692</v>
      </c>
      <c r="C78" s="9" t="s">
        <v>5</v>
      </c>
    </row>
    <row r="79">
      <c r="A79" s="11">
        <v>45547.0</v>
      </c>
      <c r="B79" s="9" t="s">
        <v>1693</v>
      </c>
      <c r="C79" s="9" t="s">
        <v>5</v>
      </c>
    </row>
    <row r="80">
      <c r="A80" s="11">
        <v>45548.0</v>
      </c>
      <c r="B80" s="9" t="s">
        <v>1694</v>
      </c>
      <c r="C80" s="9" t="s">
        <v>5</v>
      </c>
    </row>
    <row r="81">
      <c r="A81" s="11">
        <v>45548.0</v>
      </c>
      <c r="B81" s="9" t="s">
        <v>1695</v>
      </c>
      <c r="C81" s="9" t="s">
        <v>5</v>
      </c>
    </row>
    <row r="82">
      <c r="A82" s="11">
        <v>45548.0</v>
      </c>
      <c r="B82" s="9" t="s">
        <v>1696</v>
      </c>
      <c r="C82" s="9" t="s">
        <v>5</v>
      </c>
    </row>
    <row r="83">
      <c r="A83" s="11">
        <v>45548.0</v>
      </c>
      <c r="B83" s="9" t="s">
        <v>1697</v>
      </c>
      <c r="C83" s="9" t="s">
        <v>5</v>
      </c>
    </row>
    <row r="84">
      <c r="A84" s="11">
        <v>45548.0</v>
      </c>
      <c r="B84" s="9" t="s">
        <v>1698</v>
      </c>
      <c r="C84" s="9" t="s">
        <v>5</v>
      </c>
    </row>
    <row r="85">
      <c r="A85" s="11">
        <v>45549.0</v>
      </c>
      <c r="B85" s="9" t="s">
        <v>1699</v>
      </c>
      <c r="C85" s="9" t="s">
        <v>5</v>
      </c>
    </row>
    <row r="86">
      <c r="A86" s="11">
        <v>45549.0</v>
      </c>
      <c r="B86" s="9" t="s">
        <v>1700</v>
      </c>
      <c r="C86" s="9" t="s">
        <v>5</v>
      </c>
    </row>
    <row r="87">
      <c r="A87" s="11">
        <v>45551.0</v>
      </c>
      <c r="B87" s="9" t="s">
        <v>1701</v>
      </c>
      <c r="C87" s="9" t="s">
        <v>5</v>
      </c>
    </row>
    <row r="88">
      <c r="A88" s="11">
        <v>45551.0</v>
      </c>
      <c r="B88" s="9" t="s">
        <v>1702</v>
      </c>
      <c r="C88" s="9" t="s">
        <v>5</v>
      </c>
    </row>
    <row r="89">
      <c r="A89" s="11">
        <v>45551.0</v>
      </c>
      <c r="B89" s="9" t="s">
        <v>1703</v>
      </c>
      <c r="C89" s="9" t="s">
        <v>5</v>
      </c>
    </row>
    <row r="90">
      <c r="A90" s="11">
        <v>45552.0</v>
      </c>
      <c r="B90" s="9" t="s">
        <v>1704</v>
      </c>
      <c r="C90" s="9" t="s">
        <v>5</v>
      </c>
    </row>
    <row r="91">
      <c r="A91" s="11">
        <v>45552.0</v>
      </c>
      <c r="B91" s="9" t="s">
        <v>1705</v>
      </c>
      <c r="C91" s="9" t="s">
        <v>5</v>
      </c>
    </row>
    <row r="92">
      <c r="A92" s="11">
        <v>45552.0</v>
      </c>
      <c r="B92" s="9" t="s">
        <v>1706</v>
      </c>
      <c r="C92" s="9" t="s">
        <v>5</v>
      </c>
    </row>
    <row r="93">
      <c r="A93" s="11">
        <v>45552.0</v>
      </c>
      <c r="B93" s="9" t="s">
        <v>1707</v>
      </c>
      <c r="C93" s="9" t="s">
        <v>5</v>
      </c>
    </row>
    <row r="94">
      <c r="A94" s="11">
        <v>45552.0</v>
      </c>
      <c r="B94" s="9" t="s">
        <v>1708</v>
      </c>
      <c r="C94" s="9" t="s">
        <v>5</v>
      </c>
    </row>
    <row r="95">
      <c r="A95" s="11">
        <v>45553.0</v>
      </c>
      <c r="B95" s="9" t="s">
        <v>1709</v>
      </c>
      <c r="C95" s="9" t="s">
        <v>5</v>
      </c>
    </row>
    <row r="96">
      <c r="A96" s="11">
        <v>45553.0</v>
      </c>
      <c r="B96" s="9" t="s">
        <v>1710</v>
      </c>
      <c r="C96" s="9" t="s">
        <v>5</v>
      </c>
    </row>
    <row r="97">
      <c r="A97" s="11">
        <v>45554.0</v>
      </c>
      <c r="B97" s="9" t="s">
        <v>1711</v>
      </c>
      <c r="C97" s="9" t="s">
        <v>5</v>
      </c>
    </row>
    <row r="98">
      <c r="A98" s="11">
        <v>45554.0</v>
      </c>
      <c r="B98" s="9" t="s">
        <v>1712</v>
      </c>
      <c r="C98" s="9" t="s">
        <v>5</v>
      </c>
    </row>
    <row r="99">
      <c r="A99" s="11">
        <v>45554.0</v>
      </c>
      <c r="B99" s="9" t="s">
        <v>1713</v>
      </c>
      <c r="C99" s="9" t="s">
        <v>5</v>
      </c>
    </row>
    <row r="100">
      <c r="A100" s="11">
        <v>45554.0</v>
      </c>
      <c r="B100" s="9" t="s">
        <v>1714</v>
      </c>
      <c r="C100" s="9" t="s">
        <v>5</v>
      </c>
    </row>
    <row r="101">
      <c r="A101" s="11">
        <v>45555.0</v>
      </c>
      <c r="B101" s="9" t="s">
        <v>1715</v>
      </c>
      <c r="C101" s="9" t="s">
        <v>5</v>
      </c>
    </row>
    <row r="102">
      <c r="A102" s="11">
        <v>45555.0</v>
      </c>
      <c r="B102" s="9" t="s">
        <v>1716</v>
      </c>
      <c r="C102" s="9" t="s">
        <v>5</v>
      </c>
    </row>
    <row r="103">
      <c r="A103" s="11">
        <v>45555.0</v>
      </c>
      <c r="B103" s="9" t="s">
        <v>1717</v>
      </c>
      <c r="C103" s="9" t="s">
        <v>5</v>
      </c>
    </row>
    <row r="104">
      <c r="A104" s="11">
        <v>45555.0</v>
      </c>
      <c r="B104" s="9" t="s">
        <v>1718</v>
      </c>
      <c r="C104" s="9" t="s">
        <v>5</v>
      </c>
    </row>
    <row r="105">
      <c r="A105" s="11">
        <v>45555.0</v>
      </c>
      <c r="B105" s="13" t="s">
        <v>1719</v>
      </c>
      <c r="C105" s="9" t="s">
        <v>5</v>
      </c>
    </row>
    <row r="106">
      <c r="A106" s="11">
        <v>45555.0</v>
      </c>
      <c r="B106" s="9" t="s">
        <v>1720</v>
      </c>
      <c r="C106" s="9" t="s">
        <v>5</v>
      </c>
    </row>
    <row r="107">
      <c r="A107" s="11">
        <v>45555.0</v>
      </c>
      <c r="B107" s="9" t="s">
        <v>1721</v>
      </c>
      <c r="C107" s="9" t="s">
        <v>5</v>
      </c>
    </row>
    <row r="108">
      <c r="A108" s="11">
        <v>45555.0</v>
      </c>
      <c r="B108" s="13" t="s">
        <v>1722</v>
      </c>
      <c r="C108" s="9" t="s">
        <v>5</v>
      </c>
    </row>
    <row r="109">
      <c r="A109" s="11">
        <v>45555.0</v>
      </c>
      <c r="B109" s="13" t="s">
        <v>1723</v>
      </c>
      <c r="C109" s="9" t="s">
        <v>5</v>
      </c>
    </row>
    <row r="110">
      <c r="A110" s="11">
        <v>45555.0</v>
      </c>
      <c r="B110" s="13" t="s">
        <v>1724</v>
      </c>
      <c r="C110" s="9" t="s">
        <v>5</v>
      </c>
    </row>
    <row r="111">
      <c r="A111" s="11">
        <v>45555.0</v>
      </c>
      <c r="B111" s="9" t="s">
        <v>1725</v>
      </c>
      <c r="C111" s="9" t="s">
        <v>5</v>
      </c>
    </row>
    <row r="112">
      <c r="A112" s="11">
        <v>45555.0</v>
      </c>
      <c r="B112" s="9" t="s">
        <v>1726</v>
      </c>
      <c r="C112" s="9" t="s">
        <v>5</v>
      </c>
    </row>
    <row r="113">
      <c r="A113" s="11">
        <v>45555.0</v>
      </c>
      <c r="B113" s="9" t="s">
        <v>1727</v>
      </c>
      <c r="C113" s="9" t="s">
        <v>5</v>
      </c>
    </row>
    <row r="114">
      <c r="A114" s="11">
        <v>45555.0</v>
      </c>
      <c r="B114" s="9" t="s">
        <v>1728</v>
      </c>
      <c r="C114" s="9" t="s">
        <v>5</v>
      </c>
    </row>
    <row r="115">
      <c r="A115" s="11">
        <v>45555.0</v>
      </c>
      <c r="B115" s="13" t="s">
        <v>1729</v>
      </c>
      <c r="C115" s="9" t="s">
        <v>5</v>
      </c>
    </row>
    <row r="116">
      <c r="A116" s="11">
        <v>45555.0</v>
      </c>
      <c r="B116" s="9" t="s">
        <v>1730</v>
      </c>
      <c r="C116" s="9" t="s">
        <v>5</v>
      </c>
    </row>
    <row r="117">
      <c r="A117" s="11">
        <v>45555.0</v>
      </c>
      <c r="B117" s="9" t="s">
        <v>1731</v>
      </c>
      <c r="C117" s="9" t="s">
        <v>5</v>
      </c>
    </row>
    <row r="118">
      <c r="A118" s="11">
        <v>45555.0</v>
      </c>
      <c r="B118" s="9" t="s">
        <v>1732</v>
      </c>
      <c r="C118" s="9" t="s">
        <v>5</v>
      </c>
    </row>
    <row r="119">
      <c r="A119" s="11">
        <v>45555.0</v>
      </c>
      <c r="B119" s="13" t="s">
        <v>1733</v>
      </c>
      <c r="C119" s="9" t="s">
        <v>5</v>
      </c>
    </row>
    <row r="120">
      <c r="A120" s="11">
        <v>45555.0</v>
      </c>
      <c r="B120" s="36" t="s">
        <v>1734</v>
      </c>
      <c r="C120" s="9" t="s">
        <v>5</v>
      </c>
    </row>
    <row r="121">
      <c r="A121" s="11">
        <v>45555.0</v>
      </c>
      <c r="B121" s="9" t="s">
        <v>1735</v>
      </c>
      <c r="C121" s="9" t="s">
        <v>5</v>
      </c>
    </row>
    <row r="122">
      <c r="A122" s="11">
        <v>45555.0</v>
      </c>
      <c r="B122" s="9" t="s">
        <v>1736</v>
      </c>
      <c r="C122" s="9" t="s">
        <v>5</v>
      </c>
    </row>
    <row r="123">
      <c r="A123" s="11">
        <v>45555.0</v>
      </c>
      <c r="B123" s="13" t="s">
        <v>1737</v>
      </c>
      <c r="C123" s="9" t="s">
        <v>5</v>
      </c>
    </row>
    <row r="124">
      <c r="A124" s="11">
        <v>45555.0</v>
      </c>
      <c r="B124" s="13" t="s">
        <v>1738</v>
      </c>
      <c r="C124" s="9" t="s">
        <v>5</v>
      </c>
    </row>
    <row r="125">
      <c r="A125" s="11">
        <v>45555.0</v>
      </c>
      <c r="B125" s="9" t="s">
        <v>1739</v>
      </c>
      <c r="C125" s="9" t="s">
        <v>5</v>
      </c>
    </row>
    <row r="126">
      <c r="A126" s="11">
        <v>45555.0</v>
      </c>
      <c r="B126" s="9" t="s">
        <v>1740</v>
      </c>
      <c r="C126" s="9" t="s">
        <v>5</v>
      </c>
    </row>
    <row r="127">
      <c r="A127" s="11">
        <v>45555.0</v>
      </c>
      <c r="B127" s="13" t="s">
        <v>1741</v>
      </c>
      <c r="C127" s="9" t="s">
        <v>5</v>
      </c>
    </row>
    <row r="128">
      <c r="A128" s="11">
        <v>45555.0</v>
      </c>
      <c r="B128" s="9" t="s">
        <v>1742</v>
      </c>
      <c r="C128" s="9" t="s">
        <v>5</v>
      </c>
    </row>
    <row r="129">
      <c r="A129" s="11">
        <v>45555.0</v>
      </c>
      <c r="B129" s="13" t="s">
        <v>1743</v>
      </c>
      <c r="C129" s="9" t="s">
        <v>5</v>
      </c>
    </row>
    <row r="130">
      <c r="A130" s="11">
        <v>45555.0</v>
      </c>
      <c r="B130" s="9" t="s">
        <v>1744</v>
      </c>
      <c r="C130" s="9" t="s">
        <v>5</v>
      </c>
    </row>
    <row r="131">
      <c r="A131" s="11">
        <v>45555.0</v>
      </c>
      <c r="B131" s="13" t="s">
        <v>1745</v>
      </c>
      <c r="C131" s="9" t="s">
        <v>5</v>
      </c>
    </row>
    <row r="132">
      <c r="A132" s="11">
        <v>45555.0</v>
      </c>
      <c r="B132" s="13" t="s">
        <v>1746</v>
      </c>
      <c r="C132" s="9" t="s">
        <v>5</v>
      </c>
    </row>
    <row r="133">
      <c r="A133" s="11">
        <v>45555.0</v>
      </c>
      <c r="B133" s="9" t="s">
        <v>1747</v>
      </c>
      <c r="C133" s="9" t="s">
        <v>5</v>
      </c>
    </row>
    <row r="134">
      <c r="A134" s="11">
        <v>45556.0</v>
      </c>
      <c r="B134" s="13" t="s">
        <v>1748</v>
      </c>
      <c r="C134" s="9" t="s">
        <v>5</v>
      </c>
    </row>
    <row r="135">
      <c r="A135" s="11">
        <v>45556.0</v>
      </c>
      <c r="B135" s="9" t="s">
        <v>1749</v>
      </c>
      <c r="C135" s="9" t="s">
        <v>5</v>
      </c>
    </row>
    <row r="136">
      <c r="A136" s="11">
        <v>45556.0</v>
      </c>
      <c r="B136" s="9" t="s">
        <v>1750</v>
      </c>
      <c r="C136" s="9" t="s">
        <v>5</v>
      </c>
    </row>
    <row r="137">
      <c r="A137" s="11">
        <v>45556.0</v>
      </c>
      <c r="B137" s="9" t="s">
        <v>1751</v>
      </c>
      <c r="C137" s="9" t="s">
        <v>5</v>
      </c>
    </row>
    <row r="138">
      <c r="A138" s="11">
        <v>45558.0</v>
      </c>
      <c r="B138" s="9" t="s">
        <v>1752</v>
      </c>
      <c r="C138" s="9" t="s">
        <v>5</v>
      </c>
    </row>
    <row r="139">
      <c r="A139" s="11">
        <v>45558.0</v>
      </c>
      <c r="B139" s="9" t="s">
        <v>1753</v>
      </c>
      <c r="C139" s="9" t="s">
        <v>5</v>
      </c>
    </row>
    <row r="140">
      <c r="A140" s="11">
        <v>45558.0</v>
      </c>
      <c r="B140" s="9" t="s">
        <v>1754</v>
      </c>
      <c r="C140" s="9" t="s">
        <v>5</v>
      </c>
    </row>
    <row r="141">
      <c r="A141" s="11">
        <v>45558.0</v>
      </c>
      <c r="B141" s="9" t="s">
        <v>1755</v>
      </c>
      <c r="C141" s="9" t="s">
        <v>5</v>
      </c>
    </row>
    <row r="142">
      <c r="A142" s="11">
        <v>45558.0</v>
      </c>
      <c r="B142" s="9" t="s">
        <v>1756</v>
      </c>
      <c r="C142" s="9" t="s">
        <v>5</v>
      </c>
    </row>
    <row r="143">
      <c r="A143" s="11">
        <v>45559.0</v>
      </c>
      <c r="B143" s="9" t="s">
        <v>1757</v>
      </c>
      <c r="C143" s="9" t="s">
        <v>5</v>
      </c>
    </row>
    <row r="144">
      <c r="A144" s="11">
        <v>45559.0</v>
      </c>
      <c r="B144" s="9" t="s">
        <v>1758</v>
      </c>
      <c r="C144" s="9" t="s">
        <v>5</v>
      </c>
    </row>
    <row r="145">
      <c r="A145" s="11">
        <v>45559.0</v>
      </c>
      <c r="B145" s="9" t="s">
        <v>1759</v>
      </c>
      <c r="C145" s="9" t="s">
        <v>5</v>
      </c>
    </row>
    <row r="146">
      <c r="A146" s="11">
        <v>45559.0</v>
      </c>
      <c r="B146" s="9" t="s">
        <v>1760</v>
      </c>
      <c r="C146" s="9" t="s">
        <v>5</v>
      </c>
    </row>
    <row r="147">
      <c r="A147" s="11">
        <v>45560.0</v>
      </c>
      <c r="B147" s="9" t="s">
        <v>1761</v>
      </c>
      <c r="C147" s="9" t="s">
        <v>5</v>
      </c>
    </row>
    <row r="148">
      <c r="A148" s="11">
        <v>45560.0</v>
      </c>
      <c r="B148" s="9" t="s">
        <v>1762</v>
      </c>
      <c r="C148" s="9" t="s">
        <v>5</v>
      </c>
    </row>
    <row r="149">
      <c r="A149" s="11">
        <v>45560.0</v>
      </c>
      <c r="B149" s="9" t="s">
        <v>443</v>
      </c>
      <c r="C149" s="9" t="s">
        <v>5</v>
      </c>
    </row>
    <row r="150">
      <c r="A150" s="11">
        <v>45560.0</v>
      </c>
      <c r="B150" s="9" t="s">
        <v>1763</v>
      </c>
      <c r="C150" s="9" t="s">
        <v>5</v>
      </c>
    </row>
    <row r="151">
      <c r="A151" s="11">
        <v>45561.0</v>
      </c>
      <c r="B151" s="43" t="s">
        <v>1764</v>
      </c>
      <c r="C151" s="9" t="s">
        <v>5</v>
      </c>
    </row>
    <row r="152">
      <c r="A152" s="11">
        <v>45561.0</v>
      </c>
      <c r="B152" s="9" t="s">
        <v>1765</v>
      </c>
      <c r="C152" s="9" t="s">
        <v>5</v>
      </c>
    </row>
    <row r="153">
      <c r="A153" s="11">
        <v>45561.0</v>
      </c>
      <c r="B153" s="9" t="s">
        <v>1766</v>
      </c>
      <c r="C153" s="9" t="s">
        <v>5</v>
      </c>
    </row>
    <row r="154">
      <c r="A154" s="11">
        <v>45562.0</v>
      </c>
      <c r="B154" s="9" t="s">
        <v>1767</v>
      </c>
      <c r="C154" s="9" t="s">
        <v>5</v>
      </c>
    </row>
    <row r="155">
      <c r="A155" s="11">
        <v>45562.0</v>
      </c>
      <c r="B155" s="9" t="s">
        <v>1768</v>
      </c>
      <c r="C155" s="9" t="s">
        <v>5</v>
      </c>
    </row>
    <row r="156">
      <c r="A156" s="11">
        <v>45562.0</v>
      </c>
      <c r="B156" s="9" t="s">
        <v>1769</v>
      </c>
      <c r="C156" s="9" t="s">
        <v>5</v>
      </c>
    </row>
    <row r="157">
      <c r="A157" s="11">
        <v>45562.0</v>
      </c>
      <c r="B157" s="9" t="s">
        <v>1770</v>
      </c>
      <c r="C157" s="9" t="s">
        <v>5</v>
      </c>
    </row>
    <row r="158">
      <c r="A158" s="11">
        <v>45562.0</v>
      </c>
      <c r="B158" s="9" t="s">
        <v>1771</v>
      </c>
      <c r="C158" s="9" t="s">
        <v>5</v>
      </c>
    </row>
    <row r="159">
      <c r="A159" s="11">
        <v>45562.0</v>
      </c>
      <c r="B159" s="9" t="s">
        <v>1772</v>
      </c>
      <c r="C159" s="9" t="s">
        <v>5</v>
      </c>
    </row>
    <row r="160">
      <c r="A160" s="11">
        <v>45562.0</v>
      </c>
      <c r="B160" s="9" t="s">
        <v>1773</v>
      </c>
      <c r="C160" s="9" t="s">
        <v>5</v>
      </c>
    </row>
    <row r="161">
      <c r="A161" s="11">
        <v>45563.0</v>
      </c>
      <c r="B161" s="13" t="s">
        <v>1774</v>
      </c>
      <c r="C161" s="9" t="s">
        <v>5</v>
      </c>
    </row>
    <row r="162">
      <c r="A162" s="11">
        <v>45563.0</v>
      </c>
      <c r="B162" s="9" t="s">
        <v>1775</v>
      </c>
      <c r="C162" s="9" t="s">
        <v>5</v>
      </c>
    </row>
    <row r="163">
      <c r="A163" s="11">
        <v>45563.0</v>
      </c>
      <c r="B163" s="9" t="s">
        <v>1776</v>
      </c>
      <c r="C163" s="9" t="s">
        <v>5</v>
      </c>
    </row>
    <row r="164">
      <c r="A164" s="11">
        <v>45563.0</v>
      </c>
      <c r="B164" s="13" t="s">
        <v>1777</v>
      </c>
      <c r="C164" s="9" t="s">
        <v>5</v>
      </c>
    </row>
    <row r="165">
      <c r="A165" s="11">
        <v>45565.0</v>
      </c>
      <c r="B165" s="9" t="s">
        <v>1778</v>
      </c>
      <c r="C165" s="9" t="s">
        <v>5</v>
      </c>
    </row>
    <row r="166">
      <c r="A166" s="11">
        <v>45565.0</v>
      </c>
      <c r="B166" s="9" t="s">
        <v>1779</v>
      </c>
      <c r="C166" s="9" t="s">
        <v>5</v>
      </c>
    </row>
    <row r="167">
      <c r="A167" s="11">
        <v>45565.0</v>
      </c>
      <c r="B167" s="9" t="s">
        <v>1780</v>
      </c>
      <c r="C167" s="9" t="s">
        <v>5</v>
      </c>
    </row>
    <row r="168">
      <c r="A168" s="11">
        <v>45565.0</v>
      </c>
      <c r="B168" s="9" t="s">
        <v>1781</v>
      </c>
      <c r="C168" s="9" t="s">
        <v>5</v>
      </c>
    </row>
    <row r="169">
      <c r="A169" s="11">
        <v>45565.0</v>
      </c>
      <c r="B169" s="9" t="s">
        <v>1782</v>
      </c>
      <c r="C169" s="9" t="s">
        <v>5</v>
      </c>
    </row>
    <row r="170">
      <c r="A170" s="11">
        <v>45565.0</v>
      </c>
      <c r="B170" s="13" t="s">
        <v>1783</v>
      </c>
      <c r="C170" s="9" t="s">
        <v>5</v>
      </c>
    </row>
    <row r="171">
      <c r="A171" s="11">
        <v>45565.0</v>
      </c>
      <c r="B171" s="9" t="s">
        <v>1784</v>
      </c>
      <c r="C171" s="9" t="s">
        <v>5</v>
      </c>
    </row>
    <row r="172">
      <c r="A172" s="11">
        <v>45566.0</v>
      </c>
      <c r="B172" s="13" t="s">
        <v>1785</v>
      </c>
      <c r="C172" s="9" t="s">
        <v>5</v>
      </c>
    </row>
    <row r="173">
      <c r="A173" s="11">
        <v>45566.0</v>
      </c>
      <c r="B173" s="13" t="s">
        <v>1786</v>
      </c>
      <c r="C173" s="9" t="s">
        <v>5</v>
      </c>
    </row>
    <row r="174">
      <c r="A174" s="11">
        <v>45566.0</v>
      </c>
      <c r="B174" s="9" t="s">
        <v>1787</v>
      </c>
      <c r="C174" s="9" t="s">
        <v>5</v>
      </c>
    </row>
    <row r="175">
      <c r="A175" s="11">
        <v>45566.0</v>
      </c>
      <c r="B175" s="9" t="s">
        <v>1788</v>
      </c>
      <c r="C175" s="9" t="s">
        <v>5</v>
      </c>
    </row>
    <row r="176">
      <c r="A176" s="11">
        <v>45566.0</v>
      </c>
      <c r="B176" s="9" t="s">
        <v>1789</v>
      </c>
      <c r="C176" s="9" t="s">
        <v>5</v>
      </c>
    </row>
    <row r="177">
      <c r="A177" s="11">
        <v>45568.0</v>
      </c>
      <c r="B177" s="9" t="s">
        <v>1790</v>
      </c>
      <c r="C177" s="9" t="s">
        <v>5</v>
      </c>
    </row>
    <row r="178">
      <c r="A178" s="11">
        <v>45568.0</v>
      </c>
      <c r="B178" s="9" t="s">
        <v>1791</v>
      </c>
      <c r="C178" s="9" t="s">
        <v>5</v>
      </c>
    </row>
    <row r="179">
      <c r="A179" s="11">
        <v>45568.0</v>
      </c>
      <c r="B179" s="9" t="s">
        <v>1792</v>
      </c>
      <c r="C179" s="9" t="s">
        <v>5</v>
      </c>
    </row>
    <row r="180">
      <c r="A180" s="11">
        <v>45568.0</v>
      </c>
      <c r="B180" s="9" t="s">
        <v>1793</v>
      </c>
      <c r="C180" s="9" t="s">
        <v>5</v>
      </c>
    </row>
    <row r="181">
      <c r="A181" s="11">
        <v>45568.0</v>
      </c>
      <c r="B181" s="9" t="s">
        <v>1794</v>
      </c>
      <c r="C181" s="9" t="s">
        <v>5</v>
      </c>
    </row>
    <row r="182">
      <c r="A182" s="11">
        <v>45568.0</v>
      </c>
      <c r="B182" s="9" t="s">
        <v>1795</v>
      </c>
      <c r="C182" s="9" t="s">
        <v>5</v>
      </c>
    </row>
    <row r="183">
      <c r="A183" s="11">
        <v>45568.0</v>
      </c>
      <c r="B183" s="9" t="s">
        <v>1796</v>
      </c>
      <c r="C183" s="9" t="s">
        <v>5</v>
      </c>
    </row>
    <row r="184">
      <c r="A184" s="11">
        <v>45568.0</v>
      </c>
      <c r="B184" s="9" t="s">
        <v>1797</v>
      </c>
      <c r="C184" s="9" t="s">
        <v>5</v>
      </c>
    </row>
    <row r="185">
      <c r="A185" s="11">
        <v>45568.0</v>
      </c>
      <c r="B185" s="9" t="s">
        <v>1798</v>
      </c>
      <c r="C185" s="9" t="s">
        <v>5</v>
      </c>
    </row>
    <row r="186">
      <c r="A186" s="11">
        <v>45568.0</v>
      </c>
      <c r="B186" s="9" t="s">
        <v>1799</v>
      </c>
      <c r="C186" s="9" t="s">
        <v>5</v>
      </c>
    </row>
    <row r="187">
      <c r="A187" s="11">
        <v>45568.0</v>
      </c>
      <c r="B187" s="9" t="s">
        <v>1800</v>
      </c>
      <c r="C187" s="9" t="s">
        <v>5</v>
      </c>
    </row>
    <row r="188">
      <c r="A188" s="11">
        <v>45568.0</v>
      </c>
      <c r="B188" s="9" t="s">
        <v>1801</v>
      </c>
      <c r="C188" s="9" t="s">
        <v>5</v>
      </c>
    </row>
    <row r="189">
      <c r="A189" s="11">
        <v>45568.0</v>
      </c>
      <c r="B189" s="9" t="s">
        <v>1802</v>
      </c>
      <c r="C189" s="9" t="s">
        <v>5</v>
      </c>
    </row>
    <row r="190">
      <c r="A190" s="11">
        <v>45568.0</v>
      </c>
      <c r="B190" s="9" t="s">
        <v>1803</v>
      </c>
      <c r="C190" s="9" t="s">
        <v>5</v>
      </c>
    </row>
    <row r="191">
      <c r="A191" s="11">
        <v>45568.0</v>
      </c>
      <c r="B191" s="9" t="s">
        <v>1804</v>
      </c>
      <c r="C191" s="9" t="s">
        <v>5</v>
      </c>
    </row>
    <row r="192">
      <c r="A192" s="11">
        <v>45568.0</v>
      </c>
      <c r="B192" s="9" t="s">
        <v>1805</v>
      </c>
      <c r="C192" s="9" t="s">
        <v>5</v>
      </c>
    </row>
    <row r="193">
      <c r="A193" s="11">
        <v>45568.0</v>
      </c>
      <c r="B193" s="9" t="s">
        <v>1806</v>
      </c>
      <c r="C193" s="9" t="s">
        <v>5</v>
      </c>
    </row>
    <row r="194">
      <c r="A194" s="11">
        <v>45569.0</v>
      </c>
      <c r="B194" s="9" t="s">
        <v>1807</v>
      </c>
      <c r="C194" s="9" t="s">
        <v>5</v>
      </c>
    </row>
    <row r="195">
      <c r="A195" s="11">
        <v>45572.0</v>
      </c>
      <c r="B195" s="9" t="s">
        <v>1808</v>
      </c>
      <c r="C195" s="9" t="s">
        <v>5</v>
      </c>
    </row>
    <row r="196">
      <c r="A196" s="11">
        <v>45572.0</v>
      </c>
      <c r="B196" s="9" t="s">
        <v>1809</v>
      </c>
      <c r="C196" s="9" t="s">
        <v>5</v>
      </c>
    </row>
    <row r="197">
      <c r="A197" s="11">
        <v>45572.0</v>
      </c>
      <c r="B197" s="9" t="s">
        <v>1810</v>
      </c>
      <c r="C197" s="9" t="s">
        <v>5</v>
      </c>
    </row>
    <row r="198">
      <c r="A198" s="11">
        <v>45572.0</v>
      </c>
      <c r="B198" s="9" t="s">
        <v>1811</v>
      </c>
      <c r="C198" s="9" t="s">
        <v>5</v>
      </c>
    </row>
    <row r="199">
      <c r="A199" s="11">
        <v>45572.0</v>
      </c>
      <c r="B199" s="9" t="s">
        <v>1812</v>
      </c>
      <c r="C199" s="9" t="s">
        <v>5</v>
      </c>
    </row>
    <row r="200">
      <c r="A200" s="11">
        <v>45572.0</v>
      </c>
      <c r="B200" s="9" t="s">
        <v>1813</v>
      </c>
      <c r="C200" s="9" t="s">
        <v>5</v>
      </c>
    </row>
    <row r="201">
      <c r="A201" s="11">
        <v>45572.0</v>
      </c>
      <c r="B201" s="9" t="s">
        <v>1814</v>
      </c>
      <c r="C201" s="9" t="s">
        <v>5</v>
      </c>
    </row>
    <row r="202">
      <c r="A202" s="11">
        <v>45572.0</v>
      </c>
      <c r="B202" s="13" t="s">
        <v>1815</v>
      </c>
      <c r="C202" s="9" t="s">
        <v>5</v>
      </c>
    </row>
    <row r="203">
      <c r="A203" s="11">
        <v>45572.0</v>
      </c>
      <c r="B203" s="9" t="s">
        <v>1816</v>
      </c>
      <c r="C203" s="9" t="s">
        <v>5</v>
      </c>
    </row>
    <row r="204">
      <c r="A204" s="11">
        <v>45572.0</v>
      </c>
      <c r="B204" s="9" t="s">
        <v>1817</v>
      </c>
      <c r="C204" s="9" t="s">
        <v>5</v>
      </c>
    </row>
    <row r="205">
      <c r="A205" s="11">
        <v>45572.0</v>
      </c>
      <c r="B205" s="9" t="s">
        <v>1818</v>
      </c>
      <c r="C205" s="9" t="s">
        <v>5</v>
      </c>
    </row>
    <row r="206">
      <c r="A206" s="11">
        <v>45572.0</v>
      </c>
      <c r="B206" s="9" t="s">
        <v>1819</v>
      </c>
      <c r="C206" s="9" t="s">
        <v>5</v>
      </c>
    </row>
    <row r="207">
      <c r="A207" s="11">
        <v>45572.0</v>
      </c>
      <c r="B207" s="9" t="s">
        <v>1820</v>
      </c>
      <c r="C207" s="9" t="s">
        <v>5</v>
      </c>
    </row>
    <row r="208">
      <c r="A208" s="11">
        <v>45572.0</v>
      </c>
      <c r="B208" s="9" t="s">
        <v>1821</v>
      </c>
      <c r="C208" s="9" t="s">
        <v>5</v>
      </c>
    </row>
    <row r="209">
      <c r="A209" s="11">
        <v>45572.0</v>
      </c>
      <c r="B209" s="9" t="s">
        <v>1822</v>
      </c>
      <c r="C209" s="9" t="s">
        <v>5</v>
      </c>
    </row>
    <row r="210">
      <c r="A210" s="11">
        <v>45572.0</v>
      </c>
      <c r="B210" s="9" t="s">
        <v>1823</v>
      </c>
      <c r="C210" s="9" t="s">
        <v>5</v>
      </c>
    </row>
    <row r="211">
      <c r="A211" s="11">
        <v>45572.0</v>
      </c>
      <c r="B211" s="9" t="s">
        <v>1824</v>
      </c>
      <c r="C211" s="9" t="s">
        <v>5</v>
      </c>
    </row>
    <row r="212">
      <c r="A212" s="11">
        <v>45572.0</v>
      </c>
      <c r="B212" s="9" t="s">
        <v>1825</v>
      </c>
      <c r="C212" s="9" t="s">
        <v>5</v>
      </c>
    </row>
    <row r="213">
      <c r="A213" s="11">
        <v>45572.0</v>
      </c>
      <c r="B213" s="9" t="s">
        <v>1826</v>
      </c>
      <c r="C213" s="9" t="s">
        <v>5</v>
      </c>
    </row>
    <row r="214">
      <c r="A214" s="11">
        <v>45572.0</v>
      </c>
      <c r="B214" s="9" t="s">
        <v>1827</v>
      </c>
      <c r="C214" s="9" t="s">
        <v>5</v>
      </c>
    </row>
    <row r="215">
      <c r="A215" s="11">
        <v>45572.0</v>
      </c>
      <c r="B215" s="13" t="s">
        <v>1828</v>
      </c>
      <c r="C215" s="9" t="s">
        <v>5</v>
      </c>
    </row>
    <row r="216">
      <c r="A216" s="11">
        <v>45572.0</v>
      </c>
      <c r="B216" s="9" t="s">
        <v>1829</v>
      </c>
      <c r="C216" s="9" t="s">
        <v>5</v>
      </c>
    </row>
    <row r="217">
      <c r="A217" s="11">
        <v>45572.0</v>
      </c>
      <c r="B217" s="9" t="s">
        <v>1830</v>
      </c>
      <c r="C217" s="9" t="s">
        <v>5</v>
      </c>
    </row>
    <row r="218">
      <c r="A218" s="11">
        <v>45572.0</v>
      </c>
      <c r="B218" s="13" t="s">
        <v>1831</v>
      </c>
      <c r="C218" s="9" t="s">
        <v>5</v>
      </c>
    </row>
    <row r="219">
      <c r="A219" s="11">
        <v>45572.0</v>
      </c>
      <c r="B219" s="9" t="s">
        <v>1832</v>
      </c>
      <c r="C219" s="9" t="s">
        <v>5</v>
      </c>
    </row>
    <row r="220">
      <c r="A220" s="11">
        <v>45572.0</v>
      </c>
      <c r="B220" s="9" t="s">
        <v>1833</v>
      </c>
      <c r="C220" s="9" t="s">
        <v>5</v>
      </c>
    </row>
    <row r="221">
      <c r="A221" s="11">
        <v>45572.0</v>
      </c>
      <c r="B221" s="9" t="s">
        <v>1834</v>
      </c>
      <c r="C221" s="9" t="s">
        <v>5</v>
      </c>
    </row>
    <row r="222">
      <c r="A222" s="11">
        <v>45573.0</v>
      </c>
      <c r="B222" s="9" t="s">
        <v>1835</v>
      </c>
      <c r="C222" s="9" t="s">
        <v>5</v>
      </c>
    </row>
    <row r="223">
      <c r="A223" s="11">
        <v>45573.0</v>
      </c>
      <c r="B223" s="9" t="s">
        <v>1836</v>
      </c>
      <c r="C223" s="9" t="s">
        <v>5</v>
      </c>
    </row>
    <row r="224">
      <c r="A224" s="11">
        <v>45573.0</v>
      </c>
      <c r="B224" s="13" t="s">
        <v>1837</v>
      </c>
      <c r="C224" s="9" t="s">
        <v>5</v>
      </c>
    </row>
    <row r="225">
      <c r="A225" s="11">
        <v>45573.0</v>
      </c>
      <c r="B225" s="9" t="s">
        <v>1838</v>
      </c>
      <c r="C225" s="9" t="s">
        <v>5</v>
      </c>
    </row>
    <row r="226">
      <c r="A226" s="11">
        <v>45573.0</v>
      </c>
      <c r="B226" s="9" t="s">
        <v>1839</v>
      </c>
      <c r="C226" s="9" t="s">
        <v>5</v>
      </c>
    </row>
    <row r="227">
      <c r="A227" s="11">
        <v>45573.0</v>
      </c>
      <c r="B227" s="13" t="s">
        <v>1840</v>
      </c>
      <c r="C227" s="9" t="s">
        <v>5</v>
      </c>
    </row>
    <row r="228">
      <c r="A228" s="11">
        <v>45574.0</v>
      </c>
      <c r="B228" s="9" t="s">
        <v>1841</v>
      </c>
      <c r="C228" s="9" t="s">
        <v>5</v>
      </c>
    </row>
    <row r="229">
      <c r="A229" s="11">
        <v>45574.0</v>
      </c>
      <c r="B229" s="9" t="s">
        <v>1842</v>
      </c>
      <c r="C229" s="9" t="s">
        <v>5</v>
      </c>
    </row>
    <row r="230">
      <c r="A230" s="11">
        <v>45574.0</v>
      </c>
      <c r="B230" s="9" t="s">
        <v>1843</v>
      </c>
      <c r="C230" s="9" t="s">
        <v>5</v>
      </c>
    </row>
    <row r="231">
      <c r="A231" s="11">
        <v>45574.0</v>
      </c>
      <c r="B231" s="9" t="s">
        <v>1844</v>
      </c>
      <c r="C231" s="9" t="s">
        <v>5</v>
      </c>
    </row>
    <row r="232">
      <c r="A232" s="11">
        <v>45574.0</v>
      </c>
      <c r="B232" s="9" t="s">
        <v>1845</v>
      </c>
      <c r="C232" s="9" t="s">
        <v>5</v>
      </c>
    </row>
    <row r="233">
      <c r="A233" s="11">
        <v>45574.0</v>
      </c>
      <c r="B233" s="9" t="s">
        <v>1846</v>
      </c>
      <c r="C233" s="9" t="s">
        <v>5</v>
      </c>
    </row>
    <row r="234">
      <c r="A234" s="11">
        <v>45575.0</v>
      </c>
      <c r="B234" s="9" t="s">
        <v>1847</v>
      </c>
      <c r="C234" s="9" t="s">
        <v>5</v>
      </c>
    </row>
    <row r="235">
      <c r="A235" s="11">
        <v>45575.0</v>
      </c>
      <c r="B235" s="9" t="s">
        <v>1848</v>
      </c>
      <c r="C235" s="9" t="s">
        <v>5</v>
      </c>
    </row>
    <row r="236">
      <c r="A236" s="11">
        <v>45575.0</v>
      </c>
      <c r="B236" s="9" t="s">
        <v>1849</v>
      </c>
      <c r="C236" s="9" t="s">
        <v>5</v>
      </c>
    </row>
    <row r="237">
      <c r="A237" s="11">
        <v>45575.0</v>
      </c>
      <c r="B237" s="9" t="s">
        <v>1850</v>
      </c>
      <c r="C237" s="9" t="s">
        <v>5</v>
      </c>
    </row>
    <row r="238">
      <c r="A238" s="11">
        <v>45576.0</v>
      </c>
      <c r="B238" s="9" t="s">
        <v>1851</v>
      </c>
      <c r="C238" s="9" t="s">
        <v>5</v>
      </c>
    </row>
    <row r="239">
      <c r="A239" s="11">
        <v>45576.0</v>
      </c>
      <c r="B239" s="9" t="s">
        <v>1852</v>
      </c>
      <c r="C239" s="9" t="s">
        <v>5</v>
      </c>
    </row>
    <row r="240">
      <c r="A240" s="11">
        <v>45576.0</v>
      </c>
      <c r="B240" s="9" t="s">
        <v>1853</v>
      </c>
      <c r="C240" s="9" t="s">
        <v>5</v>
      </c>
    </row>
    <row r="241">
      <c r="A241" s="11">
        <v>45576.0</v>
      </c>
      <c r="B241" s="13" t="s">
        <v>1854</v>
      </c>
      <c r="C241" s="9" t="s">
        <v>5</v>
      </c>
    </row>
    <row r="242">
      <c r="A242" s="11">
        <v>45576.0</v>
      </c>
      <c r="B242" s="9" t="s">
        <v>1855</v>
      </c>
      <c r="C242" s="9" t="s">
        <v>5</v>
      </c>
    </row>
    <row r="243">
      <c r="A243" s="11">
        <v>45576.0</v>
      </c>
      <c r="B243" s="9" t="s">
        <v>444</v>
      </c>
      <c r="C243" s="9" t="s">
        <v>5</v>
      </c>
    </row>
    <row r="244">
      <c r="A244" s="11">
        <v>45579.0</v>
      </c>
      <c r="B244" s="9" t="s">
        <v>1856</v>
      </c>
      <c r="C244" s="9" t="s">
        <v>5</v>
      </c>
    </row>
    <row r="245">
      <c r="A245" s="11">
        <v>45579.0</v>
      </c>
      <c r="B245" s="9" t="s">
        <v>1857</v>
      </c>
      <c r="C245" s="9" t="s">
        <v>5</v>
      </c>
    </row>
    <row r="246">
      <c r="A246" s="11">
        <v>45579.0</v>
      </c>
      <c r="B246" s="9" t="s">
        <v>1858</v>
      </c>
      <c r="C246" s="9" t="s">
        <v>5</v>
      </c>
    </row>
    <row r="247">
      <c r="A247" s="11">
        <v>45579.0</v>
      </c>
      <c r="B247" s="9" t="s">
        <v>1859</v>
      </c>
      <c r="C247" s="9" t="s">
        <v>5</v>
      </c>
    </row>
    <row r="248">
      <c r="A248" s="11">
        <v>45579.0</v>
      </c>
      <c r="B248" s="9" t="s">
        <v>1860</v>
      </c>
      <c r="C248" s="9" t="s">
        <v>5</v>
      </c>
    </row>
    <row r="249">
      <c r="A249" s="11">
        <v>45580.0</v>
      </c>
      <c r="B249" s="9" t="s">
        <v>1861</v>
      </c>
      <c r="C249" s="9" t="s">
        <v>5</v>
      </c>
    </row>
    <row r="250">
      <c r="A250" s="11">
        <v>45580.0</v>
      </c>
      <c r="B250" s="9" t="s">
        <v>1862</v>
      </c>
      <c r="C250" s="9" t="s">
        <v>5</v>
      </c>
    </row>
    <row r="251">
      <c r="A251" s="11">
        <v>45580.0</v>
      </c>
      <c r="B251" s="9" t="s">
        <v>445</v>
      </c>
      <c r="C251" s="9" t="s">
        <v>5</v>
      </c>
    </row>
    <row r="252">
      <c r="A252" s="11">
        <v>45580.0</v>
      </c>
      <c r="B252" s="13" t="s">
        <v>1863</v>
      </c>
      <c r="C252" s="9" t="s">
        <v>5</v>
      </c>
    </row>
    <row r="253">
      <c r="A253" s="11">
        <v>45582.0</v>
      </c>
      <c r="B253" s="9" t="s">
        <v>1864</v>
      </c>
      <c r="C253" s="9" t="s">
        <v>5</v>
      </c>
    </row>
    <row r="254">
      <c r="A254" s="11">
        <v>45582.0</v>
      </c>
      <c r="B254" s="9" t="s">
        <v>1865</v>
      </c>
      <c r="C254" s="9" t="s">
        <v>5</v>
      </c>
    </row>
    <row r="255">
      <c r="A255" s="11">
        <v>45582.0</v>
      </c>
      <c r="B255" s="9" t="s">
        <v>1866</v>
      </c>
      <c r="C255" s="9" t="s">
        <v>5</v>
      </c>
    </row>
    <row r="256">
      <c r="A256" s="11">
        <v>45582.0</v>
      </c>
      <c r="B256" s="13" t="s">
        <v>1867</v>
      </c>
      <c r="C256" s="9" t="s">
        <v>5</v>
      </c>
    </row>
    <row r="257">
      <c r="A257" s="11">
        <v>45582.0</v>
      </c>
      <c r="B257" s="9" t="s">
        <v>1868</v>
      </c>
      <c r="C257" s="9" t="s">
        <v>5</v>
      </c>
    </row>
    <row r="258">
      <c r="A258" s="11">
        <v>45582.0</v>
      </c>
      <c r="B258" s="9" t="s">
        <v>1869</v>
      </c>
      <c r="C258" s="9" t="s">
        <v>5</v>
      </c>
    </row>
    <row r="259">
      <c r="A259" s="11">
        <v>45582.0</v>
      </c>
      <c r="B259" s="9" t="s">
        <v>1870</v>
      </c>
      <c r="C259" s="9" t="s">
        <v>5</v>
      </c>
    </row>
    <row r="260">
      <c r="A260" s="11">
        <v>45582.0</v>
      </c>
      <c r="B260" s="13" t="s">
        <v>1871</v>
      </c>
      <c r="C260" s="9" t="s">
        <v>5</v>
      </c>
    </row>
    <row r="261">
      <c r="A261" s="11">
        <v>45582.0</v>
      </c>
      <c r="B261" s="9" t="s">
        <v>1872</v>
      </c>
      <c r="C261" s="9" t="s">
        <v>5</v>
      </c>
    </row>
    <row r="262">
      <c r="A262" s="11">
        <v>45582.0</v>
      </c>
      <c r="B262" s="13" t="s">
        <v>1873</v>
      </c>
      <c r="C262" s="9" t="s">
        <v>5</v>
      </c>
    </row>
    <row r="263">
      <c r="A263" s="11">
        <v>45582.0</v>
      </c>
      <c r="B263" s="9" t="s">
        <v>1874</v>
      </c>
      <c r="C263" s="9" t="s">
        <v>5</v>
      </c>
    </row>
    <row r="264">
      <c r="A264" s="11">
        <v>45582.0</v>
      </c>
      <c r="B264" s="9" t="s">
        <v>1875</v>
      </c>
      <c r="C264" s="9" t="s">
        <v>5</v>
      </c>
    </row>
    <row r="265">
      <c r="A265" s="11">
        <v>45582.0</v>
      </c>
      <c r="B265" s="9" t="s">
        <v>1876</v>
      </c>
      <c r="C265" s="9" t="s">
        <v>5</v>
      </c>
    </row>
    <row r="266">
      <c r="A266" s="11">
        <v>45583.0</v>
      </c>
      <c r="B266" s="9" t="s">
        <v>1877</v>
      </c>
      <c r="C266" s="9" t="s">
        <v>5</v>
      </c>
    </row>
    <row r="267">
      <c r="A267" s="11">
        <v>45583.0</v>
      </c>
      <c r="B267" s="9" t="s">
        <v>1878</v>
      </c>
      <c r="C267" s="9" t="s">
        <v>5</v>
      </c>
    </row>
    <row r="268">
      <c r="A268" s="11">
        <v>45583.0</v>
      </c>
      <c r="B268" s="9" t="s">
        <v>1879</v>
      </c>
      <c r="C268" s="9" t="s">
        <v>5</v>
      </c>
    </row>
    <row r="269">
      <c r="A269" s="11">
        <v>45583.0</v>
      </c>
      <c r="B269" s="9" t="s">
        <v>1880</v>
      </c>
      <c r="C269" s="9" t="s">
        <v>5</v>
      </c>
    </row>
    <row r="270">
      <c r="A270" s="11">
        <v>45583.0</v>
      </c>
      <c r="B270" s="9" t="s">
        <v>1881</v>
      </c>
      <c r="C270" s="9" t="s">
        <v>5</v>
      </c>
    </row>
    <row r="271">
      <c r="A271" s="11">
        <v>45584.0</v>
      </c>
      <c r="B271" s="9" t="s">
        <v>1882</v>
      </c>
      <c r="C271" s="9" t="s">
        <v>5</v>
      </c>
    </row>
    <row r="272">
      <c r="A272" s="11">
        <v>45584.0</v>
      </c>
      <c r="B272" s="9" t="s">
        <v>1883</v>
      </c>
      <c r="C272" s="9" t="s">
        <v>5</v>
      </c>
    </row>
    <row r="273">
      <c r="A273" s="11">
        <v>45584.0</v>
      </c>
      <c r="B273" s="9" t="s">
        <v>1884</v>
      </c>
      <c r="C273" s="9" t="s">
        <v>5</v>
      </c>
    </row>
    <row r="274">
      <c r="A274" s="11">
        <v>45584.0</v>
      </c>
      <c r="B274" s="9" t="s">
        <v>1885</v>
      </c>
      <c r="C274" s="9" t="s">
        <v>5</v>
      </c>
    </row>
    <row r="275">
      <c r="A275" s="11">
        <v>45588.0</v>
      </c>
      <c r="B275" s="9" t="s">
        <v>1886</v>
      </c>
      <c r="C275" s="9" t="s">
        <v>5</v>
      </c>
    </row>
    <row r="276">
      <c r="A276" s="11">
        <v>45588.0</v>
      </c>
      <c r="B276" s="9" t="s">
        <v>1887</v>
      </c>
      <c r="C276" s="9" t="s">
        <v>5</v>
      </c>
    </row>
    <row r="277">
      <c r="A277" s="11">
        <v>45588.0</v>
      </c>
      <c r="B277" s="9" t="s">
        <v>1888</v>
      </c>
      <c r="C277" s="9" t="s">
        <v>5</v>
      </c>
    </row>
    <row r="278">
      <c r="A278" s="11">
        <v>45588.0</v>
      </c>
      <c r="B278" s="9" t="s">
        <v>1889</v>
      </c>
      <c r="C278" s="9" t="s">
        <v>5</v>
      </c>
    </row>
    <row r="279">
      <c r="A279" s="11">
        <v>45588.0</v>
      </c>
      <c r="B279" s="9" t="s">
        <v>1890</v>
      </c>
      <c r="C279" s="9" t="s">
        <v>5</v>
      </c>
    </row>
    <row r="280">
      <c r="A280" s="11">
        <v>45588.0</v>
      </c>
      <c r="B280" s="9" t="s">
        <v>1891</v>
      </c>
      <c r="C280" s="9" t="s">
        <v>5</v>
      </c>
    </row>
    <row r="281">
      <c r="A281" s="11">
        <v>45588.0</v>
      </c>
      <c r="B281" s="9" t="s">
        <v>1892</v>
      </c>
      <c r="C281" s="9" t="s">
        <v>5</v>
      </c>
    </row>
    <row r="282">
      <c r="A282" s="11">
        <v>45588.0</v>
      </c>
      <c r="B282" s="9" t="s">
        <v>1893</v>
      </c>
      <c r="C282" s="9" t="s">
        <v>5</v>
      </c>
    </row>
    <row r="283">
      <c r="A283" s="11">
        <v>45588.0</v>
      </c>
      <c r="B283" s="9" t="s">
        <v>1894</v>
      </c>
      <c r="C283" s="9" t="s">
        <v>5</v>
      </c>
    </row>
    <row r="284">
      <c r="A284" s="11">
        <v>45588.0</v>
      </c>
      <c r="B284" s="9" t="s">
        <v>1895</v>
      </c>
      <c r="C284" s="9" t="s">
        <v>5</v>
      </c>
    </row>
    <row r="285">
      <c r="A285" s="11">
        <v>45588.0</v>
      </c>
      <c r="B285" s="9" t="s">
        <v>1896</v>
      </c>
      <c r="C285" s="9" t="s">
        <v>5</v>
      </c>
    </row>
    <row r="286">
      <c r="A286" s="11">
        <v>45588.0</v>
      </c>
      <c r="B286" s="9" t="s">
        <v>1897</v>
      </c>
      <c r="C286" s="9" t="s">
        <v>5</v>
      </c>
    </row>
    <row r="287">
      <c r="A287" s="11">
        <v>45591.0</v>
      </c>
      <c r="B287" s="9" t="s">
        <v>1898</v>
      </c>
      <c r="C287" s="9" t="s">
        <v>5</v>
      </c>
    </row>
    <row r="288">
      <c r="A288" s="11">
        <v>45591.0</v>
      </c>
      <c r="B288" s="9" t="s">
        <v>1899</v>
      </c>
      <c r="C288" s="9" t="s">
        <v>5</v>
      </c>
    </row>
    <row r="289">
      <c r="A289" s="11">
        <v>45591.0</v>
      </c>
      <c r="B289" s="9" t="s">
        <v>1900</v>
      </c>
      <c r="C289" s="9" t="s">
        <v>5</v>
      </c>
    </row>
    <row r="290">
      <c r="A290" s="11">
        <v>45591.0</v>
      </c>
      <c r="B290" s="9" t="s">
        <v>1901</v>
      </c>
      <c r="C290" s="9" t="s">
        <v>5</v>
      </c>
    </row>
    <row r="291">
      <c r="A291" s="11">
        <v>45591.0</v>
      </c>
      <c r="B291" s="9" t="s">
        <v>1902</v>
      </c>
      <c r="C291" s="9" t="s">
        <v>5</v>
      </c>
    </row>
    <row r="292">
      <c r="A292" s="11">
        <v>45591.0</v>
      </c>
      <c r="B292" s="9" t="s">
        <v>1903</v>
      </c>
      <c r="C292" s="9" t="s">
        <v>5</v>
      </c>
    </row>
    <row r="293">
      <c r="A293" s="11">
        <v>45593.0</v>
      </c>
      <c r="B293" s="9" t="s">
        <v>1904</v>
      </c>
      <c r="C293" s="9" t="s">
        <v>5</v>
      </c>
    </row>
    <row r="294">
      <c r="A294" s="11">
        <v>45593.0</v>
      </c>
      <c r="B294" s="9" t="s">
        <v>1905</v>
      </c>
      <c r="C294" s="9" t="s">
        <v>5</v>
      </c>
    </row>
    <row r="295">
      <c r="A295" s="11">
        <v>45593.0</v>
      </c>
      <c r="B295" s="9" t="s">
        <v>1906</v>
      </c>
      <c r="C295" s="9" t="s">
        <v>5</v>
      </c>
    </row>
    <row r="296">
      <c r="A296" s="11">
        <v>45593.0</v>
      </c>
      <c r="B296" s="9" t="s">
        <v>1907</v>
      </c>
      <c r="C296" s="9" t="s">
        <v>5</v>
      </c>
    </row>
    <row r="297">
      <c r="A297" s="11">
        <v>45593.0</v>
      </c>
      <c r="B297" s="9" t="s">
        <v>1908</v>
      </c>
      <c r="C297" s="9" t="s">
        <v>5</v>
      </c>
    </row>
    <row r="298">
      <c r="A298" s="11">
        <v>45593.0</v>
      </c>
      <c r="B298" s="9" t="s">
        <v>1909</v>
      </c>
      <c r="C298" s="9" t="s">
        <v>5</v>
      </c>
    </row>
    <row r="299">
      <c r="A299" s="11">
        <v>45595.0</v>
      </c>
      <c r="B299" s="9" t="s">
        <v>1910</v>
      </c>
      <c r="C299" s="9" t="s">
        <v>5</v>
      </c>
    </row>
    <row r="300">
      <c r="A300" s="11">
        <v>45595.0</v>
      </c>
      <c r="B300" s="9" t="s">
        <v>1911</v>
      </c>
      <c r="C300" s="9" t="s">
        <v>5</v>
      </c>
    </row>
    <row r="301">
      <c r="A301" s="11">
        <v>45595.0</v>
      </c>
      <c r="B301" s="9" t="s">
        <v>1912</v>
      </c>
      <c r="C301" s="9" t="s">
        <v>5</v>
      </c>
    </row>
    <row r="302">
      <c r="A302" s="11">
        <v>45598.0</v>
      </c>
      <c r="B302" s="9" t="s">
        <v>1913</v>
      </c>
      <c r="C302" s="9" t="s">
        <v>5</v>
      </c>
    </row>
    <row r="303">
      <c r="A303" s="11">
        <v>45598.0</v>
      </c>
      <c r="B303" s="9" t="s">
        <v>1914</v>
      </c>
      <c r="C303" s="9" t="s">
        <v>5</v>
      </c>
    </row>
    <row r="304">
      <c r="A304" s="11">
        <v>45598.0</v>
      </c>
      <c r="B304" s="9" t="s">
        <v>1915</v>
      </c>
      <c r="C304" s="9" t="s">
        <v>5</v>
      </c>
    </row>
    <row r="305">
      <c r="A305" s="11">
        <v>45598.0</v>
      </c>
      <c r="B305" s="13" t="s">
        <v>1916</v>
      </c>
      <c r="C305" s="9" t="s">
        <v>5</v>
      </c>
    </row>
    <row r="306">
      <c r="A306" s="11">
        <v>45598.0</v>
      </c>
      <c r="B306" s="9" t="s">
        <v>1917</v>
      </c>
      <c r="C306" s="9" t="s">
        <v>5</v>
      </c>
    </row>
    <row r="307">
      <c r="A307" s="11">
        <v>45598.0</v>
      </c>
      <c r="B307" s="9" t="s">
        <v>1918</v>
      </c>
      <c r="C307" s="9" t="s">
        <v>5</v>
      </c>
    </row>
    <row r="308">
      <c r="A308" s="11">
        <v>45598.0</v>
      </c>
      <c r="B308" s="13" t="s">
        <v>1919</v>
      </c>
      <c r="C308" s="9" t="s">
        <v>5</v>
      </c>
    </row>
    <row r="309">
      <c r="A309" s="11">
        <v>45598.0</v>
      </c>
      <c r="B309" s="9" t="s">
        <v>1920</v>
      </c>
      <c r="C309" s="9" t="s">
        <v>5</v>
      </c>
    </row>
    <row r="310">
      <c r="A310" s="11">
        <v>45598.0</v>
      </c>
      <c r="B310" s="9" t="s">
        <v>1921</v>
      </c>
      <c r="C310" s="9" t="s">
        <v>5</v>
      </c>
    </row>
    <row r="311">
      <c r="A311" s="11">
        <v>45598.0</v>
      </c>
      <c r="B311" s="9" t="s">
        <v>1922</v>
      </c>
      <c r="C311" s="9" t="s">
        <v>5</v>
      </c>
    </row>
    <row r="312">
      <c r="A312" s="11">
        <v>45598.0</v>
      </c>
      <c r="B312" s="9" t="s">
        <v>1923</v>
      </c>
      <c r="C312" s="9" t="s">
        <v>5</v>
      </c>
    </row>
    <row r="313">
      <c r="A313" s="11">
        <v>45598.0</v>
      </c>
      <c r="B313" s="9" t="s">
        <v>1924</v>
      </c>
      <c r="C313" s="9" t="s">
        <v>5</v>
      </c>
    </row>
    <row r="314">
      <c r="A314" s="11">
        <v>45598.0</v>
      </c>
      <c r="B314" s="9" t="s">
        <v>1925</v>
      </c>
      <c r="C314" s="9" t="s">
        <v>5</v>
      </c>
    </row>
    <row r="315">
      <c r="A315" s="11">
        <v>45598.0</v>
      </c>
      <c r="B315" s="9" t="s">
        <v>1926</v>
      </c>
      <c r="C315" s="9" t="s">
        <v>5</v>
      </c>
    </row>
    <row r="316">
      <c r="A316" s="11">
        <v>45598.0</v>
      </c>
      <c r="B316" s="9" t="s">
        <v>1927</v>
      </c>
      <c r="C316" s="9" t="s">
        <v>5</v>
      </c>
    </row>
    <row r="317">
      <c r="A317" s="11">
        <v>45598.0</v>
      </c>
      <c r="B317" s="9" t="s">
        <v>1928</v>
      </c>
      <c r="C317" s="9" t="s">
        <v>5</v>
      </c>
    </row>
    <row r="318">
      <c r="A318" s="11">
        <v>45600.0</v>
      </c>
      <c r="B318" s="9" t="s">
        <v>1929</v>
      </c>
      <c r="C318" s="9" t="s">
        <v>5</v>
      </c>
    </row>
    <row r="319">
      <c r="A319" s="11">
        <v>45600.0</v>
      </c>
      <c r="B319" s="9" t="s">
        <v>1930</v>
      </c>
      <c r="C319" s="9" t="s">
        <v>5</v>
      </c>
    </row>
    <row r="320">
      <c r="A320" s="11">
        <v>45600.0</v>
      </c>
      <c r="B320" s="9" t="s">
        <v>1931</v>
      </c>
      <c r="C320" s="9" t="s">
        <v>5</v>
      </c>
    </row>
    <row r="321">
      <c r="A321" s="11">
        <v>45600.0</v>
      </c>
      <c r="B321" s="9" t="s">
        <v>1932</v>
      </c>
      <c r="C321" s="9" t="s">
        <v>5</v>
      </c>
    </row>
    <row r="322">
      <c r="A322" s="11">
        <v>45600.0</v>
      </c>
      <c r="B322" s="9" t="s">
        <v>1933</v>
      </c>
      <c r="C322" s="9" t="s">
        <v>5</v>
      </c>
    </row>
    <row r="323">
      <c r="A323" s="11">
        <v>45600.0</v>
      </c>
      <c r="B323" s="9" t="s">
        <v>1934</v>
      </c>
      <c r="C323" s="9" t="s">
        <v>5</v>
      </c>
    </row>
    <row r="324">
      <c r="A324" s="11">
        <v>45600.0</v>
      </c>
      <c r="B324" s="9" t="s">
        <v>1935</v>
      </c>
      <c r="C324" s="9" t="s">
        <v>5</v>
      </c>
    </row>
    <row r="325">
      <c r="A325" s="11">
        <v>45600.0</v>
      </c>
      <c r="B325" s="9" t="s">
        <v>1936</v>
      </c>
      <c r="C325" s="9" t="s">
        <v>5</v>
      </c>
    </row>
    <row r="326">
      <c r="A326" s="11">
        <v>45602.0</v>
      </c>
      <c r="B326" s="9" t="s">
        <v>1937</v>
      </c>
      <c r="C326" s="9" t="s">
        <v>5</v>
      </c>
    </row>
    <row r="327">
      <c r="A327" s="11">
        <v>45602.0</v>
      </c>
      <c r="B327" s="9" t="s">
        <v>1938</v>
      </c>
      <c r="C327" s="9" t="s">
        <v>5</v>
      </c>
    </row>
    <row r="328">
      <c r="A328" s="11">
        <v>45602.0</v>
      </c>
      <c r="B328" s="9" t="s">
        <v>1939</v>
      </c>
      <c r="C328" s="9" t="s">
        <v>5</v>
      </c>
    </row>
    <row r="329">
      <c r="A329" s="11">
        <v>45602.0</v>
      </c>
      <c r="B329" s="9" t="s">
        <v>1940</v>
      </c>
      <c r="C329" s="9" t="s">
        <v>5</v>
      </c>
    </row>
    <row r="330">
      <c r="A330" s="11">
        <v>45602.0</v>
      </c>
      <c r="B330" s="9" t="s">
        <v>1941</v>
      </c>
      <c r="C330" s="9" t="s">
        <v>5</v>
      </c>
    </row>
    <row r="331">
      <c r="A331" s="11">
        <v>45602.0</v>
      </c>
      <c r="B331" s="9" t="s">
        <v>1942</v>
      </c>
      <c r="C331" s="9" t="s">
        <v>5</v>
      </c>
    </row>
    <row r="332">
      <c r="A332" s="11">
        <v>45602.0</v>
      </c>
      <c r="B332" s="9" t="s">
        <v>1943</v>
      </c>
      <c r="C332" s="9" t="s">
        <v>5</v>
      </c>
    </row>
    <row r="333">
      <c r="A333" s="11">
        <v>45602.0</v>
      </c>
      <c r="B333" s="9" t="s">
        <v>1944</v>
      </c>
      <c r="C333" s="9" t="s">
        <v>5</v>
      </c>
    </row>
    <row r="334">
      <c r="A334" s="11">
        <v>45602.0</v>
      </c>
      <c r="B334" s="9" t="s">
        <v>1945</v>
      </c>
      <c r="C334" s="9" t="s">
        <v>5</v>
      </c>
    </row>
    <row r="335">
      <c r="A335" s="11">
        <v>45603.0</v>
      </c>
      <c r="B335" s="9" t="s">
        <v>1946</v>
      </c>
      <c r="C335" s="9" t="s">
        <v>5</v>
      </c>
    </row>
    <row r="336">
      <c r="A336" s="11">
        <v>45604.0</v>
      </c>
      <c r="B336" s="9" t="s">
        <v>1947</v>
      </c>
      <c r="C336" s="9" t="s">
        <v>5</v>
      </c>
    </row>
    <row r="337">
      <c r="A337" s="11">
        <v>45604.0</v>
      </c>
      <c r="B337" s="9" t="s">
        <v>1948</v>
      </c>
      <c r="C337" s="9" t="s">
        <v>5</v>
      </c>
    </row>
    <row r="338">
      <c r="A338" s="11">
        <v>45607.0</v>
      </c>
      <c r="B338" s="9" t="s">
        <v>1949</v>
      </c>
      <c r="C338" s="9" t="s">
        <v>5</v>
      </c>
    </row>
    <row r="339">
      <c r="A339" s="11">
        <v>45607.0</v>
      </c>
      <c r="B339" s="9" t="s">
        <v>1950</v>
      </c>
      <c r="C339" s="9" t="s">
        <v>5</v>
      </c>
    </row>
    <row r="340">
      <c r="A340" s="11">
        <v>45607.0</v>
      </c>
      <c r="B340" s="9" t="s">
        <v>1951</v>
      </c>
      <c r="C340" s="9" t="s">
        <v>5</v>
      </c>
    </row>
    <row r="341">
      <c r="A341" s="11">
        <v>45607.0</v>
      </c>
      <c r="B341" s="9" t="s">
        <v>1952</v>
      </c>
      <c r="C341" s="9" t="s">
        <v>5</v>
      </c>
    </row>
    <row r="342">
      <c r="A342" s="11">
        <v>45607.0</v>
      </c>
      <c r="B342" s="9" t="s">
        <v>1953</v>
      </c>
      <c r="C342" s="9" t="s">
        <v>5</v>
      </c>
    </row>
    <row r="343">
      <c r="A343" s="11">
        <v>45607.0</v>
      </c>
      <c r="B343" s="9" t="s">
        <v>1954</v>
      </c>
      <c r="C343" s="9" t="s">
        <v>5</v>
      </c>
    </row>
    <row r="344">
      <c r="A344" s="11">
        <v>45607.0</v>
      </c>
      <c r="B344" s="9" t="s">
        <v>1955</v>
      </c>
      <c r="C344" s="9" t="s">
        <v>5</v>
      </c>
    </row>
    <row r="345">
      <c r="A345" s="11">
        <v>45608.0</v>
      </c>
      <c r="B345" s="9" t="s">
        <v>1956</v>
      </c>
      <c r="C345" s="9" t="s">
        <v>5</v>
      </c>
    </row>
    <row r="346">
      <c r="A346" s="11">
        <v>45609.0</v>
      </c>
      <c r="B346" s="9" t="s">
        <v>1957</v>
      </c>
      <c r="C346" s="9" t="s">
        <v>5</v>
      </c>
    </row>
    <row r="347">
      <c r="A347" s="11">
        <v>45609.0</v>
      </c>
      <c r="B347" s="9" t="s">
        <v>1958</v>
      </c>
      <c r="C347" s="9" t="s">
        <v>5</v>
      </c>
    </row>
    <row r="348">
      <c r="A348" s="11">
        <v>45609.0</v>
      </c>
      <c r="B348" s="9" t="s">
        <v>1959</v>
      </c>
      <c r="C348" s="9" t="s">
        <v>5</v>
      </c>
    </row>
    <row r="349">
      <c r="A349" s="11">
        <v>45609.0</v>
      </c>
      <c r="B349" s="9" t="s">
        <v>1960</v>
      </c>
      <c r="C349" s="9" t="s">
        <v>5</v>
      </c>
    </row>
    <row r="350">
      <c r="A350" s="11">
        <v>45611.0</v>
      </c>
      <c r="B350" s="9" t="s">
        <v>1961</v>
      </c>
      <c r="C350" s="9" t="s">
        <v>5</v>
      </c>
    </row>
    <row r="351">
      <c r="A351" s="11">
        <v>45611.0</v>
      </c>
      <c r="B351" s="9" t="s">
        <v>1962</v>
      </c>
      <c r="C351" s="9" t="s">
        <v>5</v>
      </c>
    </row>
    <row r="352">
      <c r="A352" s="11">
        <v>45611.0</v>
      </c>
      <c r="B352" s="9" t="s">
        <v>1963</v>
      </c>
      <c r="C352" s="9" t="s">
        <v>5</v>
      </c>
    </row>
    <row r="353">
      <c r="A353" s="11">
        <v>45611.0</v>
      </c>
      <c r="B353" s="9" t="s">
        <v>1964</v>
      </c>
      <c r="C353" s="9" t="s">
        <v>5</v>
      </c>
    </row>
    <row r="354">
      <c r="A354" s="11">
        <v>45611.0</v>
      </c>
      <c r="B354" s="9" t="s">
        <v>1965</v>
      </c>
      <c r="C354" s="9" t="s">
        <v>5</v>
      </c>
    </row>
    <row r="355">
      <c r="A355" s="11">
        <v>45614.0</v>
      </c>
      <c r="B355" s="9" t="s">
        <v>1966</v>
      </c>
      <c r="C355" s="9" t="s">
        <v>5</v>
      </c>
    </row>
    <row r="356">
      <c r="A356" s="11">
        <v>45614.0</v>
      </c>
      <c r="B356" s="13" t="s">
        <v>1967</v>
      </c>
      <c r="C356" s="9" t="s">
        <v>5</v>
      </c>
    </row>
    <row r="357">
      <c r="A357" s="11">
        <v>45614.0</v>
      </c>
      <c r="B357" s="9" t="s">
        <v>1968</v>
      </c>
      <c r="C357" s="9" t="s">
        <v>5</v>
      </c>
    </row>
    <row r="358">
      <c r="A358" s="11">
        <v>45614.0</v>
      </c>
      <c r="B358" s="9" t="s">
        <v>1969</v>
      </c>
      <c r="C358" s="9" t="s">
        <v>5</v>
      </c>
    </row>
    <row r="359">
      <c r="A359" s="11">
        <v>45614.0</v>
      </c>
      <c r="B359" s="9" t="s">
        <v>1970</v>
      </c>
      <c r="C359" s="9" t="s">
        <v>5</v>
      </c>
    </row>
    <row r="360">
      <c r="A360" s="11">
        <v>45614.0</v>
      </c>
      <c r="B360" s="13" t="s">
        <v>1971</v>
      </c>
      <c r="C360" s="9" t="s">
        <v>5</v>
      </c>
    </row>
    <row r="361">
      <c r="A361" s="11">
        <v>45614.0</v>
      </c>
      <c r="B361" s="9" t="s">
        <v>1972</v>
      </c>
      <c r="C361" s="9" t="s">
        <v>5</v>
      </c>
    </row>
    <row r="362">
      <c r="A362" s="11">
        <v>45614.0</v>
      </c>
      <c r="B362" s="9" t="s">
        <v>1973</v>
      </c>
      <c r="C362" s="9" t="s">
        <v>5</v>
      </c>
    </row>
    <row r="363">
      <c r="A363" s="11">
        <v>45614.0</v>
      </c>
      <c r="B363" s="13" t="s">
        <v>1974</v>
      </c>
      <c r="C363" s="9" t="s">
        <v>5</v>
      </c>
    </row>
    <row r="364">
      <c r="A364" s="11">
        <v>45616.0</v>
      </c>
      <c r="B364" s="9" t="s">
        <v>1975</v>
      </c>
      <c r="C364" s="9" t="s">
        <v>5</v>
      </c>
    </row>
    <row r="365">
      <c r="A365" s="11">
        <v>45616.0</v>
      </c>
      <c r="B365" s="9" t="s">
        <v>1976</v>
      </c>
      <c r="C365" s="9" t="s">
        <v>5</v>
      </c>
    </row>
    <row r="366">
      <c r="A366" s="11">
        <v>45616.0</v>
      </c>
      <c r="B366" s="13" t="s">
        <v>1977</v>
      </c>
      <c r="C366" s="9" t="s">
        <v>5</v>
      </c>
    </row>
    <row r="367">
      <c r="A367" s="11">
        <v>45616.0</v>
      </c>
      <c r="B367" s="9" t="s">
        <v>1978</v>
      </c>
      <c r="C367" s="9" t="s">
        <v>5</v>
      </c>
    </row>
    <row r="368">
      <c r="A368" s="11">
        <v>45616.0</v>
      </c>
      <c r="B368" s="9" t="s">
        <v>1979</v>
      </c>
      <c r="C368" s="9" t="s">
        <v>5</v>
      </c>
    </row>
    <row r="369">
      <c r="A369" s="11">
        <v>45616.0</v>
      </c>
      <c r="B369" s="9" t="s">
        <v>1980</v>
      </c>
      <c r="C369" s="9" t="s">
        <v>5</v>
      </c>
    </row>
    <row r="370">
      <c r="A370" s="11">
        <v>45616.0</v>
      </c>
      <c r="B370" s="9" t="s">
        <v>1981</v>
      </c>
      <c r="C370" s="9" t="s">
        <v>5</v>
      </c>
    </row>
    <row r="371">
      <c r="A371" s="11">
        <v>45616.0</v>
      </c>
      <c r="B371" s="9" t="s">
        <v>1982</v>
      </c>
      <c r="C371" s="9" t="s">
        <v>5</v>
      </c>
    </row>
    <row r="372">
      <c r="A372" s="11">
        <v>45616.0</v>
      </c>
      <c r="B372" s="9" t="s">
        <v>1983</v>
      </c>
      <c r="C372" s="9" t="s">
        <v>5</v>
      </c>
    </row>
    <row r="373">
      <c r="A373" s="11">
        <v>45616.0</v>
      </c>
      <c r="B373" s="9" t="s">
        <v>1984</v>
      </c>
      <c r="C373" s="9" t="s">
        <v>5</v>
      </c>
    </row>
    <row r="374">
      <c r="A374" s="11">
        <v>45616.0</v>
      </c>
      <c r="B374" s="9" t="s">
        <v>1985</v>
      </c>
      <c r="C374" s="9" t="s">
        <v>5</v>
      </c>
    </row>
    <row r="375">
      <c r="A375" s="11">
        <v>45616.0</v>
      </c>
      <c r="B375" s="9" t="s">
        <v>1986</v>
      </c>
      <c r="C375" s="9" t="s">
        <v>5</v>
      </c>
    </row>
    <row r="376">
      <c r="A376" s="11">
        <v>45617.0</v>
      </c>
      <c r="B376" s="9" t="s">
        <v>1987</v>
      </c>
      <c r="C376" s="9" t="s">
        <v>5</v>
      </c>
    </row>
    <row r="377">
      <c r="A377" s="11">
        <v>45617.0</v>
      </c>
      <c r="B377" s="9" t="s">
        <v>1988</v>
      </c>
      <c r="C377" s="9" t="s">
        <v>5</v>
      </c>
    </row>
    <row r="378">
      <c r="A378" s="11">
        <v>45617.0</v>
      </c>
      <c r="B378" s="9" t="s">
        <v>1989</v>
      </c>
      <c r="C378" s="9" t="s">
        <v>5</v>
      </c>
    </row>
    <row r="379">
      <c r="A379" s="11">
        <v>45617.0</v>
      </c>
      <c r="B379" s="9" t="s">
        <v>1990</v>
      </c>
      <c r="C379" s="9" t="s">
        <v>5</v>
      </c>
    </row>
    <row r="380">
      <c r="A380" s="11">
        <v>45617.0</v>
      </c>
      <c r="B380" s="9" t="s">
        <v>1991</v>
      </c>
      <c r="C380" s="9" t="s">
        <v>5</v>
      </c>
    </row>
    <row r="381">
      <c r="A381" s="11">
        <v>45617.0</v>
      </c>
      <c r="B381" s="9" t="s">
        <v>1992</v>
      </c>
      <c r="C381" s="9" t="s">
        <v>5</v>
      </c>
    </row>
    <row r="382">
      <c r="A382" s="11">
        <v>45617.0</v>
      </c>
      <c r="B382" s="9" t="s">
        <v>1993</v>
      </c>
      <c r="C382" s="9" t="s">
        <v>5</v>
      </c>
    </row>
    <row r="383">
      <c r="A383" s="11">
        <v>45619.0</v>
      </c>
      <c r="B383" s="9" t="s">
        <v>1994</v>
      </c>
      <c r="C383" s="9" t="s">
        <v>5</v>
      </c>
    </row>
    <row r="384">
      <c r="A384" s="11">
        <v>45619.0</v>
      </c>
      <c r="B384" s="9" t="s">
        <v>1995</v>
      </c>
      <c r="C384" s="9" t="s">
        <v>5</v>
      </c>
    </row>
    <row r="385">
      <c r="A385" s="11">
        <v>45619.0</v>
      </c>
      <c r="B385" s="9" t="s">
        <v>1996</v>
      </c>
      <c r="C385" s="9" t="s">
        <v>5</v>
      </c>
    </row>
    <row r="386">
      <c r="A386" s="11">
        <v>45619.0</v>
      </c>
      <c r="B386" s="9" t="s">
        <v>1997</v>
      </c>
      <c r="C386" s="9" t="s">
        <v>5</v>
      </c>
    </row>
    <row r="387">
      <c r="A387" s="11">
        <v>45619.0</v>
      </c>
      <c r="B387" s="9" t="s">
        <v>1998</v>
      </c>
      <c r="C387" s="9" t="s">
        <v>5</v>
      </c>
    </row>
    <row r="388">
      <c r="A388" s="11">
        <v>45619.0</v>
      </c>
      <c r="B388" s="9" t="s">
        <v>1999</v>
      </c>
      <c r="C388" s="9" t="s">
        <v>5</v>
      </c>
    </row>
    <row r="389">
      <c r="A389" s="11">
        <v>45621.0</v>
      </c>
      <c r="B389" s="9" t="s">
        <v>2000</v>
      </c>
      <c r="C389" s="9" t="s">
        <v>5</v>
      </c>
    </row>
    <row r="390">
      <c r="A390" s="11">
        <v>45621.0</v>
      </c>
      <c r="B390" s="9" t="s">
        <v>2001</v>
      </c>
      <c r="C390" s="9" t="s">
        <v>5</v>
      </c>
    </row>
    <row r="391">
      <c r="A391" s="11">
        <v>45621.0</v>
      </c>
      <c r="B391" s="9" t="s">
        <v>2002</v>
      </c>
      <c r="C391" s="9" t="s">
        <v>5</v>
      </c>
    </row>
    <row r="392">
      <c r="A392" s="11">
        <v>45621.0</v>
      </c>
      <c r="B392" s="13" t="s">
        <v>2003</v>
      </c>
      <c r="C392" s="9" t="s">
        <v>5</v>
      </c>
    </row>
    <row r="393">
      <c r="A393" s="11">
        <v>45621.0</v>
      </c>
      <c r="B393" s="9" t="s">
        <v>2004</v>
      </c>
      <c r="C393" s="9" t="s">
        <v>5</v>
      </c>
    </row>
    <row r="394">
      <c r="A394" s="11">
        <v>45621.0</v>
      </c>
      <c r="B394" s="9" t="s">
        <v>2005</v>
      </c>
      <c r="C394" s="9" t="s">
        <v>5</v>
      </c>
    </row>
    <row r="395">
      <c r="A395" s="11">
        <v>45622.0</v>
      </c>
      <c r="B395" s="9" t="s">
        <v>2006</v>
      </c>
      <c r="C395" s="9" t="s">
        <v>5</v>
      </c>
    </row>
    <row r="396">
      <c r="A396" s="11">
        <v>45622.0</v>
      </c>
      <c r="B396" s="9" t="s">
        <v>2007</v>
      </c>
      <c r="C396" s="9" t="s">
        <v>5</v>
      </c>
    </row>
    <row r="397">
      <c r="A397" s="11">
        <v>45622.0</v>
      </c>
      <c r="B397" s="9" t="s">
        <v>2008</v>
      </c>
      <c r="C397" s="9" t="s">
        <v>5</v>
      </c>
    </row>
    <row r="398">
      <c r="A398" s="11">
        <v>45622.0</v>
      </c>
      <c r="B398" s="9" t="s">
        <v>2009</v>
      </c>
      <c r="C398" s="9" t="s">
        <v>5</v>
      </c>
    </row>
    <row r="399">
      <c r="A399" s="11">
        <v>45622.0</v>
      </c>
      <c r="B399" s="9" t="s">
        <v>2010</v>
      </c>
      <c r="C399" s="9" t="s">
        <v>5</v>
      </c>
    </row>
    <row r="400">
      <c r="A400" s="11">
        <v>45622.0</v>
      </c>
      <c r="B400" s="9" t="s">
        <v>2011</v>
      </c>
      <c r="C400" s="9" t="s">
        <v>5</v>
      </c>
    </row>
    <row r="401">
      <c r="A401" s="11">
        <v>45622.0</v>
      </c>
      <c r="B401" s="13" t="s">
        <v>2012</v>
      </c>
      <c r="C401" s="9" t="s">
        <v>5</v>
      </c>
    </row>
    <row r="402">
      <c r="A402" s="11">
        <v>45624.0</v>
      </c>
      <c r="B402" s="9" t="s">
        <v>2013</v>
      </c>
      <c r="C402" s="9" t="s">
        <v>5</v>
      </c>
    </row>
    <row r="403">
      <c r="A403" s="11">
        <v>45624.0</v>
      </c>
      <c r="B403" s="9" t="s">
        <v>2014</v>
      </c>
      <c r="C403" s="9" t="s">
        <v>5</v>
      </c>
    </row>
    <row r="404">
      <c r="A404" s="11">
        <v>45624.0</v>
      </c>
      <c r="B404" s="13" t="s">
        <v>2015</v>
      </c>
      <c r="C404" s="9" t="s">
        <v>5</v>
      </c>
    </row>
    <row r="405">
      <c r="A405" s="11">
        <v>45624.0</v>
      </c>
      <c r="B405" s="9" t="s">
        <v>2016</v>
      </c>
      <c r="C405" s="9" t="s">
        <v>5</v>
      </c>
    </row>
    <row r="406">
      <c r="A406" s="11">
        <v>45624.0</v>
      </c>
      <c r="B406" s="9" t="s">
        <v>2017</v>
      </c>
      <c r="C406" s="9" t="s">
        <v>5</v>
      </c>
    </row>
    <row r="407">
      <c r="A407" s="11">
        <v>45624.0</v>
      </c>
      <c r="B407" s="9" t="s">
        <v>2018</v>
      </c>
      <c r="C407" s="9" t="s">
        <v>5</v>
      </c>
    </row>
    <row r="408">
      <c r="A408" s="11">
        <v>45624.0</v>
      </c>
      <c r="B408" s="9" t="s">
        <v>2019</v>
      </c>
      <c r="C408" s="9" t="s">
        <v>5</v>
      </c>
    </row>
    <row r="409">
      <c r="A409" s="11">
        <v>45626.0</v>
      </c>
      <c r="B409" s="9" t="s">
        <v>2020</v>
      </c>
      <c r="C409" s="9" t="s">
        <v>5</v>
      </c>
    </row>
    <row r="410">
      <c r="A410" s="11">
        <v>45626.0</v>
      </c>
      <c r="B410" s="9" t="s">
        <v>2021</v>
      </c>
      <c r="C410" s="9" t="s">
        <v>5</v>
      </c>
    </row>
    <row r="411">
      <c r="A411" s="11">
        <v>45626.0</v>
      </c>
      <c r="B411" s="9" t="s">
        <v>2022</v>
      </c>
      <c r="C411" s="9" t="s">
        <v>5</v>
      </c>
    </row>
    <row r="412">
      <c r="A412" s="11">
        <v>45626.0</v>
      </c>
      <c r="B412" s="9" t="s">
        <v>2023</v>
      </c>
      <c r="C412" s="9" t="s">
        <v>5</v>
      </c>
    </row>
    <row r="413">
      <c r="A413" s="11">
        <v>45626.0</v>
      </c>
      <c r="B413" s="9" t="s">
        <v>2024</v>
      </c>
      <c r="C413" s="9" t="s">
        <v>5</v>
      </c>
    </row>
    <row r="414">
      <c r="A414" s="11">
        <v>45626.0</v>
      </c>
      <c r="B414" s="9" t="s">
        <v>2025</v>
      </c>
      <c r="C414" s="9" t="s">
        <v>5</v>
      </c>
    </row>
    <row r="415">
      <c r="A415" s="11">
        <v>45628.0</v>
      </c>
      <c r="B415" s="9" t="s">
        <v>2026</v>
      </c>
      <c r="C415" s="9" t="s">
        <v>5</v>
      </c>
    </row>
    <row r="416">
      <c r="A416" s="11">
        <v>45628.0</v>
      </c>
      <c r="B416" s="9" t="s">
        <v>2027</v>
      </c>
      <c r="C416" s="9" t="s">
        <v>5</v>
      </c>
    </row>
    <row r="417">
      <c r="A417" s="11">
        <v>45628.0</v>
      </c>
      <c r="B417" s="9" t="s">
        <v>2028</v>
      </c>
      <c r="C417" s="9" t="s">
        <v>5</v>
      </c>
    </row>
    <row r="418">
      <c r="A418" s="11">
        <v>45628.0</v>
      </c>
      <c r="B418" s="9" t="s">
        <v>2029</v>
      </c>
      <c r="C418" s="9" t="s">
        <v>5</v>
      </c>
    </row>
    <row r="419">
      <c r="A419" s="11">
        <v>45628.0</v>
      </c>
      <c r="B419" s="9" t="s">
        <v>2030</v>
      </c>
      <c r="C419" s="9" t="s">
        <v>5</v>
      </c>
    </row>
    <row r="420">
      <c r="A420" s="11">
        <v>45628.0</v>
      </c>
      <c r="B420" s="9" t="s">
        <v>2031</v>
      </c>
      <c r="C420" s="9" t="s">
        <v>5</v>
      </c>
    </row>
    <row r="421">
      <c r="A421" s="11">
        <v>45628.0</v>
      </c>
      <c r="B421" s="9" t="s">
        <v>2032</v>
      </c>
      <c r="C421" s="9" t="s">
        <v>5</v>
      </c>
    </row>
    <row r="422">
      <c r="A422" s="11">
        <v>45629.0</v>
      </c>
      <c r="B422" s="9" t="s">
        <v>2033</v>
      </c>
      <c r="C422" s="9" t="s">
        <v>5</v>
      </c>
    </row>
    <row r="423">
      <c r="A423" s="11">
        <v>45629.0</v>
      </c>
      <c r="B423" s="9" t="s">
        <v>2034</v>
      </c>
      <c r="C423" s="9" t="s">
        <v>5</v>
      </c>
    </row>
    <row r="424">
      <c r="A424" s="11">
        <v>45631.0</v>
      </c>
      <c r="B424" s="9" t="s">
        <v>2035</v>
      </c>
      <c r="C424" s="9" t="s">
        <v>5</v>
      </c>
    </row>
    <row r="425">
      <c r="A425" s="11">
        <v>45631.0</v>
      </c>
      <c r="B425" s="9" t="s">
        <v>2036</v>
      </c>
      <c r="C425" s="9" t="s">
        <v>5</v>
      </c>
    </row>
    <row r="426">
      <c r="A426" s="11">
        <v>45631.0</v>
      </c>
      <c r="B426" s="9" t="s">
        <v>2037</v>
      </c>
      <c r="C426" s="9" t="s">
        <v>5</v>
      </c>
    </row>
    <row r="427">
      <c r="A427" s="11">
        <v>45631.0</v>
      </c>
      <c r="B427" s="9" t="s">
        <v>2038</v>
      </c>
      <c r="C427" s="9" t="s">
        <v>5</v>
      </c>
    </row>
    <row r="428">
      <c r="A428" s="11">
        <v>45631.0</v>
      </c>
      <c r="B428" s="9" t="s">
        <v>2039</v>
      </c>
      <c r="C428" s="9" t="s">
        <v>5</v>
      </c>
    </row>
    <row r="429">
      <c r="A429" s="11">
        <v>45631.0</v>
      </c>
      <c r="B429" s="9" t="s">
        <v>2040</v>
      </c>
      <c r="C429" s="9" t="s">
        <v>5</v>
      </c>
    </row>
    <row r="430">
      <c r="A430" s="11">
        <v>45631.0</v>
      </c>
      <c r="B430" s="9" t="s">
        <v>2041</v>
      </c>
      <c r="C430" s="9" t="s">
        <v>5</v>
      </c>
    </row>
    <row r="431">
      <c r="A431" s="11">
        <v>45631.0</v>
      </c>
      <c r="B431" s="9" t="s">
        <v>2042</v>
      </c>
      <c r="C431" s="9" t="s">
        <v>5</v>
      </c>
    </row>
    <row r="432">
      <c r="A432" s="11">
        <v>45633.0</v>
      </c>
      <c r="B432" s="9" t="s">
        <v>2043</v>
      </c>
      <c r="C432" s="9" t="s">
        <v>5</v>
      </c>
    </row>
    <row r="433">
      <c r="A433" s="11">
        <v>45633.0</v>
      </c>
      <c r="B433" s="9" t="s">
        <v>2044</v>
      </c>
      <c r="C433" s="9" t="s">
        <v>5</v>
      </c>
    </row>
    <row r="434">
      <c r="A434" s="11">
        <v>45633.0</v>
      </c>
      <c r="B434" s="9" t="s">
        <v>2045</v>
      </c>
      <c r="C434" s="9" t="s">
        <v>5</v>
      </c>
    </row>
    <row r="435">
      <c r="A435" s="11">
        <v>45633.0</v>
      </c>
      <c r="B435" s="9" t="s">
        <v>2046</v>
      </c>
      <c r="C435" s="9" t="s">
        <v>5</v>
      </c>
    </row>
    <row r="436">
      <c r="A436" s="11">
        <v>45637.0</v>
      </c>
      <c r="B436" s="9" t="s">
        <v>2047</v>
      </c>
      <c r="C436" s="9" t="s">
        <v>5</v>
      </c>
    </row>
    <row r="437">
      <c r="A437" s="11">
        <v>45637.0</v>
      </c>
      <c r="B437" s="9" t="s">
        <v>2048</v>
      </c>
      <c r="C437" s="9" t="s">
        <v>5</v>
      </c>
    </row>
    <row r="438">
      <c r="A438" s="11">
        <v>45637.0</v>
      </c>
      <c r="B438" s="9" t="s">
        <v>2049</v>
      </c>
      <c r="C438" s="9" t="s">
        <v>5</v>
      </c>
    </row>
    <row r="439">
      <c r="A439" s="11">
        <v>45637.0</v>
      </c>
      <c r="B439" s="9" t="s">
        <v>2050</v>
      </c>
      <c r="C439" s="9" t="s">
        <v>5</v>
      </c>
    </row>
    <row r="440">
      <c r="A440" s="11">
        <v>45637.0</v>
      </c>
      <c r="B440" s="9" t="s">
        <v>2051</v>
      </c>
      <c r="C440" s="9" t="s">
        <v>5</v>
      </c>
    </row>
    <row r="441">
      <c r="A441" s="11">
        <v>45637.0</v>
      </c>
      <c r="B441" s="9" t="s">
        <v>2052</v>
      </c>
      <c r="C441" s="9" t="s">
        <v>5</v>
      </c>
    </row>
    <row r="442">
      <c r="A442" s="11">
        <v>45637.0</v>
      </c>
      <c r="B442" s="9" t="s">
        <v>2053</v>
      </c>
      <c r="C442" s="9" t="s">
        <v>5</v>
      </c>
    </row>
    <row r="443">
      <c r="A443" s="11">
        <v>45637.0</v>
      </c>
      <c r="B443" s="9" t="s">
        <v>2054</v>
      </c>
      <c r="C443" s="9" t="s">
        <v>5</v>
      </c>
    </row>
    <row r="444">
      <c r="A444" s="11">
        <v>45637.0</v>
      </c>
      <c r="B444" s="9" t="s">
        <v>2055</v>
      </c>
      <c r="C444" s="9" t="s">
        <v>5</v>
      </c>
    </row>
    <row r="445">
      <c r="A445" s="11">
        <v>45637.0</v>
      </c>
      <c r="B445" s="13" t="s">
        <v>2056</v>
      </c>
      <c r="C445" s="9" t="s">
        <v>5</v>
      </c>
    </row>
    <row r="446">
      <c r="A446" s="11">
        <v>45637.0</v>
      </c>
      <c r="B446" s="9" t="s">
        <v>2057</v>
      </c>
      <c r="C446" s="9" t="s">
        <v>5</v>
      </c>
    </row>
    <row r="447">
      <c r="A447" s="11">
        <v>45637.0</v>
      </c>
      <c r="B447" s="9" t="s">
        <v>2058</v>
      </c>
      <c r="C447" s="9" t="s">
        <v>5</v>
      </c>
    </row>
    <row r="448">
      <c r="A448" s="11">
        <v>45637.0</v>
      </c>
      <c r="B448" s="9" t="s">
        <v>2059</v>
      </c>
      <c r="C448" s="9" t="s">
        <v>5</v>
      </c>
    </row>
    <row r="449">
      <c r="A449" s="11">
        <v>45637.0</v>
      </c>
      <c r="B449" s="9" t="s">
        <v>2060</v>
      </c>
      <c r="C449" s="9" t="s">
        <v>5</v>
      </c>
    </row>
    <row r="450">
      <c r="A450" s="11">
        <v>45638.0</v>
      </c>
      <c r="B450" s="13" t="s">
        <v>2061</v>
      </c>
      <c r="C450" s="9" t="s">
        <v>5</v>
      </c>
    </row>
    <row r="451">
      <c r="A451" s="11">
        <v>45640.0</v>
      </c>
      <c r="B451" s="9" t="s">
        <v>2062</v>
      </c>
      <c r="C451" s="9" t="s">
        <v>5</v>
      </c>
    </row>
    <row r="452">
      <c r="A452" s="11">
        <v>45640.0</v>
      </c>
      <c r="B452" s="9" t="s">
        <v>2063</v>
      </c>
      <c r="C452" s="9" t="s">
        <v>5</v>
      </c>
    </row>
    <row r="453">
      <c r="A453" s="11">
        <v>45640.0</v>
      </c>
      <c r="B453" s="9" t="s">
        <v>2064</v>
      </c>
      <c r="C453" s="9" t="s">
        <v>5</v>
      </c>
    </row>
    <row r="454">
      <c r="A454" s="11">
        <v>45640.0</v>
      </c>
      <c r="B454" s="9" t="s">
        <v>2065</v>
      </c>
      <c r="C454" s="9" t="s">
        <v>5</v>
      </c>
    </row>
    <row r="455">
      <c r="A455" s="11">
        <v>45640.0</v>
      </c>
      <c r="B455" s="9" t="s">
        <v>2066</v>
      </c>
      <c r="C455" s="9" t="s">
        <v>5</v>
      </c>
    </row>
    <row r="456">
      <c r="A456" s="11">
        <v>45640.0</v>
      </c>
      <c r="B456" s="9" t="s">
        <v>2067</v>
      </c>
      <c r="C456" s="9" t="s">
        <v>5</v>
      </c>
    </row>
    <row r="457">
      <c r="A457" s="11">
        <v>45640.0</v>
      </c>
      <c r="B457" s="9" t="s">
        <v>2068</v>
      </c>
      <c r="C457" s="9" t="s">
        <v>5</v>
      </c>
    </row>
    <row r="458">
      <c r="A458" s="11">
        <v>45640.0</v>
      </c>
      <c r="B458" s="9" t="s">
        <v>2069</v>
      </c>
      <c r="C458" s="9" t="s">
        <v>5</v>
      </c>
    </row>
    <row r="459">
      <c r="A459" s="11">
        <v>45640.0</v>
      </c>
      <c r="B459" s="9" t="s">
        <v>2070</v>
      </c>
      <c r="C459" s="9" t="s">
        <v>5</v>
      </c>
    </row>
    <row r="460">
      <c r="A460" s="11">
        <v>45640.0</v>
      </c>
      <c r="B460" s="9" t="s">
        <v>2071</v>
      </c>
      <c r="C460" s="9" t="s">
        <v>5</v>
      </c>
    </row>
    <row r="461">
      <c r="A461" s="11">
        <v>45642.0</v>
      </c>
      <c r="B461" s="9" t="s">
        <v>2072</v>
      </c>
      <c r="C461" s="9" t="s">
        <v>5</v>
      </c>
    </row>
    <row r="462">
      <c r="A462" s="11">
        <v>45642.0</v>
      </c>
      <c r="B462" s="9" t="s">
        <v>2073</v>
      </c>
      <c r="C462" s="9" t="s">
        <v>5</v>
      </c>
    </row>
    <row r="463">
      <c r="A463" s="11">
        <v>45642.0</v>
      </c>
      <c r="B463" s="9" t="s">
        <v>2074</v>
      </c>
      <c r="C463" s="9" t="s">
        <v>5</v>
      </c>
    </row>
    <row r="464">
      <c r="A464" s="11">
        <v>45642.0</v>
      </c>
      <c r="B464" s="9" t="s">
        <v>2075</v>
      </c>
      <c r="C464" s="9" t="s">
        <v>5</v>
      </c>
    </row>
    <row r="465">
      <c r="A465" s="11">
        <v>45644.0</v>
      </c>
      <c r="B465" s="9" t="s">
        <v>2076</v>
      </c>
      <c r="C465" s="9" t="s">
        <v>5</v>
      </c>
    </row>
    <row r="466">
      <c r="A466" s="11">
        <v>45644.0</v>
      </c>
      <c r="B466" s="9" t="s">
        <v>2077</v>
      </c>
      <c r="C466" s="9" t="s">
        <v>5</v>
      </c>
    </row>
    <row r="467">
      <c r="A467" s="11">
        <v>45644.0</v>
      </c>
      <c r="B467" s="9" t="s">
        <v>2078</v>
      </c>
      <c r="C467" s="9" t="s">
        <v>5</v>
      </c>
    </row>
    <row r="468">
      <c r="A468" s="11">
        <v>45644.0</v>
      </c>
      <c r="B468" s="9" t="s">
        <v>2079</v>
      </c>
      <c r="C468" s="9" t="s">
        <v>5</v>
      </c>
    </row>
    <row r="469">
      <c r="A469" s="11">
        <v>45647.0</v>
      </c>
      <c r="B469" s="9" t="s">
        <v>2080</v>
      </c>
      <c r="C469" s="9" t="s">
        <v>5</v>
      </c>
    </row>
    <row r="470">
      <c r="A470" s="11">
        <v>45647.0</v>
      </c>
      <c r="B470" s="9" t="s">
        <v>2081</v>
      </c>
      <c r="C470" s="9" t="s">
        <v>5</v>
      </c>
    </row>
    <row r="471">
      <c r="A471" s="11">
        <v>45647.0</v>
      </c>
      <c r="B471" s="13" t="s">
        <v>2082</v>
      </c>
      <c r="C471" s="9" t="s">
        <v>5</v>
      </c>
    </row>
    <row r="472">
      <c r="A472" s="11">
        <v>45647.0</v>
      </c>
      <c r="B472" s="9" t="s">
        <v>2083</v>
      </c>
      <c r="C472" s="9" t="s">
        <v>5</v>
      </c>
    </row>
    <row r="473">
      <c r="A473" s="11">
        <v>45647.0</v>
      </c>
      <c r="B473" s="9" t="s">
        <v>2084</v>
      </c>
      <c r="C473" s="9" t="s">
        <v>5</v>
      </c>
    </row>
    <row r="474">
      <c r="A474" s="11">
        <v>45647.0</v>
      </c>
      <c r="B474" s="9" t="s">
        <v>2085</v>
      </c>
      <c r="C474" s="9" t="s">
        <v>5</v>
      </c>
    </row>
    <row r="475">
      <c r="A475" s="11">
        <v>45647.0</v>
      </c>
      <c r="B475" s="9" t="s">
        <v>2086</v>
      </c>
      <c r="C475" s="9" t="s">
        <v>5</v>
      </c>
    </row>
    <row r="476">
      <c r="A476" s="11">
        <v>45647.0</v>
      </c>
      <c r="B476" s="9" t="s">
        <v>2087</v>
      </c>
      <c r="C476" s="9" t="s">
        <v>5</v>
      </c>
    </row>
    <row r="477">
      <c r="A477" s="11">
        <v>45647.0</v>
      </c>
      <c r="B477" s="9" t="s">
        <v>2088</v>
      </c>
      <c r="C477" s="9" t="s">
        <v>5</v>
      </c>
    </row>
    <row r="478">
      <c r="A478" s="11">
        <v>45647.0</v>
      </c>
      <c r="B478" s="9" t="s">
        <v>2089</v>
      </c>
      <c r="C478" s="9" t="s">
        <v>5</v>
      </c>
    </row>
    <row r="479">
      <c r="A479" s="11">
        <v>45647.0</v>
      </c>
      <c r="B479" s="9" t="s">
        <v>2090</v>
      </c>
      <c r="C479" s="9" t="s">
        <v>5</v>
      </c>
    </row>
    <row r="480">
      <c r="A480" s="11">
        <v>45647.0</v>
      </c>
      <c r="B480" s="9" t="s">
        <v>2091</v>
      </c>
      <c r="C480" s="9" t="s">
        <v>5</v>
      </c>
    </row>
    <row r="481">
      <c r="A481" s="11">
        <v>45647.0</v>
      </c>
      <c r="B481" s="9" t="s">
        <v>2092</v>
      </c>
      <c r="C481" s="9" t="s">
        <v>5</v>
      </c>
    </row>
    <row r="482">
      <c r="A482" s="11">
        <v>45649.0</v>
      </c>
      <c r="B482" s="9" t="s">
        <v>2093</v>
      </c>
      <c r="C482" s="9" t="s">
        <v>5</v>
      </c>
    </row>
    <row r="483">
      <c r="A483" s="11">
        <v>45649.0</v>
      </c>
      <c r="B483" s="9" t="s">
        <v>2094</v>
      </c>
      <c r="C483" s="9" t="s">
        <v>5</v>
      </c>
    </row>
    <row r="484">
      <c r="A484" s="11">
        <v>45649.0</v>
      </c>
      <c r="B484" s="9" t="s">
        <v>2095</v>
      </c>
      <c r="C484" s="9" t="s">
        <v>5</v>
      </c>
    </row>
    <row r="485">
      <c r="A485" s="11">
        <v>45649.0</v>
      </c>
      <c r="B485" s="9" t="s">
        <v>2096</v>
      </c>
      <c r="C485" s="9" t="s">
        <v>5</v>
      </c>
    </row>
    <row r="486">
      <c r="A486" s="11">
        <v>45649.0</v>
      </c>
      <c r="B486" s="9" t="s">
        <v>2097</v>
      </c>
      <c r="C486" s="9" t="s">
        <v>5</v>
      </c>
    </row>
    <row r="487">
      <c r="A487" s="11">
        <v>45649.0</v>
      </c>
      <c r="B487" s="9" t="s">
        <v>2098</v>
      </c>
      <c r="C487" s="9" t="s">
        <v>5</v>
      </c>
    </row>
    <row r="488">
      <c r="A488" s="11">
        <v>45649.0</v>
      </c>
      <c r="B488" s="9" t="s">
        <v>2099</v>
      </c>
      <c r="C488" s="9" t="s">
        <v>5</v>
      </c>
    </row>
    <row r="489">
      <c r="A489" s="11">
        <v>45649.0</v>
      </c>
      <c r="B489" s="9" t="s">
        <v>2100</v>
      </c>
      <c r="C489" s="9" t="s">
        <v>5</v>
      </c>
    </row>
    <row r="490">
      <c r="A490" s="11">
        <v>45649.0</v>
      </c>
      <c r="B490" s="9" t="s">
        <v>2101</v>
      </c>
      <c r="C490" s="9" t="s">
        <v>5</v>
      </c>
    </row>
    <row r="491">
      <c r="A491" s="11">
        <v>45649.0</v>
      </c>
      <c r="B491" s="9" t="s">
        <v>2102</v>
      </c>
      <c r="C491" s="9" t="s">
        <v>5</v>
      </c>
    </row>
    <row r="492">
      <c r="A492" s="11">
        <v>45649.0</v>
      </c>
      <c r="B492" s="9" t="s">
        <v>2103</v>
      </c>
      <c r="C492" s="9" t="s">
        <v>5</v>
      </c>
    </row>
    <row r="493">
      <c r="A493" s="11">
        <v>45649.0</v>
      </c>
      <c r="B493" s="9" t="s">
        <v>2104</v>
      </c>
      <c r="C493" s="9" t="s">
        <v>5</v>
      </c>
    </row>
    <row r="494">
      <c r="A494" s="11">
        <v>45649.0</v>
      </c>
      <c r="B494" s="9" t="s">
        <v>2105</v>
      </c>
      <c r="C494" s="9" t="s">
        <v>5</v>
      </c>
    </row>
    <row r="495">
      <c r="A495" s="11">
        <v>45649.0</v>
      </c>
      <c r="B495" s="9" t="s">
        <v>2106</v>
      </c>
      <c r="C495" s="9" t="s">
        <v>5</v>
      </c>
    </row>
    <row r="496">
      <c r="A496" s="11">
        <v>45652.0</v>
      </c>
      <c r="B496" s="9" t="s">
        <v>446</v>
      </c>
      <c r="C496" s="9" t="s">
        <v>5</v>
      </c>
    </row>
    <row r="497">
      <c r="A497" s="11">
        <v>45652.0</v>
      </c>
      <c r="B497" s="9" t="s">
        <v>2107</v>
      </c>
      <c r="C497" s="9" t="s">
        <v>5</v>
      </c>
    </row>
    <row r="498">
      <c r="A498" s="11">
        <v>45652.0</v>
      </c>
      <c r="B498" s="9" t="s">
        <v>2108</v>
      </c>
      <c r="C498" s="9" t="s">
        <v>5</v>
      </c>
    </row>
    <row r="499">
      <c r="A499" s="11">
        <v>45652.0</v>
      </c>
      <c r="B499" s="9" t="s">
        <v>2109</v>
      </c>
      <c r="C499" s="9" t="s">
        <v>5</v>
      </c>
    </row>
    <row r="500">
      <c r="A500" s="11">
        <v>45652.0</v>
      </c>
      <c r="B500" s="9" t="s">
        <v>2110</v>
      </c>
      <c r="C500" s="9" t="s">
        <v>5</v>
      </c>
    </row>
    <row r="501">
      <c r="A501" s="11">
        <v>45652.0</v>
      </c>
      <c r="B501" s="9" t="s">
        <v>2111</v>
      </c>
      <c r="C501" s="9" t="s">
        <v>5</v>
      </c>
    </row>
    <row r="502">
      <c r="A502" s="11">
        <v>45652.0</v>
      </c>
      <c r="B502" s="9" t="s">
        <v>2112</v>
      </c>
      <c r="C502" s="9" t="s">
        <v>5</v>
      </c>
    </row>
    <row r="503">
      <c r="A503" s="11">
        <v>45657.0</v>
      </c>
      <c r="B503" s="9" t="s">
        <v>2113</v>
      </c>
      <c r="C503" s="9" t="s">
        <v>5</v>
      </c>
    </row>
    <row r="504">
      <c r="A504" s="11">
        <v>45657.0</v>
      </c>
      <c r="B504" s="9" t="s">
        <v>2114</v>
      </c>
      <c r="C504" s="9" t="s">
        <v>5</v>
      </c>
    </row>
    <row r="505">
      <c r="A505" s="11">
        <v>45657.0</v>
      </c>
      <c r="B505" s="9" t="s">
        <v>2115</v>
      </c>
      <c r="C505" s="9" t="s">
        <v>5</v>
      </c>
    </row>
    <row r="506">
      <c r="A506" s="11">
        <v>45657.0</v>
      </c>
      <c r="B506" s="9" t="s">
        <v>2116</v>
      </c>
      <c r="C506" s="9" t="s">
        <v>5</v>
      </c>
    </row>
    <row r="507">
      <c r="A507" s="11">
        <v>45657.0</v>
      </c>
      <c r="B507" s="9" t="s">
        <v>2117</v>
      </c>
      <c r="C507" s="9" t="s">
        <v>5</v>
      </c>
    </row>
    <row r="508">
      <c r="A508" s="11">
        <v>45657.0</v>
      </c>
      <c r="B508" s="9" t="s">
        <v>2118</v>
      </c>
      <c r="C508" s="9" t="s">
        <v>5</v>
      </c>
    </row>
    <row r="509">
      <c r="A509" s="11">
        <v>45657.0</v>
      </c>
      <c r="B509" s="9" t="s">
        <v>2119</v>
      </c>
      <c r="C509" s="9" t="s">
        <v>5</v>
      </c>
    </row>
    <row r="510">
      <c r="A510" s="11">
        <v>45657.0</v>
      </c>
      <c r="B510" s="9" t="s">
        <v>2120</v>
      </c>
      <c r="C510" s="9" t="s">
        <v>5</v>
      </c>
    </row>
    <row r="511">
      <c r="A511" s="11">
        <v>45657.0</v>
      </c>
      <c r="B511" s="9" t="s">
        <v>2121</v>
      </c>
      <c r="C511" s="9" t="s">
        <v>5</v>
      </c>
    </row>
    <row r="512">
      <c r="A512" s="11">
        <v>45657.0</v>
      </c>
      <c r="B512" s="9" t="s">
        <v>2122</v>
      </c>
      <c r="C512" s="9" t="s">
        <v>5</v>
      </c>
    </row>
    <row r="513">
      <c r="A513" s="11">
        <v>45657.0</v>
      </c>
      <c r="B513" s="9" t="s">
        <v>2123</v>
      </c>
      <c r="C513" s="9" t="s">
        <v>5</v>
      </c>
    </row>
    <row r="514">
      <c r="A514" s="11">
        <v>45657.0</v>
      </c>
      <c r="B514" s="9" t="s">
        <v>2124</v>
      </c>
      <c r="C514" s="9" t="s">
        <v>5</v>
      </c>
    </row>
    <row r="515">
      <c r="A515" s="11">
        <v>45657.0</v>
      </c>
      <c r="B515" s="9" t="s">
        <v>2125</v>
      </c>
      <c r="C515" s="9" t="s">
        <v>5</v>
      </c>
    </row>
    <row r="517">
      <c r="B517" s="44" t="s">
        <v>2126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89.25"/>
    <col customWidth="1" min="3" max="3" width="32.5"/>
  </cols>
  <sheetData>
    <row r="1">
      <c r="A1" s="41" t="s">
        <v>2127</v>
      </c>
      <c r="B1" s="41" t="s">
        <v>1</v>
      </c>
      <c r="C1" s="41" t="s">
        <v>2</v>
      </c>
      <c r="D1" s="3"/>
      <c r="E1" s="3"/>
      <c r="F1" s="4"/>
      <c r="G1" s="3"/>
      <c r="H1" s="3"/>
      <c r="I1" s="3"/>
      <c r="J1" s="3"/>
      <c r="K1" s="3"/>
      <c r="L1" s="3"/>
      <c r="M1" s="3"/>
    </row>
    <row r="2">
      <c r="A2" s="11">
        <v>45136.0</v>
      </c>
      <c r="B2" s="9" t="s">
        <v>2128</v>
      </c>
      <c r="K2" s="9"/>
    </row>
    <row r="3">
      <c r="A3" s="11">
        <v>45204.0</v>
      </c>
      <c r="B3" s="9" t="s">
        <v>2129</v>
      </c>
    </row>
    <row r="4">
      <c r="A4" s="11">
        <v>45206.0</v>
      </c>
      <c r="B4" s="9" t="s">
        <v>2130</v>
      </c>
    </row>
    <row r="5">
      <c r="A5" s="11">
        <v>45206.0</v>
      </c>
      <c r="B5" s="9" t="s">
        <v>2131</v>
      </c>
    </row>
    <row r="6">
      <c r="A6" s="11">
        <v>45209.0</v>
      </c>
      <c r="B6" s="9" t="s">
        <v>2132</v>
      </c>
    </row>
    <row r="7">
      <c r="A7" s="11">
        <v>45210.0</v>
      </c>
      <c r="B7" s="9" t="s">
        <v>2133</v>
      </c>
    </row>
    <row r="8">
      <c r="A8" s="11">
        <v>45219.0</v>
      </c>
      <c r="B8" s="9" t="s">
        <v>2134</v>
      </c>
    </row>
    <row r="9">
      <c r="A9" s="11">
        <v>45219.0</v>
      </c>
      <c r="B9" s="9" t="s">
        <v>2135</v>
      </c>
    </row>
    <row r="10">
      <c r="A10" s="11">
        <v>45220.0</v>
      </c>
      <c r="B10" s="9" t="s">
        <v>2136</v>
      </c>
    </row>
    <row r="11">
      <c r="A11" s="11">
        <v>45225.0</v>
      </c>
      <c r="B11" s="9" t="s">
        <v>2137</v>
      </c>
    </row>
    <row r="12">
      <c r="A12" s="11">
        <v>45225.0</v>
      </c>
      <c r="B12" s="9" t="s">
        <v>2138</v>
      </c>
    </row>
    <row r="13">
      <c r="A13" s="11">
        <v>45226.0</v>
      </c>
      <c r="B13" s="9" t="s">
        <v>2139</v>
      </c>
    </row>
    <row r="14">
      <c r="A14" s="11">
        <v>45231.0</v>
      </c>
      <c r="B14" s="9" t="s">
        <v>2140</v>
      </c>
    </row>
    <row r="15">
      <c r="A15" s="11">
        <v>45238.0</v>
      </c>
      <c r="B15" s="9" t="s">
        <v>2141</v>
      </c>
    </row>
    <row r="16">
      <c r="A16" s="11">
        <v>45238.0</v>
      </c>
      <c r="B16" s="9" t="s">
        <v>2142</v>
      </c>
    </row>
    <row r="17">
      <c r="A17" s="11">
        <v>45238.0</v>
      </c>
      <c r="B17" s="9" t="s">
        <v>2143</v>
      </c>
    </row>
    <row r="18">
      <c r="A18" s="11">
        <v>45245.0</v>
      </c>
      <c r="B18" s="9" t="s">
        <v>2144</v>
      </c>
    </row>
    <row r="19">
      <c r="A19" s="11">
        <v>45245.0</v>
      </c>
      <c r="B19" s="9" t="s">
        <v>2145</v>
      </c>
    </row>
    <row r="20">
      <c r="A20" s="11">
        <v>45255.0</v>
      </c>
      <c r="B20" s="9" t="s">
        <v>2146</v>
      </c>
    </row>
    <row r="21">
      <c r="A21" s="11">
        <v>45255.0</v>
      </c>
      <c r="B21" s="9" t="s">
        <v>2147</v>
      </c>
    </row>
    <row r="22">
      <c r="A22" s="11">
        <v>45255.0</v>
      </c>
      <c r="B22" s="9" t="s">
        <v>2148</v>
      </c>
    </row>
    <row r="23">
      <c r="A23" s="11">
        <v>45257.0</v>
      </c>
      <c r="B23" s="9" t="s">
        <v>2149</v>
      </c>
    </row>
    <row r="24">
      <c r="A24" s="11">
        <v>45261.0</v>
      </c>
      <c r="B24" s="9" t="s">
        <v>2150</v>
      </c>
    </row>
    <row r="25">
      <c r="A25" s="11">
        <v>45261.0</v>
      </c>
      <c r="B25" s="9" t="s">
        <v>2151</v>
      </c>
    </row>
    <row r="26">
      <c r="A26" s="11">
        <v>45265.0</v>
      </c>
      <c r="B26" s="9" t="s">
        <v>2152</v>
      </c>
    </row>
    <row r="27">
      <c r="A27" s="11">
        <v>45265.0</v>
      </c>
      <c r="B27" s="9" t="s">
        <v>2153</v>
      </c>
    </row>
    <row r="28">
      <c r="A28" s="11">
        <v>45272.0</v>
      </c>
      <c r="B28" s="9" t="s">
        <v>2154</v>
      </c>
    </row>
    <row r="29">
      <c r="A29" s="11">
        <v>45272.0</v>
      </c>
      <c r="B29" s="9" t="s">
        <v>2155</v>
      </c>
    </row>
    <row r="30">
      <c r="A30" s="11">
        <v>45283.0</v>
      </c>
      <c r="B30" s="9" t="s">
        <v>2156</v>
      </c>
    </row>
    <row r="31">
      <c r="A31" s="11">
        <v>45287.0</v>
      </c>
      <c r="B31" s="9" t="s">
        <v>2157</v>
      </c>
    </row>
    <row r="32">
      <c r="A32" s="11">
        <v>45287.0</v>
      </c>
      <c r="B32" s="9" t="s">
        <v>2158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4" max="14" width="47.0"/>
  </cols>
  <sheetData>
    <row r="1">
      <c r="A1" s="41" t="s">
        <v>2159</v>
      </c>
      <c r="B1" s="45" t="s">
        <v>2160</v>
      </c>
      <c r="C1" s="41" t="s">
        <v>2161</v>
      </c>
      <c r="D1" s="45" t="s">
        <v>2162</v>
      </c>
      <c r="E1" s="45" t="s">
        <v>2163</v>
      </c>
      <c r="F1" s="41" t="s">
        <v>2164</v>
      </c>
      <c r="G1" s="45" t="s">
        <v>2165</v>
      </c>
      <c r="H1" s="45" t="s">
        <v>2166</v>
      </c>
      <c r="I1" s="45" t="s">
        <v>2167</v>
      </c>
      <c r="J1" s="45" t="s">
        <v>2168</v>
      </c>
      <c r="K1" s="45" t="s">
        <v>2169</v>
      </c>
      <c r="L1" s="45" t="s">
        <v>2170</v>
      </c>
      <c r="M1" s="45" t="s">
        <v>2171</v>
      </c>
      <c r="N1" s="42" t="s">
        <v>2172</v>
      </c>
      <c r="O1" s="46"/>
      <c r="P1" s="46"/>
      <c r="Q1" s="46"/>
      <c r="R1" s="46"/>
    </row>
    <row r="2">
      <c r="A2" s="47">
        <v>44992.0</v>
      </c>
      <c r="B2" s="42" t="s">
        <v>2173</v>
      </c>
      <c r="C2" s="42" t="s">
        <v>2174</v>
      </c>
      <c r="D2" s="42" t="s">
        <v>2175</v>
      </c>
      <c r="E2" s="42" t="s">
        <v>2176</v>
      </c>
      <c r="F2" s="48" t="s">
        <v>2177</v>
      </c>
      <c r="G2" s="42" t="s">
        <v>2178</v>
      </c>
      <c r="H2" s="46"/>
      <c r="I2" s="42" t="s">
        <v>2179</v>
      </c>
      <c r="J2" s="46"/>
      <c r="K2" s="42">
        <v>9.713586177E9</v>
      </c>
      <c r="L2" s="49" t="s">
        <v>2180</v>
      </c>
      <c r="M2" s="46"/>
      <c r="N2" s="42"/>
      <c r="O2" s="42"/>
      <c r="P2" s="46"/>
      <c r="Q2" s="46"/>
      <c r="R2" s="46"/>
    </row>
    <row r="3">
      <c r="A3" s="47">
        <v>44998.0</v>
      </c>
      <c r="B3" s="42" t="s">
        <v>2181</v>
      </c>
      <c r="C3" s="42" t="s">
        <v>2182</v>
      </c>
      <c r="D3" s="42" t="s">
        <v>2183</v>
      </c>
      <c r="E3" s="42" t="s">
        <v>2184</v>
      </c>
      <c r="F3" s="46"/>
      <c r="G3" s="46"/>
      <c r="H3" s="46"/>
      <c r="I3" s="42" t="s">
        <v>2185</v>
      </c>
      <c r="J3" s="46"/>
      <c r="K3" s="46">
        <f>9779825653891</f>
        <v>9779825653891</v>
      </c>
      <c r="L3" s="46"/>
      <c r="M3" s="46"/>
      <c r="N3" s="42"/>
      <c r="O3" s="42"/>
      <c r="P3" s="46"/>
      <c r="Q3" s="42"/>
      <c r="R3" s="42"/>
    </row>
    <row r="4">
      <c r="A4" s="47">
        <v>45002.0</v>
      </c>
      <c r="B4" s="42" t="s">
        <v>2181</v>
      </c>
      <c r="C4" s="42" t="s">
        <v>2174</v>
      </c>
      <c r="D4" s="42" t="s">
        <v>2186</v>
      </c>
      <c r="E4" s="42" t="s">
        <v>2187</v>
      </c>
      <c r="F4" s="42" t="s">
        <v>2188</v>
      </c>
      <c r="G4" s="46"/>
      <c r="H4" s="46"/>
      <c r="I4" s="42" t="s">
        <v>2189</v>
      </c>
      <c r="J4" s="42" t="s">
        <v>2190</v>
      </c>
      <c r="K4" s="42">
        <v>9.928365484E9</v>
      </c>
      <c r="M4" s="46"/>
      <c r="N4" s="42"/>
      <c r="O4" s="42"/>
      <c r="P4" s="42"/>
      <c r="Q4" s="46"/>
      <c r="R4" s="46"/>
    </row>
    <row r="5">
      <c r="A5" s="47">
        <v>45005.0</v>
      </c>
      <c r="B5" s="42" t="s">
        <v>2181</v>
      </c>
      <c r="C5" s="42" t="s">
        <v>2191</v>
      </c>
      <c r="D5" s="42" t="s">
        <v>2192</v>
      </c>
      <c r="E5" s="42" t="s">
        <v>2193</v>
      </c>
      <c r="F5" s="46"/>
      <c r="G5" s="46"/>
      <c r="H5" s="46"/>
      <c r="I5" s="42" t="s">
        <v>2194</v>
      </c>
      <c r="J5" s="42" t="s">
        <v>2195</v>
      </c>
      <c r="K5" s="42">
        <v>8.968630016E9</v>
      </c>
      <c r="M5" s="46"/>
      <c r="N5" s="42"/>
      <c r="O5" s="42"/>
      <c r="P5" s="42"/>
      <c r="Q5" s="46"/>
      <c r="R5" s="46"/>
    </row>
    <row r="6">
      <c r="A6" s="47">
        <v>45005.0</v>
      </c>
      <c r="B6" s="42" t="s">
        <v>2181</v>
      </c>
      <c r="C6" s="42" t="s">
        <v>2196</v>
      </c>
      <c r="D6" s="42" t="s">
        <v>2197</v>
      </c>
      <c r="E6" s="42" t="s">
        <v>2197</v>
      </c>
      <c r="F6" s="46"/>
      <c r="G6" s="46"/>
      <c r="H6" s="46"/>
      <c r="I6" s="42" t="s">
        <v>2198</v>
      </c>
      <c r="J6" s="42" t="s">
        <v>2199</v>
      </c>
      <c r="K6" s="46">
        <f>8801711378071
</f>
        <v>8801711378071</v>
      </c>
      <c r="M6" s="46"/>
      <c r="N6" s="42"/>
      <c r="O6" s="46"/>
      <c r="P6" s="46"/>
      <c r="Q6" s="46"/>
      <c r="R6" s="46"/>
    </row>
    <row r="7">
      <c r="A7" s="47">
        <v>45008.0</v>
      </c>
      <c r="B7" s="42" t="s">
        <v>2173</v>
      </c>
      <c r="C7" s="42" t="s">
        <v>2200</v>
      </c>
      <c r="D7" s="42" t="s">
        <v>2201</v>
      </c>
      <c r="E7" s="42" t="s">
        <v>2202</v>
      </c>
      <c r="F7" s="42" t="s">
        <v>2203</v>
      </c>
      <c r="G7" s="42" t="s">
        <v>2204</v>
      </c>
      <c r="H7" s="46"/>
      <c r="I7" s="42" t="s">
        <v>2205</v>
      </c>
      <c r="J7" s="42">
        <v>9.895960485E9</v>
      </c>
      <c r="K7" s="42" t="s">
        <v>2206</v>
      </c>
      <c r="L7" s="42" t="s">
        <v>2207</v>
      </c>
      <c r="M7" s="46"/>
      <c r="N7" s="42"/>
      <c r="O7" s="42"/>
      <c r="P7" s="46"/>
      <c r="Q7" s="46"/>
      <c r="R7" s="46"/>
    </row>
    <row r="8">
      <c r="A8" s="47">
        <v>45012.0</v>
      </c>
      <c r="B8" s="42" t="s">
        <v>2181</v>
      </c>
      <c r="C8" s="42" t="s">
        <v>2208</v>
      </c>
      <c r="D8" s="42" t="s">
        <v>2209</v>
      </c>
      <c r="E8" s="42" t="s">
        <v>2210</v>
      </c>
      <c r="F8" s="42" t="s">
        <v>2211</v>
      </c>
      <c r="G8" s="42" t="s">
        <v>2212</v>
      </c>
      <c r="H8" s="42">
        <v>140401.0</v>
      </c>
      <c r="I8" s="42" t="s">
        <v>2213</v>
      </c>
      <c r="J8" s="9" t="s">
        <v>2214</v>
      </c>
      <c r="K8" s="42">
        <v>9.041768058E9</v>
      </c>
      <c r="L8" s="46"/>
      <c r="M8" s="42" t="s">
        <v>2215</v>
      </c>
      <c r="N8" s="42"/>
      <c r="O8" s="46"/>
      <c r="P8" s="46"/>
      <c r="Q8" s="46"/>
      <c r="R8" s="46"/>
    </row>
    <row r="9">
      <c r="A9" s="47">
        <v>45014.0</v>
      </c>
      <c r="B9" s="42" t="s">
        <v>2181</v>
      </c>
      <c r="C9" s="42" t="s">
        <v>2216</v>
      </c>
      <c r="D9" s="42" t="s">
        <v>2217</v>
      </c>
      <c r="E9" s="42" t="s">
        <v>2218</v>
      </c>
      <c r="F9" s="42" t="s">
        <v>2219</v>
      </c>
      <c r="G9" s="46"/>
      <c r="H9" s="46"/>
      <c r="I9" s="42" t="s">
        <v>2220</v>
      </c>
      <c r="J9" s="46"/>
      <c r="K9" s="46">
        <f>93700160336</f>
        <v>93700160336</v>
      </c>
      <c r="L9" s="46"/>
      <c r="M9" s="46"/>
      <c r="N9" s="42"/>
      <c r="O9" s="46"/>
      <c r="P9" s="46"/>
      <c r="Q9" s="46"/>
      <c r="R9" s="46"/>
    </row>
    <row r="10">
      <c r="A10" s="47">
        <v>45014.0</v>
      </c>
      <c r="B10" s="42" t="s">
        <v>2181</v>
      </c>
      <c r="C10" s="42" t="s">
        <v>2221</v>
      </c>
      <c r="D10" s="42" t="s">
        <v>2222</v>
      </c>
      <c r="E10" s="42" t="s">
        <v>2223</v>
      </c>
      <c r="F10" s="42" t="s">
        <v>2224</v>
      </c>
      <c r="G10" s="46"/>
      <c r="H10" s="46"/>
      <c r="I10" s="46"/>
      <c r="J10" s="46"/>
      <c r="K10" s="42">
        <v>8.141430532E9</v>
      </c>
      <c r="L10" s="46"/>
      <c r="M10" s="46"/>
      <c r="N10" s="42"/>
      <c r="O10" s="46"/>
      <c r="P10" s="46"/>
      <c r="Q10" s="46"/>
      <c r="R10" s="46"/>
    </row>
    <row r="11">
      <c r="A11" s="47">
        <v>45015.0</v>
      </c>
      <c r="B11" s="42" t="s">
        <v>2181</v>
      </c>
      <c r="C11" s="42" t="s">
        <v>2174</v>
      </c>
      <c r="D11" s="42" t="s">
        <v>2225</v>
      </c>
      <c r="E11" s="46"/>
      <c r="F11" s="42"/>
      <c r="G11" s="46"/>
      <c r="H11" s="46"/>
      <c r="I11" s="42" t="s">
        <v>2226</v>
      </c>
      <c r="J11" s="46"/>
      <c r="K11" s="42">
        <v>7.276556935E9</v>
      </c>
      <c r="L11" s="46"/>
      <c r="M11" s="46"/>
      <c r="N11" s="42"/>
      <c r="O11" s="46"/>
      <c r="P11" s="46"/>
      <c r="Q11" s="46"/>
      <c r="R11" s="46"/>
    </row>
    <row r="12">
      <c r="A12" s="47">
        <v>45015.0</v>
      </c>
      <c r="B12" s="42" t="s">
        <v>2181</v>
      </c>
      <c r="C12" s="42" t="s">
        <v>2227</v>
      </c>
      <c r="D12" s="42" t="s">
        <v>2228</v>
      </c>
      <c r="E12" s="42" t="s">
        <v>2229</v>
      </c>
      <c r="F12" s="42"/>
      <c r="G12" s="46"/>
      <c r="H12" s="46"/>
      <c r="I12" s="42" t="s">
        <v>2230</v>
      </c>
      <c r="J12" s="46"/>
      <c r="K12" s="42">
        <v>9.81032814E9</v>
      </c>
      <c r="L12" s="46"/>
      <c r="M12" s="46"/>
      <c r="N12" s="42"/>
      <c r="O12" s="46"/>
      <c r="P12" s="46"/>
      <c r="Q12" s="46"/>
      <c r="R12" s="46"/>
    </row>
    <row r="13">
      <c r="A13" s="46"/>
      <c r="B13" s="46"/>
      <c r="C13" s="46"/>
      <c r="D13" s="46"/>
      <c r="E13" s="46"/>
      <c r="F13" s="46"/>
      <c r="G13" s="46"/>
      <c r="H13" s="46"/>
      <c r="I13" s="46"/>
      <c r="J13" s="46"/>
      <c r="K13" s="46"/>
      <c r="L13" s="46"/>
      <c r="M13" s="46"/>
      <c r="N13" s="46"/>
      <c r="O13" s="46"/>
      <c r="P13" s="46"/>
      <c r="Q13" s="46"/>
      <c r="R13" s="46"/>
    </row>
    <row r="14">
      <c r="A14" s="46"/>
      <c r="B14" s="46"/>
      <c r="C14" s="46"/>
      <c r="D14" s="46"/>
      <c r="E14" s="46"/>
      <c r="F14" s="46"/>
      <c r="G14" s="46"/>
      <c r="H14" s="46"/>
      <c r="I14" s="46"/>
      <c r="J14" s="46"/>
      <c r="K14" s="46"/>
      <c r="L14" s="46"/>
      <c r="M14" s="46"/>
      <c r="N14" s="46"/>
      <c r="O14" s="46"/>
      <c r="P14" s="46"/>
      <c r="Q14" s="46"/>
      <c r="R14" s="46"/>
    </row>
    <row r="15">
      <c r="A15" s="47">
        <v>45020.0</v>
      </c>
      <c r="B15" s="42" t="s">
        <v>2231</v>
      </c>
      <c r="C15" s="42" t="s">
        <v>2174</v>
      </c>
      <c r="D15" s="42" t="s">
        <v>2232</v>
      </c>
      <c r="E15" s="46"/>
      <c r="F15" s="42" t="s">
        <v>2233</v>
      </c>
      <c r="G15" s="46"/>
      <c r="H15" s="46"/>
      <c r="I15" s="42" t="s">
        <v>2234</v>
      </c>
      <c r="J15" s="46"/>
      <c r="K15" s="42">
        <v>9.899925456E9</v>
      </c>
      <c r="L15" s="42" t="s">
        <v>2235</v>
      </c>
      <c r="M15" s="42" t="s">
        <v>2236</v>
      </c>
      <c r="N15" s="42"/>
      <c r="O15" s="42"/>
      <c r="P15" s="46"/>
      <c r="Q15" s="46"/>
      <c r="R15" s="46"/>
    </row>
    <row r="16">
      <c r="A16" s="47">
        <v>45020.0</v>
      </c>
      <c r="B16" s="42" t="s">
        <v>2181</v>
      </c>
      <c r="C16" s="42" t="s">
        <v>2237</v>
      </c>
      <c r="D16" s="46"/>
      <c r="E16" s="50" t="s">
        <v>2229</v>
      </c>
      <c r="F16" s="46"/>
      <c r="G16" s="46"/>
      <c r="H16" s="46"/>
      <c r="I16" s="42" t="s">
        <v>2238</v>
      </c>
      <c r="J16" s="46"/>
      <c r="K16" s="42">
        <v>8.950748985E9</v>
      </c>
      <c r="L16" s="46"/>
      <c r="M16" s="46"/>
      <c r="N16" s="42"/>
      <c r="O16" s="46"/>
      <c r="P16" s="46"/>
      <c r="Q16" s="46"/>
      <c r="R16" s="46"/>
    </row>
    <row r="17">
      <c r="A17" s="47">
        <v>45021.0</v>
      </c>
      <c r="B17" s="42" t="s">
        <v>2181</v>
      </c>
      <c r="C17" s="42" t="s">
        <v>2239</v>
      </c>
      <c r="D17" s="42" t="s">
        <v>2240</v>
      </c>
      <c r="E17" s="42" t="s">
        <v>2241</v>
      </c>
      <c r="F17" s="46"/>
      <c r="G17" s="46"/>
      <c r="H17" s="46"/>
      <c r="I17" s="42" t="s">
        <v>2242</v>
      </c>
      <c r="J17" s="42" t="s">
        <v>2243</v>
      </c>
      <c r="K17" s="42">
        <v>7.819977537E9</v>
      </c>
      <c r="L17" s="46"/>
      <c r="M17" s="46"/>
      <c r="N17" s="42"/>
      <c r="O17" s="46"/>
      <c r="P17" s="46"/>
      <c r="Q17" s="46"/>
      <c r="R17" s="46"/>
    </row>
    <row r="18">
      <c r="A18" s="47">
        <v>45028.0</v>
      </c>
      <c r="B18" s="42" t="s">
        <v>2181</v>
      </c>
      <c r="C18" s="42" t="s">
        <v>2244</v>
      </c>
      <c r="D18" s="42" t="s">
        <v>2245</v>
      </c>
      <c r="E18" s="42" t="s">
        <v>2210</v>
      </c>
      <c r="F18" s="46"/>
      <c r="G18" s="46"/>
      <c r="H18" s="46"/>
      <c r="I18" s="42" t="s">
        <v>2246</v>
      </c>
      <c r="J18" s="46"/>
      <c r="K18" s="42">
        <v>9.772777282E9</v>
      </c>
      <c r="L18" s="46"/>
      <c r="M18" s="46"/>
      <c r="N18" s="46"/>
      <c r="O18" s="46"/>
      <c r="P18" s="46"/>
      <c r="Q18" s="46"/>
      <c r="R18" s="46"/>
    </row>
    <row r="19">
      <c r="A19" s="47">
        <v>45028.0</v>
      </c>
      <c r="B19" s="42" t="s">
        <v>2181</v>
      </c>
      <c r="C19" s="42" t="s">
        <v>2247</v>
      </c>
      <c r="D19" s="42" t="s">
        <v>2248</v>
      </c>
      <c r="E19" s="42" t="s">
        <v>2249</v>
      </c>
      <c r="F19" s="42" t="s">
        <v>2250</v>
      </c>
      <c r="G19" s="46"/>
      <c r="H19" s="46"/>
      <c r="I19" s="42" t="s">
        <v>2251</v>
      </c>
      <c r="J19" s="42"/>
      <c r="K19" s="42">
        <v>7.276556935E9</v>
      </c>
      <c r="L19" s="42"/>
      <c r="M19" s="42"/>
      <c r="N19" s="42"/>
      <c r="O19" s="42"/>
      <c r="P19" s="46"/>
      <c r="Q19" s="46"/>
      <c r="R19" s="46"/>
    </row>
    <row r="20">
      <c r="A20" s="47">
        <v>45029.0</v>
      </c>
      <c r="B20" s="42" t="s">
        <v>2181</v>
      </c>
      <c r="C20" s="42" t="s">
        <v>2252</v>
      </c>
      <c r="D20" s="42" t="s">
        <v>2229</v>
      </c>
      <c r="E20" s="42" t="s">
        <v>2229</v>
      </c>
      <c r="F20" s="46"/>
      <c r="G20" s="46"/>
      <c r="H20" s="46"/>
      <c r="I20" s="42" t="s">
        <v>2253</v>
      </c>
      <c r="J20" s="46"/>
      <c r="K20" s="42">
        <v>9.416632141E9</v>
      </c>
      <c r="L20" s="46"/>
      <c r="M20" s="46"/>
      <c r="N20" s="46"/>
      <c r="O20" s="46"/>
      <c r="P20" s="46"/>
      <c r="Q20" s="46"/>
      <c r="R20" s="46"/>
    </row>
    <row r="21">
      <c r="A21" s="47">
        <v>45063.0</v>
      </c>
      <c r="B21" s="42" t="s">
        <v>2231</v>
      </c>
      <c r="C21" s="42" t="s">
        <v>2174</v>
      </c>
      <c r="D21" s="46"/>
      <c r="E21" s="46"/>
      <c r="F21" s="46"/>
      <c r="G21" s="46"/>
      <c r="H21" s="46"/>
      <c r="I21" s="42" t="s">
        <v>2254</v>
      </c>
      <c r="J21" s="46"/>
      <c r="K21" s="42">
        <v>8.830289813E9</v>
      </c>
      <c r="L21" s="46"/>
      <c r="M21" s="46"/>
      <c r="N21" s="46"/>
      <c r="O21" s="46"/>
      <c r="P21" s="46"/>
      <c r="Q21" s="46"/>
      <c r="R21" s="46"/>
    </row>
    <row r="22">
      <c r="A22" s="47">
        <v>45063.0</v>
      </c>
      <c r="B22" s="42" t="s">
        <v>2231</v>
      </c>
      <c r="C22" s="42" t="s">
        <v>2255</v>
      </c>
      <c r="D22" s="46"/>
      <c r="E22" s="46"/>
      <c r="F22" s="46"/>
      <c r="G22" s="46"/>
      <c r="H22" s="46"/>
      <c r="I22" s="42" t="s">
        <v>2256</v>
      </c>
      <c r="J22" s="46"/>
      <c r="K22" s="42">
        <v>9.099097435E9</v>
      </c>
      <c r="L22" s="46"/>
      <c r="M22" s="46"/>
      <c r="N22" s="46"/>
      <c r="O22" s="46"/>
      <c r="P22" s="46"/>
      <c r="Q22" s="46"/>
      <c r="R22" s="46"/>
    </row>
    <row r="23">
      <c r="A23" s="47">
        <v>45063.0</v>
      </c>
      <c r="B23" s="42" t="s">
        <v>2231</v>
      </c>
      <c r="C23" s="42" t="s">
        <v>2257</v>
      </c>
      <c r="D23" s="46"/>
      <c r="E23" s="46"/>
      <c r="F23" s="46"/>
      <c r="G23" s="46"/>
      <c r="H23" s="46"/>
      <c r="I23" s="42" t="s">
        <v>2258</v>
      </c>
      <c r="J23" s="46"/>
      <c r="K23" s="42">
        <v>8.956776673E9</v>
      </c>
      <c r="L23" s="46"/>
      <c r="M23" s="46"/>
      <c r="N23" s="46"/>
      <c r="O23" s="46"/>
      <c r="P23" s="46"/>
      <c r="Q23" s="46"/>
      <c r="R23" s="46"/>
    </row>
    <row r="24">
      <c r="A24" s="47">
        <v>45064.0</v>
      </c>
      <c r="B24" s="42" t="s">
        <v>2231</v>
      </c>
      <c r="C24" s="42" t="s">
        <v>2259</v>
      </c>
      <c r="D24" s="42" t="s">
        <v>2260</v>
      </c>
      <c r="E24" s="42" t="s">
        <v>2261</v>
      </c>
      <c r="F24" s="42" t="s">
        <v>2262</v>
      </c>
      <c r="G24" s="46"/>
      <c r="H24" s="46"/>
      <c r="I24" s="42" t="s">
        <v>2263</v>
      </c>
      <c r="J24" s="46"/>
      <c r="K24" s="42">
        <v>9.359430202E9</v>
      </c>
      <c r="L24" s="46"/>
      <c r="M24" s="46"/>
      <c r="N24" s="46"/>
      <c r="O24" s="46"/>
      <c r="P24" s="46"/>
      <c r="Q24" s="46"/>
      <c r="R24" s="46"/>
    </row>
    <row r="25">
      <c r="A25" s="47">
        <v>45101.0</v>
      </c>
      <c r="B25" s="42" t="s">
        <v>2231</v>
      </c>
      <c r="C25" s="51" t="s">
        <v>2264</v>
      </c>
      <c r="D25" s="42" t="s">
        <v>2265</v>
      </c>
      <c r="E25" s="42" t="s">
        <v>2266</v>
      </c>
      <c r="F25" s="42" t="s">
        <v>2267</v>
      </c>
      <c r="G25" s="46"/>
      <c r="H25" s="46"/>
      <c r="I25" s="42" t="s">
        <v>2268</v>
      </c>
      <c r="J25" s="46"/>
      <c r="K25" s="42" t="s">
        <v>2269</v>
      </c>
      <c r="L25" s="46"/>
      <c r="M25" s="46"/>
      <c r="N25" s="46"/>
      <c r="O25" s="46"/>
      <c r="P25" s="46"/>
      <c r="Q25" s="46"/>
      <c r="R25" s="46"/>
    </row>
    <row r="26">
      <c r="A26" s="47">
        <v>45102.0</v>
      </c>
      <c r="B26" s="42" t="s">
        <v>2231</v>
      </c>
      <c r="C26" s="42" t="s">
        <v>2270</v>
      </c>
      <c r="D26" s="42" t="s">
        <v>2271</v>
      </c>
      <c r="E26" s="42" t="s">
        <v>2272</v>
      </c>
      <c r="F26" s="42" t="s">
        <v>2273</v>
      </c>
      <c r="G26" s="42" t="s">
        <v>2274</v>
      </c>
      <c r="H26" s="46"/>
      <c r="I26" s="42" t="s">
        <v>2275</v>
      </c>
      <c r="J26" s="42" t="s">
        <v>2276</v>
      </c>
      <c r="K26" s="42" t="s">
        <v>2277</v>
      </c>
      <c r="L26" s="46"/>
      <c r="M26" s="46"/>
      <c r="N26" s="46"/>
      <c r="O26" s="46"/>
      <c r="P26" s="46"/>
      <c r="Q26" s="46"/>
      <c r="R26" s="46"/>
    </row>
    <row r="27">
      <c r="A27" s="47">
        <v>45103.0</v>
      </c>
      <c r="B27" s="42" t="s">
        <v>2231</v>
      </c>
      <c r="C27" s="52" t="s">
        <v>2278</v>
      </c>
      <c r="D27" s="42" t="s">
        <v>2279</v>
      </c>
      <c r="E27" s="42" t="s">
        <v>2280</v>
      </c>
      <c r="F27" s="46"/>
      <c r="G27" s="46"/>
      <c r="H27" s="46"/>
      <c r="I27" s="42" t="s">
        <v>2281</v>
      </c>
      <c r="J27" s="46"/>
      <c r="K27" s="42">
        <v>9.895940242E9</v>
      </c>
      <c r="L27" s="46"/>
      <c r="M27" s="46"/>
      <c r="N27" s="46"/>
      <c r="O27" s="46"/>
      <c r="P27" s="46"/>
      <c r="Q27" s="46"/>
      <c r="R27" s="46"/>
    </row>
    <row r="28">
      <c r="A28" s="47">
        <v>45103.0</v>
      </c>
      <c r="B28" s="42" t="s">
        <v>2282</v>
      </c>
      <c r="C28" s="51" t="s">
        <v>2283</v>
      </c>
      <c r="D28" s="42" t="s">
        <v>2284</v>
      </c>
      <c r="E28" s="42" t="s">
        <v>2249</v>
      </c>
      <c r="F28" s="42" t="s">
        <v>2285</v>
      </c>
      <c r="G28" s="46"/>
      <c r="H28" s="46"/>
      <c r="I28" s="42" t="s">
        <v>2286</v>
      </c>
      <c r="J28" s="46"/>
      <c r="K28" s="42">
        <v>9.175646454E9</v>
      </c>
      <c r="L28" s="46"/>
      <c r="M28" s="46"/>
      <c r="N28" s="46"/>
      <c r="O28" s="46"/>
      <c r="P28" s="46"/>
      <c r="Q28" s="46"/>
      <c r="R28" s="46"/>
    </row>
    <row r="29">
      <c r="A29" s="47">
        <v>45106.0</v>
      </c>
      <c r="B29" s="42" t="s">
        <v>2231</v>
      </c>
      <c r="D29" s="42" t="s">
        <v>2287</v>
      </c>
      <c r="E29" s="42" t="s">
        <v>2287</v>
      </c>
      <c r="F29" s="46"/>
      <c r="G29" s="46"/>
      <c r="H29" s="46"/>
      <c r="I29" s="42" t="s">
        <v>2288</v>
      </c>
      <c r="J29" s="42" t="s">
        <v>2289</v>
      </c>
      <c r="K29" s="42">
        <v>9.19810007751E11</v>
      </c>
      <c r="L29" s="46"/>
      <c r="M29" s="46"/>
      <c r="N29" s="46"/>
      <c r="O29" s="46"/>
      <c r="P29" s="46"/>
      <c r="Q29" s="46"/>
      <c r="R29" s="46"/>
    </row>
    <row r="30">
      <c r="A30" s="53">
        <v>45108.0</v>
      </c>
      <c r="B30" s="42" t="s">
        <v>2231</v>
      </c>
      <c r="C30" s="42" t="s">
        <v>2290</v>
      </c>
      <c r="D30" s="42" t="s">
        <v>2291</v>
      </c>
      <c r="E30" s="42" t="s">
        <v>2210</v>
      </c>
      <c r="F30" s="42" t="s">
        <v>2292</v>
      </c>
      <c r="G30" s="46"/>
      <c r="H30" s="46"/>
      <c r="I30" s="42" t="s">
        <v>2293</v>
      </c>
      <c r="J30" s="46"/>
      <c r="K30" s="42">
        <v>9.57153298E9</v>
      </c>
      <c r="L30" s="46"/>
      <c r="M30" s="46"/>
      <c r="N30" s="46"/>
      <c r="O30" s="46"/>
      <c r="P30" s="46"/>
      <c r="Q30" s="46"/>
      <c r="R30" s="46"/>
    </row>
    <row r="31">
      <c r="A31" s="53">
        <v>45108.0</v>
      </c>
      <c r="B31" s="42" t="s">
        <v>2294</v>
      </c>
      <c r="C31" s="42" t="s">
        <v>2295</v>
      </c>
      <c r="D31" s="42" t="s">
        <v>2296</v>
      </c>
      <c r="E31" s="42" t="s">
        <v>2297</v>
      </c>
      <c r="F31" s="42" t="s">
        <v>2298</v>
      </c>
      <c r="G31" s="46"/>
      <c r="H31" s="46"/>
      <c r="I31" s="54" t="s">
        <v>2299</v>
      </c>
      <c r="J31" s="42" t="s">
        <v>2300</v>
      </c>
      <c r="K31" s="55">
        <v>9.52086731E9</v>
      </c>
      <c r="L31" s="46"/>
      <c r="M31" s="46"/>
      <c r="N31" s="42"/>
      <c r="O31" s="46"/>
      <c r="P31" s="46"/>
      <c r="Q31" s="46"/>
      <c r="R31" s="46"/>
    </row>
    <row r="32">
      <c r="A32" s="47"/>
      <c r="B32" s="46"/>
      <c r="C32" s="46"/>
      <c r="D32" s="46"/>
      <c r="E32" s="46"/>
      <c r="F32" s="46"/>
      <c r="G32" s="46"/>
      <c r="H32" s="46"/>
      <c r="I32" s="46"/>
      <c r="J32" s="46"/>
      <c r="K32" s="46"/>
      <c r="L32" s="46"/>
      <c r="M32" s="46"/>
      <c r="N32" s="46"/>
      <c r="O32" s="46"/>
      <c r="P32" s="46"/>
      <c r="Q32" s="46"/>
      <c r="R32" s="46"/>
    </row>
    <row r="33">
      <c r="A33" s="46"/>
      <c r="B33" s="42"/>
      <c r="C33" s="46"/>
      <c r="D33" s="46"/>
      <c r="E33" s="46"/>
      <c r="F33" s="46"/>
      <c r="G33" s="46"/>
      <c r="H33" s="46"/>
      <c r="I33" s="46"/>
      <c r="J33" s="46"/>
      <c r="K33" s="46"/>
      <c r="L33" s="46"/>
      <c r="M33" s="46"/>
      <c r="N33" s="46"/>
      <c r="O33" s="46"/>
      <c r="P33" s="46"/>
      <c r="Q33" s="46"/>
      <c r="R33" s="46"/>
    </row>
    <row r="34">
      <c r="A34" s="46"/>
      <c r="B34" s="46"/>
      <c r="C34" s="46"/>
      <c r="D34" s="46"/>
      <c r="E34" s="42"/>
      <c r="F34" s="46"/>
      <c r="G34" s="46"/>
      <c r="H34" s="46"/>
      <c r="I34" s="46"/>
      <c r="J34" s="46"/>
      <c r="K34" s="46"/>
      <c r="L34" s="46"/>
      <c r="M34" s="46"/>
      <c r="N34" s="46"/>
      <c r="O34" s="46"/>
      <c r="P34" s="46"/>
      <c r="Q34" s="46"/>
      <c r="R34" s="46"/>
    </row>
    <row r="35">
      <c r="A35" s="46"/>
      <c r="B35" s="56"/>
      <c r="D35" s="54"/>
      <c r="E35" s="54"/>
      <c r="F35" s="55"/>
      <c r="G35" s="54"/>
      <c r="H35" s="54"/>
      <c r="I35" s="46"/>
      <c r="J35" s="46"/>
      <c r="K35" s="46"/>
      <c r="L35" s="46"/>
      <c r="M35" s="46"/>
      <c r="N35" s="46"/>
      <c r="O35" s="46"/>
      <c r="P35" s="46"/>
      <c r="Q35" s="46"/>
      <c r="R35" s="46"/>
    </row>
    <row r="36">
      <c r="A36" s="46"/>
      <c r="B36" s="46"/>
      <c r="C36" s="46"/>
      <c r="D36" s="46"/>
      <c r="E36" s="46"/>
      <c r="F36" s="46"/>
      <c r="G36" s="46"/>
      <c r="H36" s="46"/>
      <c r="I36" s="46"/>
      <c r="J36" s="46"/>
      <c r="K36" s="46"/>
      <c r="L36" s="46"/>
      <c r="M36" s="46"/>
      <c r="N36" s="46"/>
      <c r="O36" s="46"/>
      <c r="P36" s="46"/>
      <c r="Q36" s="46"/>
      <c r="R36" s="46"/>
    </row>
    <row r="37">
      <c r="A37" s="46"/>
      <c r="B37" s="46"/>
      <c r="C37" s="46"/>
      <c r="D37" s="46"/>
      <c r="E37" s="46"/>
      <c r="F37" s="46"/>
      <c r="G37" s="46"/>
      <c r="H37" s="46"/>
      <c r="I37" s="46"/>
      <c r="J37" s="46"/>
      <c r="K37" s="46"/>
      <c r="L37" s="46"/>
      <c r="M37" s="46"/>
      <c r="N37" s="46"/>
      <c r="O37" s="46"/>
      <c r="P37" s="46"/>
      <c r="Q37" s="46"/>
      <c r="R37" s="46"/>
    </row>
    <row r="38">
      <c r="A38" s="46"/>
      <c r="B38" s="46"/>
      <c r="C38" s="46"/>
      <c r="D38" s="46"/>
      <c r="E38" s="46"/>
      <c r="F38" s="46"/>
      <c r="G38" s="46"/>
      <c r="H38" s="46"/>
      <c r="I38" s="46"/>
      <c r="J38" s="46"/>
      <c r="K38" s="46"/>
      <c r="L38" s="46"/>
      <c r="M38" s="46"/>
      <c r="N38" s="46"/>
      <c r="O38" s="46"/>
      <c r="P38" s="46"/>
      <c r="Q38" s="46"/>
      <c r="R38" s="46"/>
    </row>
    <row r="39">
      <c r="A39" s="46"/>
      <c r="B39" s="46"/>
      <c r="C39" s="46"/>
      <c r="D39" s="46"/>
      <c r="E39" s="46"/>
      <c r="F39" s="46"/>
      <c r="G39" s="46"/>
      <c r="H39" s="46"/>
      <c r="I39" s="46"/>
      <c r="J39" s="46"/>
      <c r="K39" s="46"/>
      <c r="L39" s="46"/>
      <c r="M39" s="46"/>
      <c r="N39" s="46"/>
      <c r="O39" s="46"/>
      <c r="P39" s="46"/>
      <c r="Q39" s="46"/>
      <c r="R39" s="46"/>
    </row>
    <row r="40">
      <c r="A40" s="46"/>
      <c r="B40" s="46"/>
      <c r="C40" s="46"/>
      <c r="D40" s="46"/>
      <c r="E40" s="46"/>
      <c r="F40" s="46"/>
      <c r="G40" s="46"/>
      <c r="H40" s="46"/>
      <c r="I40" s="46"/>
      <c r="J40" s="46"/>
      <c r="K40" s="46"/>
      <c r="L40" s="46"/>
      <c r="M40" s="46"/>
      <c r="N40" s="46"/>
      <c r="O40" s="46"/>
      <c r="P40" s="46"/>
      <c r="Q40" s="46"/>
      <c r="R40" s="46"/>
    </row>
    <row r="41">
      <c r="A41" s="46"/>
      <c r="B41" s="46"/>
      <c r="C41" s="46"/>
      <c r="D41" s="46"/>
      <c r="E41" s="46"/>
      <c r="F41" s="46"/>
      <c r="G41" s="46"/>
      <c r="H41" s="46"/>
      <c r="I41" s="46"/>
      <c r="J41" s="46"/>
      <c r="K41" s="46"/>
      <c r="L41" s="46"/>
      <c r="M41" s="46"/>
      <c r="N41" s="46"/>
      <c r="O41" s="46"/>
      <c r="P41" s="46"/>
      <c r="Q41" s="46"/>
      <c r="R41" s="46"/>
    </row>
    <row r="42">
      <c r="A42" s="46"/>
      <c r="B42" s="46"/>
      <c r="C42" s="46"/>
      <c r="D42" s="46"/>
      <c r="E42" s="46"/>
      <c r="F42" s="46"/>
      <c r="G42" s="46"/>
      <c r="H42" s="46"/>
      <c r="I42" s="46"/>
      <c r="J42" s="46"/>
      <c r="K42" s="46"/>
      <c r="L42" s="46"/>
      <c r="M42" s="46"/>
      <c r="N42" s="46"/>
      <c r="O42" s="46"/>
      <c r="P42" s="46"/>
      <c r="Q42" s="46"/>
      <c r="R42" s="46"/>
    </row>
    <row r="43">
      <c r="A43" s="46"/>
      <c r="B43" s="46"/>
      <c r="C43" s="46"/>
      <c r="D43" s="46"/>
      <c r="E43" s="46"/>
      <c r="F43" s="46"/>
      <c r="G43" s="46"/>
      <c r="H43" s="46"/>
      <c r="I43" s="46"/>
      <c r="J43" s="46"/>
      <c r="K43" s="46"/>
      <c r="L43" s="46"/>
      <c r="M43" s="46"/>
      <c r="N43" s="46"/>
      <c r="O43" s="46"/>
      <c r="P43" s="46"/>
      <c r="Q43" s="46"/>
      <c r="R43" s="46"/>
    </row>
    <row r="44">
      <c r="A44" s="46"/>
      <c r="B44" s="46"/>
      <c r="C44" s="46"/>
      <c r="D44" s="46"/>
      <c r="E44" s="46"/>
      <c r="F44" s="46"/>
      <c r="G44" s="46"/>
      <c r="H44" s="46"/>
      <c r="I44" s="46"/>
      <c r="J44" s="46"/>
      <c r="K44" s="46"/>
      <c r="L44" s="46"/>
      <c r="M44" s="46"/>
      <c r="N44" s="46"/>
      <c r="O44" s="46"/>
      <c r="P44" s="46"/>
      <c r="Q44" s="46"/>
      <c r="R44" s="46"/>
    </row>
    <row r="45">
      <c r="A45" s="46"/>
      <c r="B45" s="46"/>
      <c r="C45" s="46"/>
      <c r="D45" s="46"/>
      <c r="E45" s="46"/>
      <c r="F45" s="46"/>
      <c r="G45" s="46"/>
      <c r="H45" s="46"/>
      <c r="I45" s="46"/>
      <c r="J45" s="46"/>
      <c r="K45" s="46"/>
      <c r="L45" s="46"/>
      <c r="M45" s="46"/>
      <c r="N45" s="46"/>
      <c r="O45" s="46"/>
      <c r="P45" s="46"/>
      <c r="Q45" s="46"/>
      <c r="R45" s="46"/>
    </row>
    <row r="46">
      <c r="A46" s="46"/>
      <c r="B46" s="46"/>
      <c r="C46" s="46"/>
      <c r="D46" s="46"/>
      <c r="E46" s="46"/>
      <c r="F46" s="46"/>
      <c r="G46" s="46"/>
      <c r="H46" s="46"/>
      <c r="I46" s="46"/>
      <c r="J46" s="46"/>
      <c r="K46" s="46"/>
      <c r="L46" s="46"/>
      <c r="M46" s="46"/>
      <c r="N46" s="46"/>
      <c r="O46" s="46"/>
      <c r="P46" s="46"/>
      <c r="Q46" s="46"/>
      <c r="R46" s="46"/>
    </row>
    <row r="47">
      <c r="A47" s="46"/>
      <c r="B47" s="46"/>
      <c r="C47" s="46"/>
      <c r="D47" s="46"/>
      <c r="E47" s="46"/>
      <c r="F47" s="46"/>
      <c r="G47" s="46"/>
      <c r="H47" s="46"/>
      <c r="I47" s="46"/>
      <c r="J47" s="46"/>
      <c r="K47" s="46"/>
      <c r="L47" s="46"/>
      <c r="M47" s="46"/>
      <c r="N47" s="46"/>
      <c r="O47" s="46"/>
      <c r="P47" s="46"/>
      <c r="Q47" s="46"/>
      <c r="R47" s="46"/>
    </row>
    <row r="48">
      <c r="A48" s="46"/>
      <c r="B48" s="46"/>
      <c r="C48" s="46"/>
      <c r="D48" s="46"/>
      <c r="E48" s="46"/>
      <c r="F48" s="46"/>
      <c r="G48" s="46"/>
      <c r="H48" s="46"/>
      <c r="I48" s="46"/>
      <c r="J48" s="46"/>
      <c r="K48" s="46"/>
      <c r="L48" s="46"/>
      <c r="M48" s="46"/>
      <c r="N48" s="46"/>
      <c r="O48" s="46"/>
      <c r="P48" s="46"/>
      <c r="Q48" s="46"/>
      <c r="R48" s="46"/>
    </row>
    <row r="49">
      <c r="A49" s="46"/>
      <c r="B49" s="46"/>
      <c r="C49" s="46"/>
      <c r="D49" s="46"/>
      <c r="E49" s="46"/>
      <c r="F49" s="46"/>
      <c r="G49" s="46"/>
      <c r="H49" s="46"/>
      <c r="I49" s="46"/>
      <c r="J49" s="46"/>
      <c r="K49" s="46"/>
      <c r="L49" s="46"/>
      <c r="M49" s="46"/>
      <c r="N49" s="46"/>
      <c r="O49" s="46"/>
      <c r="P49" s="46"/>
      <c r="Q49" s="46"/>
      <c r="R49" s="46"/>
    </row>
    <row r="50">
      <c r="A50" s="46"/>
      <c r="B50" s="46"/>
      <c r="C50" s="46"/>
      <c r="D50" s="46"/>
      <c r="E50" s="46"/>
      <c r="F50" s="46"/>
      <c r="G50" s="46"/>
      <c r="H50" s="46"/>
      <c r="I50" s="46"/>
      <c r="J50" s="46"/>
      <c r="K50" s="46"/>
      <c r="L50" s="46"/>
      <c r="M50" s="46"/>
      <c r="N50" s="46"/>
      <c r="O50" s="46"/>
      <c r="P50" s="46"/>
      <c r="Q50" s="46"/>
      <c r="R50" s="46"/>
    </row>
    <row r="51">
      <c r="A51" s="46"/>
      <c r="B51" s="46"/>
      <c r="C51" s="46"/>
      <c r="D51" s="46"/>
      <c r="E51" s="46"/>
      <c r="F51" s="46"/>
      <c r="G51" s="46"/>
      <c r="H51" s="46"/>
      <c r="I51" s="46"/>
      <c r="J51" s="46"/>
      <c r="K51" s="46"/>
      <c r="L51" s="46"/>
      <c r="M51" s="46"/>
      <c r="N51" s="46"/>
      <c r="O51" s="46"/>
      <c r="P51" s="46"/>
      <c r="Q51" s="46"/>
      <c r="R51" s="46"/>
    </row>
    <row r="52">
      <c r="A52" s="46"/>
      <c r="B52" s="46"/>
      <c r="C52" s="46"/>
      <c r="D52" s="46"/>
      <c r="E52" s="46"/>
      <c r="F52" s="46"/>
      <c r="G52" s="46"/>
      <c r="H52" s="46"/>
      <c r="I52" s="46"/>
      <c r="J52" s="46"/>
      <c r="K52" s="46"/>
      <c r="L52" s="46"/>
      <c r="M52" s="46"/>
      <c r="N52" s="46"/>
      <c r="O52" s="46"/>
      <c r="P52" s="46"/>
      <c r="Q52" s="46"/>
      <c r="R52" s="46"/>
    </row>
    <row r="53">
      <c r="A53" s="46"/>
      <c r="B53" s="46"/>
      <c r="C53" s="46"/>
      <c r="D53" s="46"/>
      <c r="E53" s="46"/>
      <c r="F53" s="46"/>
      <c r="G53" s="46"/>
      <c r="H53" s="46"/>
      <c r="I53" s="46"/>
      <c r="J53" s="46"/>
      <c r="K53" s="46"/>
      <c r="L53" s="46"/>
      <c r="M53" s="46"/>
      <c r="N53" s="46"/>
      <c r="O53" s="46"/>
      <c r="P53" s="46"/>
      <c r="Q53" s="46"/>
      <c r="R53" s="46"/>
    </row>
    <row r="54">
      <c r="A54" s="46"/>
      <c r="B54" s="46"/>
      <c r="C54" s="46"/>
      <c r="D54" s="46"/>
      <c r="E54" s="46"/>
      <c r="F54" s="46"/>
      <c r="G54" s="46"/>
      <c r="H54" s="46"/>
      <c r="I54" s="46"/>
      <c r="J54" s="46"/>
      <c r="K54" s="46"/>
      <c r="L54" s="46"/>
      <c r="M54" s="46"/>
      <c r="N54" s="46"/>
      <c r="O54" s="46"/>
      <c r="P54" s="46"/>
      <c r="Q54" s="46"/>
      <c r="R54" s="46"/>
    </row>
    <row r="55">
      <c r="A55" s="46"/>
      <c r="B55" s="46"/>
      <c r="C55" s="46"/>
      <c r="D55" s="46"/>
      <c r="E55" s="46"/>
      <c r="F55" s="46"/>
      <c r="G55" s="46"/>
      <c r="H55" s="46"/>
      <c r="I55" s="46"/>
      <c r="J55" s="46"/>
      <c r="K55" s="46"/>
      <c r="L55" s="46"/>
      <c r="M55" s="46"/>
      <c r="N55" s="46"/>
      <c r="O55" s="46"/>
      <c r="P55" s="46"/>
      <c r="Q55" s="46"/>
      <c r="R55" s="46"/>
    </row>
    <row r="56">
      <c r="A56" s="46"/>
      <c r="B56" s="46"/>
      <c r="C56" s="46"/>
      <c r="D56" s="46"/>
      <c r="E56" s="46"/>
      <c r="F56" s="46"/>
      <c r="G56" s="46"/>
      <c r="H56" s="46"/>
      <c r="I56" s="46"/>
      <c r="J56" s="46"/>
      <c r="K56" s="46"/>
      <c r="L56" s="46"/>
      <c r="M56" s="46"/>
      <c r="N56" s="46"/>
      <c r="O56" s="46"/>
      <c r="P56" s="46"/>
      <c r="Q56" s="46"/>
      <c r="R56" s="46"/>
    </row>
    <row r="57">
      <c r="A57" s="46"/>
      <c r="B57" s="46"/>
      <c r="C57" s="46"/>
      <c r="D57" s="46"/>
      <c r="E57" s="46"/>
      <c r="F57" s="46"/>
      <c r="G57" s="46"/>
      <c r="H57" s="46"/>
      <c r="I57" s="46"/>
      <c r="J57" s="46"/>
      <c r="K57" s="46"/>
      <c r="L57" s="46"/>
      <c r="M57" s="46"/>
      <c r="N57" s="46"/>
      <c r="O57" s="46"/>
      <c r="P57" s="46"/>
      <c r="Q57" s="46"/>
      <c r="R57" s="46"/>
    </row>
    <row r="58">
      <c r="A58" s="46"/>
      <c r="B58" s="46"/>
      <c r="C58" s="46"/>
      <c r="D58" s="46"/>
      <c r="E58" s="46"/>
      <c r="F58" s="46"/>
      <c r="G58" s="46"/>
      <c r="H58" s="46"/>
      <c r="I58" s="46"/>
      <c r="J58" s="46"/>
      <c r="K58" s="46"/>
      <c r="L58" s="46"/>
      <c r="M58" s="46"/>
      <c r="N58" s="46"/>
      <c r="O58" s="46"/>
      <c r="P58" s="46"/>
      <c r="Q58" s="46"/>
      <c r="R58" s="46"/>
    </row>
    <row r="59">
      <c r="A59" s="46"/>
      <c r="B59" s="46"/>
      <c r="C59" s="46"/>
      <c r="D59" s="46"/>
      <c r="E59" s="46"/>
      <c r="F59" s="46"/>
      <c r="G59" s="46"/>
      <c r="H59" s="46"/>
      <c r="I59" s="46"/>
      <c r="J59" s="46"/>
      <c r="K59" s="46"/>
      <c r="L59" s="46"/>
      <c r="M59" s="46"/>
      <c r="N59" s="46"/>
      <c r="O59" s="46"/>
      <c r="P59" s="46"/>
      <c r="Q59" s="46"/>
      <c r="R59" s="46"/>
    </row>
    <row r="60">
      <c r="A60" s="46"/>
      <c r="B60" s="46"/>
      <c r="C60" s="46"/>
      <c r="D60" s="46"/>
      <c r="E60" s="46"/>
      <c r="F60" s="46"/>
      <c r="G60" s="46"/>
      <c r="H60" s="46"/>
      <c r="I60" s="46"/>
      <c r="J60" s="46"/>
      <c r="K60" s="46"/>
      <c r="L60" s="46"/>
      <c r="M60" s="46"/>
      <c r="N60" s="46"/>
      <c r="O60" s="46"/>
      <c r="P60" s="46"/>
      <c r="Q60" s="46"/>
      <c r="R60" s="46"/>
    </row>
    <row r="61">
      <c r="A61" s="46"/>
      <c r="B61" s="46"/>
      <c r="C61" s="46"/>
      <c r="D61" s="46"/>
      <c r="E61" s="46"/>
      <c r="F61" s="46"/>
      <c r="G61" s="46"/>
      <c r="H61" s="46"/>
      <c r="I61" s="46"/>
      <c r="J61" s="46"/>
      <c r="K61" s="46"/>
      <c r="L61" s="46"/>
      <c r="M61" s="46"/>
      <c r="N61" s="46"/>
      <c r="O61" s="46"/>
      <c r="P61" s="46"/>
      <c r="Q61" s="46"/>
      <c r="R61" s="46"/>
    </row>
    <row r="62">
      <c r="A62" s="46"/>
      <c r="B62" s="46"/>
      <c r="C62" s="46"/>
      <c r="D62" s="46"/>
      <c r="E62" s="46"/>
      <c r="F62" s="46"/>
      <c r="G62" s="46"/>
      <c r="H62" s="46"/>
      <c r="I62" s="46"/>
      <c r="J62" s="46"/>
      <c r="K62" s="46"/>
      <c r="L62" s="46"/>
      <c r="M62" s="46"/>
      <c r="N62" s="46"/>
      <c r="O62" s="46"/>
      <c r="P62" s="46"/>
      <c r="Q62" s="46"/>
      <c r="R62" s="46"/>
    </row>
    <row r="63">
      <c r="A63" s="46"/>
      <c r="B63" s="46"/>
      <c r="C63" s="46"/>
      <c r="D63" s="46"/>
      <c r="E63" s="46"/>
      <c r="F63" s="46"/>
      <c r="G63" s="46"/>
      <c r="H63" s="46"/>
      <c r="I63" s="46"/>
      <c r="J63" s="46"/>
      <c r="K63" s="46"/>
      <c r="L63" s="46"/>
      <c r="M63" s="46"/>
      <c r="N63" s="46"/>
      <c r="O63" s="46"/>
      <c r="P63" s="46"/>
      <c r="Q63" s="46"/>
      <c r="R63" s="46"/>
    </row>
    <row r="64">
      <c r="A64" s="46"/>
      <c r="B64" s="46"/>
      <c r="C64" s="46"/>
      <c r="D64" s="46"/>
      <c r="E64" s="46"/>
      <c r="F64" s="46"/>
      <c r="G64" s="46"/>
      <c r="H64" s="46"/>
      <c r="I64" s="46"/>
      <c r="J64" s="46"/>
      <c r="K64" s="46"/>
      <c r="L64" s="46"/>
      <c r="M64" s="46"/>
      <c r="N64" s="46"/>
      <c r="O64" s="46"/>
      <c r="P64" s="46"/>
      <c r="Q64" s="46"/>
      <c r="R64" s="46"/>
    </row>
    <row r="65">
      <c r="A65" s="46"/>
      <c r="B65" s="46"/>
      <c r="C65" s="46"/>
      <c r="D65" s="46"/>
      <c r="E65" s="46"/>
      <c r="F65" s="46"/>
      <c r="G65" s="46"/>
      <c r="H65" s="46"/>
      <c r="I65" s="46"/>
      <c r="J65" s="46"/>
      <c r="K65" s="46"/>
      <c r="L65" s="46"/>
      <c r="M65" s="46"/>
      <c r="N65" s="46"/>
      <c r="O65" s="46"/>
      <c r="P65" s="46"/>
      <c r="Q65" s="46"/>
      <c r="R65" s="46"/>
    </row>
    <row r="66">
      <c r="A66" s="46"/>
      <c r="B66" s="46"/>
      <c r="C66" s="46"/>
      <c r="D66" s="46"/>
      <c r="E66" s="46"/>
      <c r="F66" s="46"/>
      <c r="G66" s="46"/>
      <c r="H66" s="46"/>
      <c r="I66" s="46"/>
      <c r="J66" s="46"/>
      <c r="K66" s="46"/>
      <c r="L66" s="46"/>
      <c r="M66" s="46"/>
      <c r="N66" s="46"/>
      <c r="O66" s="46"/>
      <c r="P66" s="46"/>
      <c r="Q66" s="46"/>
      <c r="R66" s="46"/>
    </row>
    <row r="67">
      <c r="A67" s="46"/>
      <c r="B67" s="46"/>
      <c r="C67" s="46"/>
      <c r="D67" s="46"/>
      <c r="E67" s="46"/>
      <c r="F67" s="46"/>
      <c r="G67" s="46"/>
      <c r="H67" s="46"/>
      <c r="I67" s="46"/>
      <c r="J67" s="46"/>
      <c r="K67" s="46"/>
      <c r="L67" s="46"/>
      <c r="M67" s="46"/>
      <c r="N67" s="46"/>
      <c r="O67" s="46"/>
      <c r="P67" s="46"/>
      <c r="Q67" s="46"/>
      <c r="R67" s="46"/>
    </row>
    <row r="68">
      <c r="A68" s="46"/>
      <c r="B68" s="46"/>
      <c r="C68" s="46"/>
      <c r="D68" s="46"/>
      <c r="E68" s="46"/>
      <c r="F68" s="46"/>
      <c r="G68" s="46"/>
      <c r="H68" s="46"/>
      <c r="I68" s="46"/>
      <c r="J68" s="46"/>
      <c r="K68" s="46"/>
      <c r="L68" s="46"/>
      <c r="M68" s="46"/>
      <c r="N68" s="46"/>
      <c r="O68" s="46"/>
      <c r="P68" s="46"/>
      <c r="Q68" s="46"/>
      <c r="R68" s="46"/>
    </row>
    <row r="69">
      <c r="A69" s="46"/>
      <c r="B69" s="46"/>
      <c r="C69" s="46"/>
      <c r="D69" s="46"/>
      <c r="E69" s="46"/>
      <c r="F69" s="46"/>
      <c r="G69" s="46"/>
      <c r="H69" s="46"/>
      <c r="I69" s="46"/>
      <c r="J69" s="46"/>
      <c r="K69" s="46"/>
      <c r="L69" s="46"/>
      <c r="M69" s="46"/>
      <c r="N69" s="46"/>
      <c r="O69" s="46"/>
      <c r="P69" s="46"/>
      <c r="Q69" s="46"/>
      <c r="R69" s="46"/>
    </row>
    <row r="70">
      <c r="A70" s="46"/>
      <c r="B70" s="46"/>
      <c r="C70" s="46"/>
      <c r="D70" s="46"/>
      <c r="E70" s="46"/>
      <c r="F70" s="46"/>
      <c r="G70" s="46"/>
      <c r="H70" s="46"/>
      <c r="I70" s="46"/>
      <c r="J70" s="46"/>
      <c r="K70" s="46"/>
      <c r="L70" s="46"/>
      <c r="M70" s="46"/>
      <c r="N70" s="46"/>
      <c r="O70" s="46"/>
      <c r="P70" s="46"/>
      <c r="Q70" s="46"/>
      <c r="R70" s="46"/>
    </row>
    <row r="71">
      <c r="A71" s="46"/>
      <c r="B71" s="46"/>
      <c r="C71" s="46"/>
      <c r="D71" s="46"/>
      <c r="E71" s="46"/>
      <c r="F71" s="46"/>
      <c r="G71" s="46"/>
      <c r="H71" s="46"/>
      <c r="I71" s="46"/>
      <c r="J71" s="46"/>
      <c r="K71" s="46"/>
      <c r="L71" s="46"/>
      <c r="M71" s="46"/>
      <c r="N71" s="46"/>
      <c r="O71" s="46"/>
      <c r="P71" s="46"/>
      <c r="Q71" s="46"/>
      <c r="R71" s="46"/>
    </row>
    <row r="72">
      <c r="A72" s="46"/>
      <c r="B72" s="46"/>
      <c r="C72" s="46"/>
      <c r="D72" s="46"/>
      <c r="E72" s="46"/>
      <c r="F72" s="46"/>
      <c r="G72" s="46"/>
      <c r="H72" s="46"/>
      <c r="I72" s="46"/>
      <c r="J72" s="46"/>
      <c r="K72" s="46"/>
      <c r="L72" s="46"/>
      <c r="M72" s="46"/>
      <c r="N72" s="46"/>
      <c r="O72" s="46"/>
      <c r="P72" s="46"/>
      <c r="Q72" s="46"/>
      <c r="R72" s="46"/>
    </row>
    <row r="73">
      <c r="A73" s="46"/>
      <c r="B73" s="46"/>
      <c r="C73" s="46"/>
      <c r="D73" s="46"/>
      <c r="E73" s="46"/>
      <c r="F73" s="46"/>
      <c r="G73" s="46"/>
      <c r="H73" s="46"/>
      <c r="I73" s="46"/>
      <c r="J73" s="46"/>
      <c r="K73" s="46"/>
      <c r="L73" s="46"/>
      <c r="M73" s="46"/>
      <c r="N73" s="46"/>
      <c r="O73" s="46"/>
      <c r="P73" s="46"/>
      <c r="Q73" s="46"/>
      <c r="R73" s="46"/>
    </row>
    <row r="74">
      <c r="A74" s="46"/>
      <c r="B74" s="46"/>
      <c r="C74" s="46"/>
      <c r="D74" s="46"/>
      <c r="E74" s="46"/>
      <c r="F74" s="46"/>
      <c r="G74" s="46"/>
      <c r="H74" s="46"/>
      <c r="I74" s="46"/>
      <c r="J74" s="46"/>
      <c r="K74" s="46"/>
      <c r="L74" s="46"/>
      <c r="M74" s="46"/>
      <c r="N74" s="46"/>
      <c r="O74" s="46"/>
      <c r="P74" s="46"/>
      <c r="Q74" s="46"/>
      <c r="R74" s="46"/>
    </row>
    <row r="75">
      <c r="A75" s="46"/>
      <c r="B75" s="46"/>
      <c r="C75" s="46"/>
      <c r="D75" s="46"/>
      <c r="E75" s="46"/>
      <c r="F75" s="46"/>
      <c r="G75" s="46"/>
      <c r="H75" s="46"/>
      <c r="I75" s="46"/>
      <c r="J75" s="46"/>
      <c r="K75" s="46"/>
      <c r="L75" s="46"/>
      <c r="M75" s="46"/>
      <c r="N75" s="46"/>
      <c r="O75" s="46"/>
      <c r="P75" s="46"/>
      <c r="Q75" s="46"/>
      <c r="R75" s="46"/>
    </row>
    <row r="76">
      <c r="A76" s="46"/>
      <c r="B76" s="46"/>
      <c r="C76" s="46"/>
      <c r="D76" s="46"/>
      <c r="E76" s="46"/>
      <c r="F76" s="46"/>
      <c r="G76" s="46"/>
      <c r="H76" s="46"/>
      <c r="I76" s="46"/>
      <c r="J76" s="46"/>
      <c r="K76" s="46"/>
      <c r="L76" s="46"/>
      <c r="M76" s="46"/>
      <c r="N76" s="46"/>
      <c r="O76" s="46"/>
      <c r="P76" s="46"/>
      <c r="Q76" s="46"/>
      <c r="R76" s="46"/>
    </row>
    <row r="77">
      <c r="A77" s="46"/>
      <c r="B77" s="46"/>
      <c r="C77" s="46"/>
      <c r="D77" s="46"/>
      <c r="E77" s="46"/>
      <c r="F77" s="46"/>
      <c r="G77" s="46"/>
      <c r="H77" s="46"/>
      <c r="I77" s="46"/>
      <c r="J77" s="46"/>
      <c r="K77" s="46"/>
      <c r="L77" s="46"/>
      <c r="M77" s="46"/>
      <c r="N77" s="46"/>
      <c r="O77" s="46"/>
      <c r="P77" s="46"/>
      <c r="Q77" s="46"/>
      <c r="R77" s="46"/>
    </row>
    <row r="78">
      <c r="A78" s="46"/>
      <c r="B78" s="46"/>
      <c r="C78" s="46"/>
      <c r="D78" s="46"/>
      <c r="E78" s="46"/>
      <c r="F78" s="46"/>
      <c r="G78" s="46"/>
      <c r="H78" s="46"/>
      <c r="I78" s="46"/>
      <c r="J78" s="46"/>
      <c r="K78" s="46"/>
      <c r="L78" s="46"/>
      <c r="M78" s="46"/>
      <c r="N78" s="46"/>
      <c r="O78" s="46"/>
      <c r="P78" s="46"/>
      <c r="Q78" s="46"/>
      <c r="R78" s="46"/>
    </row>
    <row r="79">
      <c r="A79" s="46"/>
      <c r="B79" s="46"/>
      <c r="C79" s="46"/>
      <c r="D79" s="46"/>
      <c r="E79" s="46"/>
      <c r="F79" s="46"/>
      <c r="G79" s="46"/>
      <c r="H79" s="46"/>
      <c r="I79" s="46"/>
      <c r="J79" s="46"/>
      <c r="K79" s="46"/>
      <c r="L79" s="46"/>
      <c r="M79" s="46"/>
      <c r="N79" s="46"/>
      <c r="O79" s="46"/>
      <c r="P79" s="46"/>
      <c r="Q79" s="46"/>
      <c r="R79" s="46"/>
    </row>
    <row r="80">
      <c r="A80" s="46"/>
      <c r="B80" s="46"/>
      <c r="C80" s="46"/>
      <c r="D80" s="46"/>
      <c r="E80" s="46"/>
      <c r="F80" s="46"/>
      <c r="G80" s="46"/>
      <c r="H80" s="46"/>
      <c r="I80" s="46"/>
      <c r="J80" s="46"/>
      <c r="K80" s="46"/>
      <c r="L80" s="46"/>
      <c r="M80" s="46"/>
      <c r="N80" s="46"/>
      <c r="O80" s="46"/>
      <c r="P80" s="46"/>
      <c r="Q80" s="46"/>
      <c r="R80" s="46"/>
    </row>
    <row r="81">
      <c r="A81" s="46"/>
      <c r="B81" s="46"/>
      <c r="C81" s="46"/>
      <c r="D81" s="46"/>
      <c r="E81" s="46"/>
      <c r="F81" s="46"/>
      <c r="G81" s="46"/>
      <c r="H81" s="46"/>
      <c r="I81" s="46"/>
      <c r="J81" s="46"/>
      <c r="K81" s="46"/>
      <c r="L81" s="46"/>
      <c r="M81" s="46"/>
      <c r="N81" s="46"/>
      <c r="O81" s="46"/>
      <c r="P81" s="46"/>
      <c r="Q81" s="46"/>
      <c r="R81" s="46"/>
    </row>
    <row r="82">
      <c r="A82" s="46"/>
      <c r="B82" s="46"/>
      <c r="C82" s="46"/>
      <c r="D82" s="46"/>
      <c r="E82" s="46"/>
      <c r="F82" s="46"/>
      <c r="G82" s="46"/>
      <c r="H82" s="46"/>
      <c r="I82" s="46"/>
      <c r="J82" s="46"/>
      <c r="K82" s="46"/>
      <c r="L82" s="46"/>
      <c r="M82" s="46"/>
      <c r="N82" s="46"/>
      <c r="O82" s="46"/>
      <c r="P82" s="46"/>
      <c r="Q82" s="46"/>
      <c r="R82" s="46"/>
    </row>
    <row r="83">
      <c r="A83" s="46"/>
      <c r="B83" s="46"/>
      <c r="C83" s="46"/>
      <c r="D83" s="46"/>
      <c r="E83" s="46"/>
      <c r="F83" s="46"/>
      <c r="G83" s="46"/>
      <c r="H83" s="46"/>
      <c r="I83" s="46"/>
      <c r="J83" s="46"/>
      <c r="K83" s="46"/>
      <c r="L83" s="46"/>
      <c r="M83" s="46"/>
      <c r="N83" s="46"/>
      <c r="O83" s="46"/>
      <c r="P83" s="46"/>
      <c r="Q83" s="46"/>
      <c r="R83" s="46"/>
    </row>
    <row r="84">
      <c r="A84" s="46"/>
      <c r="B84" s="46"/>
      <c r="C84" s="46"/>
      <c r="D84" s="46"/>
      <c r="E84" s="46"/>
      <c r="F84" s="46"/>
      <c r="G84" s="46"/>
      <c r="H84" s="46"/>
      <c r="I84" s="46"/>
      <c r="J84" s="46"/>
      <c r="K84" s="46"/>
      <c r="L84" s="46"/>
      <c r="M84" s="46"/>
      <c r="N84" s="46"/>
      <c r="O84" s="46"/>
      <c r="P84" s="46"/>
      <c r="Q84" s="46"/>
      <c r="R84" s="46"/>
    </row>
    <row r="85">
      <c r="A85" s="46"/>
      <c r="B85" s="46"/>
      <c r="C85" s="46"/>
      <c r="D85" s="46"/>
      <c r="E85" s="46"/>
      <c r="F85" s="46"/>
      <c r="G85" s="46"/>
      <c r="H85" s="46"/>
      <c r="I85" s="46"/>
      <c r="J85" s="46"/>
      <c r="K85" s="46"/>
      <c r="L85" s="46"/>
      <c r="M85" s="46"/>
      <c r="N85" s="46"/>
      <c r="O85" s="46"/>
      <c r="P85" s="46"/>
      <c r="Q85" s="46"/>
      <c r="R85" s="46"/>
    </row>
    <row r="86">
      <c r="A86" s="46"/>
      <c r="B86" s="46"/>
      <c r="C86" s="46"/>
      <c r="D86" s="46"/>
      <c r="E86" s="46"/>
      <c r="F86" s="46"/>
      <c r="G86" s="46"/>
      <c r="H86" s="46"/>
      <c r="I86" s="46"/>
      <c r="J86" s="46"/>
      <c r="K86" s="46"/>
      <c r="L86" s="46"/>
      <c r="M86" s="46"/>
      <c r="N86" s="46"/>
      <c r="O86" s="46"/>
      <c r="P86" s="46"/>
      <c r="Q86" s="46"/>
      <c r="R86" s="46"/>
    </row>
    <row r="87">
      <c r="A87" s="46"/>
      <c r="B87" s="46"/>
      <c r="C87" s="46"/>
      <c r="D87" s="46"/>
      <c r="E87" s="46"/>
      <c r="F87" s="46"/>
      <c r="G87" s="46"/>
      <c r="H87" s="46"/>
      <c r="I87" s="46"/>
      <c r="J87" s="46"/>
      <c r="K87" s="46"/>
      <c r="L87" s="46"/>
      <c r="M87" s="46"/>
      <c r="N87" s="46"/>
      <c r="O87" s="46"/>
      <c r="P87" s="46"/>
      <c r="Q87" s="46"/>
      <c r="R87" s="46"/>
    </row>
    <row r="88">
      <c r="A88" s="46"/>
      <c r="B88" s="46"/>
      <c r="C88" s="46"/>
      <c r="D88" s="46"/>
      <c r="E88" s="46"/>
      <c r="F88" s="46"/>
      <c r="G88" s="46"/>
      <c r="H88" s="46"/>
      <c r="I88" s="46"/>
      <c r="J88" s="46"/>
      <c r="K88" s="46"/>
      <c r="L88" s="46"/>
      <c r="M88" s="46"/>
      <c r="N88" s="46"/>
      <c r="O88" s="46"/>
      <c r="P88" s="46"/>
      <c r="Q88" s="46"/>
      <c r="R88" s="46"/>
    </row>
    <row r="89">
      <c r="A89" s="46"/>
      <c r="B89" s="46"/>
      <c r="C89" s="46"/>
      <c r="D89" s="46"/>
      <c r="E89" s="46"/>
      <c r="F89" s="46"/>
      <c r="G89" s="46"/>
      <c r="H89" s="46"/>
      <c r="I89" s="46"/>
      <c r="J89" s="46"/>
      <c r="K89" s="46"/>
      <c r="L89" s="46"/>
      <c r="M89" s="46"/>
      <c r="N89" s="46"/>
      <c r="O89" s="46"/>
      <c r="P89" s="46"/>
      <c r="Q89" s="46"/>
      <c r="R89" s="46"/>
    </row>
    <row r="90">
      <c r="A90" s="46"/>
      <c r="B90" s="46"/>
      <c r="C90" s="46"/>
      <c r="D90" s="46"/>
      <c r="E90" s="46"/>
      <c r="F90" s="46"/>
      <c r="G90" s="46"/>
      <c r="H90" s="46"/>
      <c r="I90" s="46"/>
      <c r="J90" s="46"/>
      <c r="K90" s="46"/>
      <c r="L90" s="46"/>
      <c r="M90" s="46"/>
      <c r="N90" s="46"/>
      <c r="O90" s="46"/>
      <c r="P90" s="46"/>
      <c r="Q90" s="46"/>
      <c r="R90" s="46"/>
    </row>
    <row r="91">
      <c r="A91" s="46"/>
      <c r="B91" s="46"/>
      <c r="C91" s="46"/>
      <c r="D91" s="46"/>
      <c r="E91" s="46"/>
      <c r="F91" s="46"/>
      <c r="G91" s="46"/>
      <c r="H91" s="46"/>
      <c r="I91" s="46"/>
      <c r="J91" s="46"/>
      <c r="K91" s="46"/>
      <c r="L91" s="46"/>
      <c r="M91" s="46"/>
      <c r="N91" s="46"/>
      <c r="O91" s="46"/>
      <c r="P91" s="46"/>
      <c r="Q91" s="46"/>
      <c r="R91" s="46"/>
    </row>
    <row r="92">
      <c r="A92" s="46"/>
      <c r="B92" s="46"/>
      <c r="C92" s="46"/>
      <c r="D92" s="46"/>
      <c r="E92" s="46"/>
      <c r="F92" s="46"/>
      <c r="G92" s="46"/>
      <c r="H92" s="46"/>
      <c r="I92" s="46"/>
      <c r="J92" s="46"/>
      <c r="K92" s="46"/>
      <c r="L92" s="46"/>
      <c r="M92" s="46"/>
      <c r="N92" s="46"/>
      <c r="O92" s="46"/>
      <c r="P92" s="46"/>
      <c r="Q92" s="46"/>
      <c r="R92" s="46"/>
    </row>
    <row r="93">
      <c r="A93" s="46"/>
      <c r="B93" s="46"/>
      <c r="C93" s="46"/>
      <c r="D93" s="46"/>
      <c r="E93" s="46"/>
      <c r="F93" s="46"/>
      <c r="G93" s="46"/>
      <c r="H93" s="46"/>
      <c r="I93" s="46"/>
      <c r="J93" s="46"/>
      <c r="K93" s="46"/>
      <c r="L93" s="46"/>
      <c r="M93" s="46"/>
      <c r="N93" s="46"/>
      <c r="O93" s="46"/>
      <c r="P93" s="46"/>
      <c r="Q93" s="46"/>
      <c r="R93" s="46"/>
    </row>
    <row r="94">
      <c r="A94" s="46"/>
      <c r="B94" s="46"/>
      <c r="C94" s="46"/>
      <c r="D94" s="46"/>
      <c r="E94" s="46"/>
      <c r="F94" s="46"/>
      <c r="G94" s="46"/>
      <c r="H94" s="46"/>
      <c r="I94" s="46"/>
      <c r="J94" s="46"/>
      <c r="K94" s="46"/>
      <c r="L94" s="46"/>
      <c r="M94" s="46"/>
      <c r="N94" s="46"/>
      <c r="O94" s="46"/>
      <c r="P94" s="46"/>
      <c r="Q94" s="46"/>
      <c r="R94" s="46"/>
    </row>
    <row r="95">
      <c r="A95" s="46"/>
      <c r="B95" s="46"/>
      <c r="C95" s="46"/>
      <c r="D95" s="46"/>
      <c r="E95" s="46"/>
      <c r="F95" s="46"/>
      <c r="G95" s="46"/>
      <c r="H95" s="46"/>
      <c r="I95" s="46"/>
      <c r="J95" s="46"/>
      <c r="K95" s="46"/>
      <c r="L95" s="46"/>
      <c r="M95" s="46"/>
      <c r="N95" s="46"/>
      <c r="O95" s="46"/>
      <c r="P95" s="46"/>
      <c r="Q95" s="46"/>
      <c r="R95" s="46"/>
    </row>
    <row r="96">
      <c r="A96" s="46"/>
      <c r="B96" s="46"/>
      <c r="C96" s="46"/>
      <c r="D96" s="46"/>
      <c r="E96" s="46"/>
      <c r="F96" s="46"/>
      <c r="G96" s="46"/>
      <c r="H96" s="46"/>
      <c r="I96" s="46"/>
      <c r="J96" s="46"/>
      <c r="K96" s="46"/>
      <c r="L96" s="46"/>
      <c r="M96" s="46"/>
      <c r="N96" s="46"/>
      <c r="O96" s="46"/>
      <c r="P96" s="46"/>
      <c r="Q96" s="46"/>
      <c r="R96" s="46"/>
    </row>
    <row r="97">
      <c r="A97" s="46"/>
      <c r="B97" s="46"/>
      <c r="C97" s="46"/>
      <c r="D97" s="46"/>
      <c r="E97" s="46"/>
      <c r="F97" s="46"/>
      <c r="G97" s="46"/>
      <c r="H97" s="46"/>
      <c r="I97" s="46"/>
      <c r="J97" s="46"/>
      <c r="K97" s="46"/>
      <c r="L97" s="46"/>
      <c r="M97" s="46"/>
      <c r="N97" s="46"/>
      <c r="O97" s="46"/>
      <c r="P97" s="46"/>
      <c r="Q97" s="46"/>
      <c r="R97" s="46"/>
    </row>
    <row r="98">
      <c r="A98" s="46"/>
      <c r="B98" s="46"/>
      <c r="C98" s="46"/>
      <c r="D98" s="46"/>
      <c r="E98" s="46"/>
      <c r="F98" s="46"/>
      <c r="G98" s="46"/>
      <c r="H98" s="46"/>
      <c r="I98" s="46"/>
      <c r="J98" s="46"/>
      <c r="K98" s="46"/>
      <c r="L98" s="46"/>
      <c r="M98" s="46"/>
      <c r="N98" s="46"/>
      <c r="O98" s="46"/>
      <c r="P98" s="46"/>
      <c r="Q98" s="46"/>
      <c r="R98" s="46"/>
    </row>
    <row r="99">
      <c r="A99" s="46"/>
      <c r="B99" s="46"/>
      <c r="C99" s="46"/>
      <c r="D99" s="46"/>
      <c r="E99" s="46"/>
      <c r="F99" s="46"/>
      <c r="G99" s="46"/>
      <c r="H99" s="46"/>
      <c r="I99" s="46"/>
      <c r="J99" s="46"/>
      <c r="K99" s="46"/>
      <c r="L99" s="46"/>
      <c r="M99" s="46"/>
      <c r="N99" s="46"/>
      <c r="O99" s="46"/>
      <c r="P99" s="46"/>
      <c r="Q99" s="46"/>
      <c r="R99" s="46"/>
    </row>
    <row r="100">
      <c r="A100" s="46"/>
      <c r="B100" s="46"/>
      <c r="C100" s="46"/>
      <c r="D100" s="46"/>
      <c r="E100" s="46"/>
      <c r="F100" s="46"/>
      <c r="G100" s="46"/>
      <c r="H100" s="46"/>
      <c r="I100" s="46"/>
      <c r="J100" s="46"/>
      <c r="K100" s="46"/>
      <c r="L100" s="46"/>
      <c r="M100" s="46"/>
      <c r="N100" s="46"/>
      <c r="O100" s="46"/>
      <c r="P100" s="46"/>
      <c r="Q100" s="46"/>
      <c r="R100" s="46"/>
    </row>
    <row r="101">
      <c r="A101" s="46"/>
      <c r="B101" s="46"/>
      <c r="C101" s="46"/>
      <c r="D101" s="46"/>
      <c r="E101" s="46"/>
      <c r="F101" s="46"/>
      <c r="G101" s="46"/>
      <c r="H101" s="46"/>
      <c r="I101" s="46"/>
      <c r="J101" s="46"/>
      <c r="K101" s="46"/>
      <c r="L101" s="46"/>
      <c r="M101" s="46"/>
      <c r="N101" s="46"/>
      <c r="O101" s="46"/>
      <c r="P101" s="46"/>
      <c r="Q101" s="46"/>
      <c r="R101" s="46"/>
    </row>
    <row r="102">
      <c r="A102" s="46"/>
      <c r="B102" s="46"/>
      <c r="C102" s="46"/>
      <c r="D102" s="46"/>
      <c r="E102" s="46"/>
      <c r="F102" s="46"/>
      <c r="G102" s="46"/>
      <c r="H102" s="46"/>
      <c r="I102" s="46"/>
      <c r="J102" s="46"/>
      <c r="K102" s="46"/>
      <c r="L102" s="46"/>
      <c r="M102" s="46"/>
      <c r="N102" s="46"/>
      <c r="O102" s="46"/>
      <c r="P102" s="46"/>
      <c r="Q102" s="46"/>
      <c r="R102" s="46"/>
    </row>
    <row r="103">
      <c r="A103" s="46"/>
      <c r="B103" s="46"/>
      <c r="C103" s="46"/>
      <c r="D103" s="46"/>
      <c r="E103" s="46"/>
      <c r="F103" s="46"/>
      <c r="G103" s="46"/>
      <c r="H103" s="46"/>
      <c r="I103" s="46"/>
      <c r="J103" s="46"/>
      <c r="K103" s="46"/>
      <c r="L103" s="46"/>
      <c r="M103" s="46"/>
      <c r="N103" s="46"/>
      <c r="O103" s="46"/>
      <c r="P103" s="46"/>
      <c r="Q103" s="46"/>
      <c r="R103" s="46"/>
    </row>
    <row r="104">
      <c r="A104" s="46"/>
      <c r="B104" s="46"/>
      <c r="C104" s="46"/>
      <c r="D104" s="46"/>
      <c r="E104" s="46"/>
      <c r="F104" s="46"/>
      <c r="G104" s="46"/>
      <c r="H104" s="46"/>
      <c r="I104" s="46"/>
      <c r="J104" s="46"/>
      <c r="K104" s="46"/>
      <c r="L104" s="46"/>
      <c r="M104" s="46"/>
      <c r="N104" s="46"/>
      <c r="O104" s="46"/>
      <c r="P104" s="46"/>
      <c r="Q104" s="46"/>
      <c r="R104" s="46"/>
    </row>
    <row r="105">
      <c r="A105" s="46"/>
      <c r="B105" s="46"/>
      <c r="C105" s="46"/>
      <c r="D105" s="46"/>
      <c r="E105" s="46"/>
      <c r="F105" s="46"/>
      <c r="G105" s="46"/>
      <c r="H105" s="46"/>
      <c r="I105" s="46"/>
      <c r="J105" s="46"/>
      <c r="K105" s="46"/>
      <c r="L105" s="46"/>
      <c r="M105" s="46"/>
      <c r="N105" s="46"/>
      <c r="O105" s="46"/>
      <c r="P105" s="46"/>
      <c r="Q105" s="46"/>
      <c r="R105" s="46"/>
    </row>
    <row r="106">
      <c r="A106" s="46"/>
      <c r="B106" s="46"/>
      <c r="C106" s="46"/>
      <c r="D106" s="46"/>
      <c r="E106" s="46"/>
      <c r="F106" s="46"/>
      <c r="G106" s="46"/>
      <c r="H106" s="46"/>
      <c r="I106" s="46"/>
      <c r="J106" s="46"/>
      <c r="K106" s="46"/>
      <c r="L106" s="46"/>
      <c r="M106" s="46"/>
      <c r="N106" s="46"/>
      <c r="O106" s="46"/>
      <c r="P106" s="46"/>
      <c r="Q106" s="46"/>
      <c r="R106" s="46"/>
    </row>
    <row r="107">
      <c r="A107" s="46"/>
      <c r="B107" s="46"/>
      <c r="C107" s="46"/>
      <c r="D107" s="46"/>
      <c r="E107" s="46"/>
      <c r="F107" s="46"/>
      <c r="G107" s="46"/>
      <c r="H107" s="46"/>
      <c r="I107" s="46"/>
      <c r="J107" s="46"/>
      <c r="K107" s="46"/>
      <c r="L107" s="46"/>
      <c r="M107" s="46"/>
      <c r="N107" s="46"/>
      <c r="O107" s="46"/>
      <c r="P107" s="46"/>
      <c r="Q107" s="46"/>
      <c r="R107" s="46"/>
    </row>
    <row r="108">
      <c r="A108" s="46"/>
      <c r="B108" s="46"/>
      <c r="C108" s="46"/>
      <c r="D108" s="46"/>
      <c r="E108" s="46"/>
      <c r="F108" s="46"/>
      <c r="G108" s="46"/>
      <c r="H108" s="46"/>
      <c r="I108" s="46"/>
      <c r="J108" s="46"/>
      <c r="K108" s="46"/>
      <c r="L108" s="46"/>
      <c r="M108" s="46"/>
      <c r="N108" s="46"/>
      <c r="O108" s="46"/>
      <c r="P108" s="46"/>
      <c r="Q108" s="46"/>
      <c r="R108" s="46"/>
    </row>
    <row r="109">
      <c r="A109" s="46"/>
      <c r="B109" s="46"/>
      <c r="C109" s="46"/>
      <c r="D109" s="46"/>
      <c r="E109" s="46"/>
      <c r="F109" s="46"/>
      <c r="G109" s="46"/>
      <c r="H109" s="46"/>
      <c r="I109" s="46"/>
      <c r="J109" s="46"/>
      <c r="K109" s="46"/>
      <c r="L109" s="46"/>
      <c r="M109" s="46"/>
      <c r="N109" s="46"/>
      <c r="O109" s="46"/>
      <c r="P109" s="46"/>
      <c r="Q109" s="46"/>
      <c r="R109" s="46"/>
    </row>
    <row r="110">
      <c r="A110" s="46"/>
      <c r="B110" s="46"/>
      <c r="C110" s="46"/>
      <c r="D110" s="46"/>
      <c r="E110" s="46"/>
      <c r="F110" s="46"/>
      <c r="G110" s="46"/>
      <c r="H110" s="46"/>
      <c r="I110" s="46"/>
      <c r="J110" s="46"/>
      <c r="K110" s="46"/>
      <c r="L110" s="46"/>
      <c r="M110" s="46"/>
      <c r="N110" s="46"/>
      <c r="O110" s="46"/>
      <c r="P110" s="46"/>
      <c r="Q110" s="46"/>
      <c r="R110" s="46"/>
    </row>
    <row r="111">
      <c r="A111" s="46"/>
      <c r="B111" s="46"/>
      <c r="C111" s="46"/>
      <c r="D111" s="46"/>
      <c r="E111" s="46"/>
      <c r="F111" s="46"/>
      <c r="G111" s="46"/>
      <c r="H111" s="46"/>
      <c r="I111" s="46"/>
      <c r="J111" s="46"/>
      <c r="K111" s="46"/>
      <c r="L111" s="46"/>
      <c r="M111" s="46"/>
      <c r="N111" s="46"/>
      <c r="O111" s="46"/>
      <c r="P111" s="46"/>
      <c r="Q111" s="46"/>
      <c r="R111" s="46"/>
    </row>
    <row r="112">
      <c r="A112" s="46"/>
      <c r="B112" s="46"/>
      <c r="C112" s="46"/>
      <c r="D112" s="46"/>
      <c r="E112" s="46"/>
      <c r="F112" s="46"/>
      <c r="G112" s="46"/>
      <c r="H112" s="46"/>
      <c r="I112" s="46"/>
      <c r="J112" s="46"/>
      <c r="K112" s="46"/>
      <c r="L112" s="46"/>
      <c r="M112" s="46"/>
      <c r="N112" s="46"/>
      <c r="O112" s="46"/>
      <c r="P112" s="46"/>
      <c r="Q112" s="46"/>
      <c r="R112" s="46"/>
    </row>
    <row r="113">
      <c r="A113" s="46"/>
      <c r="B113" s="46"/>
      <c r="C113" s="46"/>
      <c r="D113" s="46"/>
      <c r="E113" s="46"/>
      <c r="F113" s="46"/>
      <c r="G113" s="46"/>
      <c r="H113" s="46"/>
      <c r="I113" s="46"/>
      <c r="J113" s="46"/>
      <c r="K113" s="46"/>
      <c r="L113" s="46"/>
      <c r="M113" s="46"/>
      <c r="N113" s="46"/>
      <c r="O113" s="46"/>
      <c r="P113" s="46"/>
      <c r="Q113" s="46"/>
      <c r="R113" s="46"/>
    </row>
    <row r="114">
      <c r="A114" s="46"/>
      <c r="B114" s="46"/>
      <c r="C114" s="46"/>
      <c r="D114" s="46"/>
      <c r="E114" s="46"/>
      <c r="F114" s="46"/>
      <c r="G114" s="46"/>
      <c r="H114" s="46"/>
      <c r="I114" s="46"/>
      <c r="J114" s="46"/>
      <c r="K114" s="46"/>
      <c r="L114" s="46"/>
      <c r="M114" s="46"/>
      <c r="N114" s="46"/>
      <c r="O114" s="46"/>
      <c r="P114" s="46"/>
      <c r="Q114" s="46"/>
      <c r="R114" s="46"/>
    </row>
    <row r="115">
      <c r="A115" s="46"/>
      <c r="B115" s="46"/>
      <c r="C115" s="46"/>
      <c r="D115" s="46"/>
      <c r="E115" s="46"/>
      <c r="F115" s="46"/>
      <c r="G115" s="46"/>
      <c r="H115" s="46"/>
      <c r="I115" s="46"/>
      <c r="J115" s="46"/>
      <c r="K115" s="46"/>
      <c r="L115" s="46"/>
      <c r="M115" s="46"/>
      <c r="N115" s="46"/>
      <c r="O115" s="46"/>
      <c r="P115" s="46"/>
      <c r="Q115" s="46"/>
      <c r="R115" s="46"/>
    </row>
    <row r="116">
      <c r="A116" s="46"/>
      <c r="B116" s="46"/>
      <c r="C116" s="46"/>
      <c r="D116" s="46"/>
      <c r="E116" s="46"/>
      <c r="F116" s="46"/>
      <c r="G116" s="46"/>
      <c r="H116" s="46"/>
      <c r="I116" s="46"/>
      <c r="J116" s="46"/>
      <c r="K116" s="46"/>
      <c r="L116" s="46"/>
      <c r="M116" s="46"/>
      <c r="N116" s="46"/>
      <c r="O116" s="46"/>
      <c r="P116" s="46"/>
      <c r="Q116" s="46"/>
      <c r="R116" s="46"/>
    </row>
    <row r="117">
      <c r="A117" s="46"/>
      <c r="B117" s="46"/>
      <c r="C117" s="46"/>
      <c r="D117" s="46"/>
      <c r="E117" s="46"/>
      <c r="F117" s="46"/>
      <c r="G117" s="46"/>
      <c r="H117" s="46"/>
      <c r="I117" s="46"/>
      <c r="J117" s="46"/>
      <c r="K117" s="46"/>
      <c r="L117" s="46"/>
      <c r="M117" s="46"/>
      <c r="N117" s="46"/>
      <c r="O117" s="46"/>
      <c r="P117" s="46"/>
      <c r="Q117" s="46"/>
      <c r="R117" s="46"/>
    </row>
    <row r="118">
      <c r="A118" s="46"/>
      <c r="B118" s="46"/>
      <c r="C118" s="46"/>
      <c r="D118" s="46"/>
      <c r="E118" s="46"/>
      <c r="F118" s="46"/>
      <c r="G118" s="46"/>
      <c r="H118" s="46"/>
      <c r="I118" s="46"/>
      <c r="J118" s="46"/>
      <c r="K118" s="46"/>
      <c r="L118" s="46"/>
      <c r="M118" s="46"/>
      <c r="N118" s="46"/>
      <c r="O118" s="46"/>
      <c r="P118" s="46"/>
      <c r="Q118" s="46"/>
      <c r="R118" s="46"/>
    </row>
    <row r="119">
      <c r="A119" s="46"/>
      <c r="B119" s="46"/>
      <c r="C119" s="46"/>
      <c r="D119" s="46"/>
      <c r="E119" s="46"/>
      <c r="F119" s="46"/>
      <c r="G119" s="46"/>
      <c r="H119" s="46"/>
      <c r="I119" s="46"/>
      <c r="J119" s="46"/>
      <c r="K119" s="46"/>
      <c r="L119" s="46"/>
      <c r="M119" s="46"/>
      <c r="N119" s="46"/>
      <c r="O119" s="46"/>
      <c r="P119" s="46"/>
      <c r="Q119" s="46"/>
      <c r="R119" s="46"/>
    </row>
    <row r="120">
      <c r="A120" s="46"/>
      <c r="B120" s="46"/>
      <c r="C120" s="46"/>
      <c r="D120" s="46"/>
      <c r="E120" s="46"/>
      <c r="F120" s="46"/>
      <c r="G120" s="46"/>
      <c r="H120" s="46"/>
      <c r="I120" s="46"/>
      <c r="J120" s="46"/>
      <c r="K120" s="46"/>
      <c r="L120" s="46"/>
      <c r="M120" s="46"/>
      <c r="N120" s="46"/>
      <c r="O120" s="46"/>
      <c r="P120" s="46"/>
      <c r="Q120" s="46"/>
      <c r="R120" s="46"/>
    </row>
    <row r="121">
      <c r="A121" s="46"/>
      <c r="B121" s="46"/>
      <c r="C121" s="46"/>
      <c r="D121" s="46"/>
      <c r="E121" s="46"/>
      <c r="F121" s="46"/>
      <c r="G121" s="46"/>
      <c r="H121" s="46"/>
      <c r="I121" s="46"/>
      <c r="J121" s="46"/>
      <c r="K121" s="46"/>
      <c r="L121" s="46"/>
      <c r="M121" s="46"/>
      <c r="N121" s="46"/>
      <c r="O121" s="46"/>
      <c r="P121" s="46"/>
      <c r="Q121" s="46"/>
      <c r="R121" s="46"/>
    </row>
    <row r="122">
      <c r="A122" s="46"/>
      <c r="B122" s="46"/>
      <c r="C122" s="46"/>
      <c r="D122" s="46"/>
      <c r="E122" s="46"/>
      <c r="F122" s="46"/>
      <c r="G122" s="46"/>
      <c r="H122" s="46"/>
      <c r="I122" s="46"/>
      <c r="J122" s="46"/>
      <c r="K122" s="46"/>
      <c r="L122" s="46"/>
      <c r="M122" s="46"/>
      <c r="N122" s="46"/>
      <c r="O122" s="46"/>
      <c r="P122" s="46"/>
      <c r="Q122" s="46"/>
      <c r="R122" s="46"/>
    </row>
    <row r="123">
      <c r="A123" s="46"/>
      <c r="B123" s="46"/>
      <c r="C123" s="46"/>
      <c r="D123" s="46"/>
      <c r="E123" s="46"/>
      <c r="F123" s="46"/>
      <c r="G123" s="46"/>
      <c r="H123" s="46"/>
      <c r="I123" s="46"/>
      <c r="J123" s="46"/>
      <c r="K123" s="46"/>
      <c r="L123" s="46"/>
      <c r="M123" s="46"/>
      <c r="N123" s="46"/>
      <c r="O123" s="46"/>
      <c r="P123" s="46"/>
      <c r="Q123" s="46"/>
      <c r="R123" s="46"/>
    </row>
    <row r="124">
      <c r="A124" s="46"/>
      <c r="B124" s="46"/>
      <c r="C124" s="46"/>
      <c r="D124" s="46"/>
      <c r="E124" s="46"/>
      <c r="F124" s="46"/>
      <c r="G124" s="46"/>
      <c r="H124" s="46"/>
      <c r="I124" s="46"/>
      <c r="J124" s="46"/>
      <c r="K124" s="46"/>
      <c r="L124" s="46"/>
      <c r="M124" s="46"/>
      <c r="N124" s="46"/>
      <c r="O124" s="46"/>
      <c r="P124" s="46"/>
      <c r="Q124" s="46"/>
      <c r="R124" s="46"/>
    </row>
    <row r="125">
      <c r="A125" s="46"/>
      <c r="B125" s="46"/>
      <c r="C125" s="46"/>
      <c r="D125" s="46"/>
      <c r="E125" s="46"/>
      <c r="F125" s="46"/>
      <c r="G125" s="46"/>
      <c r="H125" s="46"/>
      <c r="I125" s="46"/>
      <c r="J125" s="46"/>
      <c r="K125" s="46"/>
      <c r="L125" s="46"/>
      <c r="M125" s="46"/>
      <c r="N125" s="46"/>
      <c r="O125" s="46"/>
      <c r="P125" s="46"/>
      <c r="Q125" s="46"/>
      <c r="R125" s="46"/>
    </row>
    <row r="126">
      <c r="A126" s="46"/>
      <c r="B126" s="46"/>
      <c r="C126" s="46"/>
      <c r="D126" s="46"/>
      <c r="E126" s="46"/>
      <c r="F126" s="46"/>
      <c r="G126" s="46"/>
      <c r="H126" s="46"/>
      <c r="I126" s="46"/>
      <c r="J126" s="46"/>
      <c r="K126" s="46"/>
      <c r="L126" s="46"/>
      <c r="M126" s="46"/>
      <c r="N126" s="46"/>
      <c r="O126" s="46"/>
      <c r="P126" s="46"/>
      <c r="Q126" s="46"/>
      <c r="R126" s="46"/>
    </row>
    <row r="127">
      <c r="A127" s="46"/>
      <c r="B127" s="46"/>
      <c r="C127" s="46"/>
      <c r="D127" s="46"/>
      <c r="E127" s="46"/>
      <c r="F127" s="46"/>
      <c r="G127" s="46"/>
      <c r="H127" s="46"/>
      <c r="I127" s="46"/>
      <c r="J127" s="46"/>
      <c r="K127" s="46"/>
      <c r="L127" s="46"/>
      <c r="M127" s="46"/>
      <c r="N127" s="46"/>
      <c r="O127" s="46"/>
      <c r="P127" s="46"/>
      <c r="Q127" s="46"/>
      <c r="R127" s="46"/>
    </row>
    <row r="128">
      <c r="A128" s="46"/>
      <c r="B128" s="46"/>
      <c r="C128" s="46"/>
      <c r="D128" s="46"/>
      <c r="E128" s="46"/>
      <c r="F128" s="46"/>
      <c r="G128" s="46"/>
      <c r="H128" s="46"/>
      <c r="I128" s="46"/>
      <c r="J128" s="46"/>
      <c r="K128" s="46"/>
      <c r="L128" s="46"/>
      <c r="M128" s="46"/>
      <c r="N128" s="46"/>
      <c r="O128" s="46"/>
      <c r="P128" s="46"/>
      <c r="Q128" s="46"/>
      <c r="R128" s="46"/>
    </row>
    <row r="129">
      <c r="A129" s="46"/>
      <c r="B129" s="46"/>
      <c r="C129" s="46"/>
      <c r="D129" s="46"/>
      <c r="E129" s="46"/>
      <c r="F129" s="46"/>
      <c r="G129" s="46"/>
      <c r="H129" s="46"/>
      <c r="I129" s="46"/>
      <c r="J129" s="46"/>
      <c r="K129" s="46"/>
      <c r="L129" s="46"/>
      <c r="M129" s="46"/>
      <c r="N129" s="46"/>
      <c r="O129" s="46"/>
      <c r="P129" s="46"/>
      <c r="Q129" s="46"/>
      <c r="R129" s="46"/>
    </row>
    <row r="130">
      <c r="A130" s="46"/>
      <c r="B130" s="46"/>
      <c r="C130" s="46"/>
      <c r="D130" s="46"/>
      <c r="E130" s="46"/>
      <c r="F130" s="46"/>
      <c r="G130" s="46"/>
      <c r="H130" s="46"/>
      <c r="I130" s="46"/>
      <c r="J130" s="46"/>
      <c r="K130" s="46"/>
      <c r="L130" s="46"/>
      <c r="M130" s="46"/>
      <c r="N130" s="46"/>
      <c r="O130" s="46"/>
      <c r="P130" s="46"/>
      <c r="Q130" s="46"/>
      <c r="R130" s="46"/>
    </row>
    <row r="131">
      <c r="A131" s="46"/>
      <c r="B131" s="46"/>
      <c r="C131" s="46"/>
      <c r="D131" s="46"/>
      <c r="E131" s="46"/>
      <c r="F131" s="46"/>
      <c r="G131" s="46"/>
      <c r="H131" s="46"/>
      <c r="I131" s="46"/>
      <c r="J131" s="46"/>
      <c r="K131" s="46"/>
      <c r="L131" s="46"/>
      <c r="M131" s="46"/>
      <c r="N131" s="46"/>
      <c r="O131" s="46"/>
      <c r="P131" s="46"/>
      <c r="Q131" s="46"/>
      <c r="R131" s="46"/>
    </row>
    <row r="132">
      <c r="A132" s="46"/>
      <c r="B132" s="46"/>
      <c r="C132" s="46"/>
      <c r="D132" s="46"/>
      <c r="E132" s="46"/>
      <c r="F132" s="46"/>
      <c r="G132" s="46"/>
      <c r="H132" s="46"/>
      <c r="I132" s="46"/>
      <c r="J132" s="46"/>
      <c r="K132" s="46"/>
      <c r="L132" s="46"/>
      <c r="M132" s="46"/>
      <c r="N132" s="46"/>
      <c r="O132" s="46"/>
      <c r="P132" s="46"/>
      <c r="Q132" s="46"/>
      <c r="R132" s="46"/>
    </row>
    <row r="133">
      <c r="A133" s="46"/>
      <c r="B133" s="46"/>
      <c r="C133" s="46"/>
      <c r="D133" s="46"/>
      <c r="E133" s="46"/>
      <c r="F133" s="46"/>
      <c r="G133" s="46"/>
      <c r="H133" s="46"/>
      <c r="I133" s="46"/>
      <c r="J133" s="46"/>
      <c r="K133" s="46"/>
      <c r="L133" s="46"/>
      <c r="M133" s="46"/>
      <c r="N133" s="46"/>
      <c r="O133" s="46"/>
      <c r="P133" s="46"/>
      <c r="Q133" s="46"/>
      <c r="R133" s="46"/>
    </row>
    <row r="134">
      <c r="A134" s="46"/>
      <c r="B134" s="46"/>
      <c r="C134" s="46"/>
      <c r="D134" s="46"/>
      <c r="E134" s="46"/>
      <c r="F134" s="46"/>
      <c r="G134" s="46"/>
      <c r="H134" s="46"/>
      <c r="I134" s="46"/>
      <c r="J134" s="46"/>
      <c r="K134" s="46"/>
      <c r="L134" s="46"/>
      <c r="M134" s="46"/>
      <c r="N134" s="46"/>
      <c r="O134" s="46"/>
      <c r="P134" s="46"/>
      <c r="Q134" s="46"/>
      <c r="R134" s="46"/>
    </row>
    <row r="135">
      <c r="A135" s="46"/>
      <c r="B135" s="46"/>
      <c r="C135" s="46"/>
      <c r="D135" s="46"/>
      <c r="E135" s="46"/>
      <c r="F135" s="46"/>
      <c r="G135" s="46"/>
      <c r="H135" s="46"/>
      <c r="I135" s="46"/>
      <c r="J135" s="46"/>
      <c r="K135" s="46"/>
      <c r="L135" s="46"/>
      <c r="M135" s="46"/>
      <c r="N135" s="46"/>
      <c r="O135" s="46"/>
      <c r="P135" s="46"/>
      <c r="Q135" s="46"/>
      <c r="R135" s="46"/>
    </row>
    <row r="136">
      <c r="A136" s="46"/>
      <c r="B136" s="46"/>
      <c r="C136" s="46"/>
      <c r="D136" s="46"/>
      <c r="E136" s="46"/>
      <c r="F136" s="46"/>
      <c r="G136" s="46"/>
      <c r="H136" s="46"/>
      <c r="I136" s="46"/>
      <c r="J136" s="46"/>
      <c r="K136" s="46"/>
      <c r="L136" s="46"/>
      <c r="M136" s="46"/>
      <c r="N136" s="46"/>
      <c r="O136" s="46"/>
      <c r="P136" s="46"/>
      <c r="Q136" s="46"/>
      <c r="R136" s="46"/>
    </row>
    <row r="137">
      <c r="A137" s="46"/>
      <c r="B137" s="46"/>
      <c r="C137" s="46"/>
      <c r="D137" s="46"/>
      <c r="E137" s="46"/>
      <c r="F137" s="46"/>
      <c r="G137" s="46"/>
      <c r="H137" s="46"/>
      <c r="I137" s="46"/>
      <c r="J137" s="46"/>
      <c r="K137" s="46"/>
      <c r="L137" s="46"/>
      <c r="M137" s="46"/>
      <c r="N137" s="46"/>
      <c r="O137" s="46"/>
      <c r="P137" s="46"/>
      <c r="Q137" s="46"/>
      <c r="R137" s="46"/>
    </row>
    <row r="138">
      <c r="A138" s="46"/>
      <c r="B138" s="46"/>
      <c r="C138" s="46"/>
      <c r="D138" s="46"/>
      <c r="E138" s="46"/>
      <c r="F138" s="46"/>
      <c r="G138" s="46"/>
      <c r="H138" s="46"/>
      <c r="I138" s="46"/>
      <c r="J138" s="46"/>
      <c r="K138" s="46"/>
      <c r="L138" s="46"/>
      <c r="M138" s="46"/>
      <c r="N138" s="46"/>
      <c r="O138" s="46"/>
      <c r="P138" s="46"/>
      <c r="Q138" s="46"/>
      <c r="R138" s="46"/>
    </row>
    <row r="139">
      <c r="A139" s="46"/>
      <c r="B139" s="46"/>
      <c r="C139" s="46"/>
      <c r="D139" s="46"/>
      <c r="E139" s="46"/>
      <c r="F139" s="46"/>
      <c r="G139" s="46"/>
      <c r="H139" s="46"/>
      <c r="I139" s="46"/>
      <c r="J139" s="46"/>
      <c r="K139" s="46"/>
      <c r="L139" s="46"/>
      <c r="M139" s="46"/>
      <c r="N139" s="46"/>
      <c r="O139" s="46"/>
      <c r="P139" s="46"/>
      <c r="Q139" s="46"/>
      <c r="R139" s="46"/>
    </row>
    <row r="140">
      <c r="A140" s="46"/>
      <c r="B140" s="46"/>
      <c r="C140" s="46"/>
      <c r="D140" s="46"/>
      <c r="E140" s="46"/>
      <c r="F140" s="46"/>
      <c r="G140" s="46"/>
      <c r="H140" s="46"/>
      <c r="I140" s="46"/>
      <c r="J140" s="46"/>
      <c r="K140" s="46"/>
      <c r="L140" s="46"/>
      <c r="M140" s="46"/>
      <c r="N140" s="46"/>
      <c r="O140" s="46"/>
      <c r="P140" s="46"/>
      <c r="Q140" s="46"/>
      <c r="R140" s="46"/>
    </row>
    <row r="141">
      <c r="A141" s="46"/>
      <c r="B141" s="46"/>
      <c r="C141" s="46"/>
      <c r="D141" s="46"/>
      <c r="E141" s="46"/>
      <c r="F141" s="46"/>
      <c r="G141" s="46"/>
      <c r="H141" s="46"/>
      <c r="I141" s="46"/>
      <c r="J141" s="46"/>
      <c r="K141" s="46"/>
      <c r="L141" s="46"/>
      <c r="M141" s="46"/>
      <c r="N141" s="46"/>
      <c r="O141" s="46"/>
      <c r="P141" s="46"/>
      <c r="Q141" s="46"/>
      <c r="R141" s="46"/>
    </row>
    <row r="142">
      <c r="A142" s="46"/>
      <c r="B142" s="46"/>
      <c r="C142" s="46"/>
      <c r="D142" s="46"/>
      <c r="E142" s="46"/>
      <c r="F142" s="46"/>
      <c r="G142" s="46"/>
      <c r="H142" s="46"/>
      <c r="I142" s="46"/>
      <c r="J142" s="46"/>
      <c r="K142" s="46"/>
      <c r="L142" s="46"/>
      <c r="M142" s="46"/>
      <c r="N142" s="46"/>
      <c r="O142" s="46"/>
      <c r="P142" s="46"/>
      <c r="Q142" s="46"/>
      <c r="R142" s="46"/>
    </row>
    <row r="143">
      <c r="A143" s="46"/>
      <c r="B143" s="46"/>
      <c r="C143" s="46"/>
      <c r="D143" s="46"/>
      <c r="E143" s="46"/>
      <c r="F143" s="46"/>
      <c r="G143" s="46"/>
      <c r="H143" s="46"/>
      <c r="I143" s="46"/>
      <c r="J143" s="46"/>
      <c r="K143" s="46"/>
      <c r="L143" s="46"/>
      <c r="M143" s="46"/>
      <c r="N143" s="46"/>
      <c r="O143" s="46"/>
      <c r="P143" s="46"/>
      <c r="Q143" s="46"/>
      <c r="R143" s="46"/>
    </row>
    <row r="144">
      <c r="A144" s="46"/>
      <c r="B144" s="46"/>
      <c r="C144" s="46"/>
      <c r="D144" s="46"/>
      <c r="E144" s="46"/>
      <c r="F144" s="46"/>
      <c r="G144" s="46"/>
      <c r="H144" s="46"/>
      <c r="I144" s="46"/>
      <c r="J144" s="46"/>
      <c r="K144" s="46"/>
      <c r="L144" s="46"/>
      <c r="M144" s="46"/>
      <c r="N144" s="46"/>
      <c r="O144" s="46"/>
      <c r="P144" s="46"/>
      <c r="Q144" s="46"/>
      <c r="R144" s="46"/>
    </row>
    <row r="145">
      <c r="A145" s="46"/>
      <c r="B145" s="46"/>
      <c r="C145" s="46"/>
      <c r="D145" s="46"/>
      <c r="E145" s="46"/>
      <c r="F145" s="46"/>
      <c r="G145" s="46"/>
      <c r="H145" s="46"/>
      <c r="I145" s="46"/>
      <c r="J145" s="46"/>
      <c r="K145" s="46"/>
      <c r="L145" s="46"/>
      <c r="M145" s="46"/>
      <c r="N145" s="46"/>
      <c r="O145" s="46"/>
      <c r="P145" s="46"/>
      <c r="Q145" s="46"/>
      <c r="R145" s="46"/>
    </row>
    <row r="146">
      <c r="A146" s="46"/>
      <c r="B146" s="46"/>
      <c r="C146" s="46"/>
      <c r="D146" s="46"/>
      <c r="E146" s="46"/>
      <c r="F146" s="46"/>
      <c r="G146" s="46"/>
      <c r="H146" s="46"/>
      <c r="I146" s="46"/>
      <c r="J146" s="46"/>
      <c r="K146" s="46"/>
      <c r="L146" s="46"/>
      <c r="M146" s="46"/>
      <c r="N146" s="46"/>
      <c r="O146" s="46"/>
      <c r="P146" s="46"/>
      <c r="Q146" s="46"/>
      <c r="R146" s="46"/>
    </row>
    <row r="147">
      <c r="A147" s="46"/>
      <c r="B147" s="46"/>
      <c r="C147" s="46"/>
      <c r="D147" s="46"/>
      <c r="E147" s="46"/>
      <c r="F147" s="46"/>
      <c r="G147" s="46"/>
      <c r="H147" s="46"/>
      <c r="I147" s="46"/>
      <c r="J147" s="46"/>
      <c r="K147" s="46"/>
      <c r="L147" s="46"/>
      <c r="M147" s="46"/>
      <c r="N147" s="46"/>
      <c r="O147" s="46"/>
      <c r="P147" s="46"/>
      <c r="Q147" s="46"/>
      <c r="R147" s="46"/>
    </row>
    <row r="148">
      <c r="A148" s="46"/>
      <c r="B148" s="46"/>
      <c r="C148" s="46"/>
      <c r="D148" s="46"/>
      <c r="E148" s="46"/>
      <c r="F148" s="46"/>
      <c r="G148" s="46"/>
      <c r="H148" s="46"/>
      <c r="I148" s="46"/>
      <c r="J148" s="46"/>
      <c r="K148" s="46"/>
      <c r="L148" s="46"/>
      <c r="M148" s="46"/>
      <c r="N148" s="46"/>
      <c r="O148" s="46"/>
      <c r="P148" s="46"/>
      <c r="Q148" s="46"/>
      <c r="R148" s="46"/>
    </row>
    <row r="149">
      <c r="A149" s="46"/>
      <c r="B149" s="46"/>
      <c r="C149" s="46"/>
      <c r="D149" s="46"/>
      <c r="E149" s="46"/>
      <c r="F149" s="46"/>
      <c r="G149" s="46"/>
      <c r="H149" s="46"/>
      <c r="I149" s="46"/>
      <c r="J149" s="46"/>
      <c r="K149" s="46"/>
      <c r="L149" s="46"/>
      <c r="M149" s="46"/>
      <c r="N149" s="46"/>
      <c r="O149" s="46"/>
      <c r="P149" s="46"/>
      <c r="Q149" s="46"/>
      <c r="R149" s="46"/>
    </row>
    <row r="150">
      <c r="A150" s="46"/>
      <c r="B150" s="46"/>
      <c r="C150" s="46"/>
      <c r="D150" s="46"/>
      <c r="E150" s="46"/>
      <c r="F150" s="46"/>
      <c r="G150" s="46"/>
      <c r="H150" s="46"/>
      <c r="I150" s="46"/>
      <c r="J150" s="46"/>
      <c r="K150" s="46"/>
      <c r="L150" s="46"/>
      <c r="M150" s="46"/>
      <c r="N150" s="46"/>
      <c r="O150" s="46"/>
      <c r="P150" s="46"/>
      <c r="Q150" s="46"/>
      <c r="R150" s="46"/>
    </row>
    <row r="151">
      <c r="A151" s="46"/>
      <c r="B151" s="46"/>
      <c r="C151" s="46"/>
      <c r="D151" s="46"/>
      <c r="E151" s="46"/>
      <c r="F151" s="46"/>
      <c r="G151" s="46"/>
      <c r="H151" s="46"/>
      <c r="I151" s="46"/>
      <c r="J151" s="46"/>
      <c r="K151" s="46"/>
      <c r="L151" s="46"/>
      <c r="M151" s="46"/>
      <c r="N151" s="46"/>
      <c r="O151" s="46"/>
      <c r="P151" s="46"/>
      <c r="Q151" s="46"/>
      <c r="R151" s="46"/>
    </row>
    <row r="152">
      <c r="A152" s="46"/>
      <c r="B152" s="46"/>
      <c r="C152" s="46"/>
      <c r="D152" s="46"/>
      <c r="E152" s="46"/>
      <c r="F152" s="46"/>
      <c r="G152" s="46"/>
      <c r="H152" s="46"/>
      <c r="I152" s="46"/>
      <c r="J152" s="46"/>
      <c r="K152" s="46"/>
      <c r="L152" s="46"/>
      <c r="M152" s="46"/>
      <c r="N152" s="46"/>
      <c r="O152" s="46"/>
      <c r="P152" s="46"/>
      <c r="Q152" s="46"/>
      <c r="R152" s="46"/>
    </row>
    <row r="153">
      <c r="A153" s="46"/>
      <c r="B153" s="46"/>
      <c r="C153" s="46"/>
      <c r="D153" s="46"/>
      <c r="E153" s="46"/>
      <c r="F153" s="46"/>
      <c r="G153" s="46"/>
      <c r="H153" s="46"/>
      <c r="I153" s="46"/>
      <c r="J153" s="46"/>
      <c r="K153" s="46"/>
      <c r="L153" s="46"/>
      <c r="M153" s="46"/>
      <c r="N153" s="46"/>
      <c r="O153" s="46"/>
      <c r="P153" s="46"/>
      <c r="Q153" s="46"/>
      <c r="R153" s="46"/>
    </row>
    <row r="154">
      <c r="A154" s="46"/>
      <c r="B154" s="46"/>
      <c r="C154" s="46"/>
      <c r="D154" s="46"/>
      <c r="E154" s="46"/>
      <c r="F154" s="46"/>
      <c r="G154" s="46"/>
      <c r="H154" s="46"/>
      <c r="I154" s="46"/>
      <c r="J154" s="46"/>
      <c r="K154" s="46"/>
      <c r="L154" s="46"/>
      <c r="M154" s="46"/>
      <c r="N154" s="46"/>
      <c r="O154" s="46"/>
      <c r="P154" s="46"/>
      <c r="Q154" s="46"/>
      <c r="R154" s="46"/>
    </row>
    <row r="155">
      <c r="A155" s="46"/>
      <c r="B155" s="46"/>
      <c r="C155" s="46"/>
      <c r="D155" s="46"/>
      <c r="E155" s="46"/>
      <c r="F155" s="46"/>
      <c r="G155" s="46"/>
      <c r="H155" s="46"/>
      <c r="I155" s="46"/>
      <c r="J155" s="46"/>
      <c r="K155" s="46"/>
      <c r="L155" s="46"/>
      <c r="M155" s="46"/>
      <c r="N155" s="46"/>
      <c r="O155" s="46"/>
      <c r="P155" s="46"/>
      <c r="Q155" s="46"/>
      <c r="R155" s="46"/>
    </row>
    <row r="156">
      <c r="A156" s="46"/>
      <c r="B156" s="46"/>
      <c r="C156" s="46"/>
      <c r="D156" s="46"/>
      <c r="E156" s="46"/>
      <c r="F156" s="46"/>
      <c r="G156" s="46"/>
      <c r="H156" s="46"/>
      <c r="I156" s="46"/>
      <c r="J156" s="46"/>
      <c r="K156" s="46"/>
      <c r="L156" s="46"/>
      <c r="M156" s="46"/>
      <c r="N156" s="46"/>
      <c r="O156" s="46"/>
      <c r="P156" s="46"/>
      <c r="Q156" s="46"/>
      <c r="R156" s="46"/>
    </row>
    <row r="157">
      <c r="A157" s="46"/>
      <c r="B157" s="46"/>
      <c r="C157" s="46"/>
      <c r="D157" s="46"/>
      <c r="E157" s="46"/>
      <c r="F157" s="46"/>
      <c r="G157" s="46"/>
      <c r="H157" s="46"/>
      <c r="I157" s="46"/>
      <c r="J157" s="46"/>
      <c r="K157" s="46"/>
      <c r="L157" s="46"/>
      <c r="M157" s="46"/>
      <c r="N157" s="46"/>
      <c r="O157" s="46"/>
      <c r="P157" s="46"/>
      <c r="Q157" s="46"/>
      <c r="R157" s="46"/>
    </row>
    <row r="158">
      <c r="A158" s="46"/>
      <c r="B158" s="46"/>
      <c r="C158" s="46"/>
      <c r="D158" s="46"/>
      <c r="E158" s="46"/>
      <c r="F158" s="46"/>
      <c r="G158" s="46"/>
      <c r="H158" s="46"/>
      <c r="I158" s="46"/>
      <c r="J158" s="46"/>
      <c r="K158" s="46"/>
      <c r="L158" s="46"/>
      <c r="M158" s="46"/>
      <c r="N158" s="46"/>
      <c r="O158" s="46"/>
      <c r="P158" s="46"/>
      <c r="Q158" s="46"/>
      <c r="R158" s="46"/>
    </row>
    <row r="159">
      <c r="A159" s="46"/>
      <c r="B159" s="46"/>
      <c r="C159" s="46"/>
      <c r="D159" s="46"/>
      <c r="E159" s="46"/>
      <c r="F159" s="46"/>
      <c r="G159" s="46"/>
      <c r="H159" s="46"/>
      <c r="I159" s="46"/>
      <c r="J159" s="46"/>
      <c r="K159" s="46"/>
      <c r="L159" s="46"/>
      <c r="M159" s="46"/>
      <c r="N159" s="46"/>
      <c r="O159" s="46"/>
      <c r="P159" s="46"/>
      <c r="Q159" s="46"/>
      <c r="R159" s="46"/>
    </row>
    <row r="160">
      <c r="A160" s="46"/>
      <c r="B160" s="46"/>
      <c r="C160" s="46"/>
      <c r="D160" s="46"/>
      <c r="E160" s="46"/>
      <c r="F160" s="46"/>
      <c r="G160" s="46"/>
      <c r="H160" s="46"/>
      <c r="I160" s="46"/>
      <c r="J160" s="46"/>
      <c r="K160" s="46"/>
      <c r="L160" s="46"/>
      <c r="M160" s="46"/>
      <c r="N160" s="46"/>
      <c r="O160" s="46"/>
      <c r="P160" s="46"/>
      <c r="Q160" s="46"/>
      <c r="R160" s="46"/>
    </row>
    <row r="161">
      <c r="A161" s="46"/>
      <c r="B161" s="46"/>
      <c r="C161" s="46"/>
      <c r="D161" s="46"/>
      <c r="E161" s="46"/>
      <c r="F161" s="46"/>
      <c r="G161" s="46"/>
      <c r="H161" s="46"/>
      <c r="I161" s="46"/>
      <c r="J161" s="46"/>
      <c r="K161" s="46"/>
      <c r="L161" s="46"/>
      <c r="M161" s="46"/>
      <c r="N161" s="46"/>
      <c r="O161" s="46"/>
      <c r="P161" s="46"/>
      <c r="Q161" s="46"/>
      <c r="R161" s="46"/>
    </row>
    <row r="162">
      <c r="A162" s="46"/>
      <c r="B162" s="46"/>
      <c r="C162" s="46"/>
      <c r="D162" s="46"/>
      <c r="E162" s="46"/>
      <c r="F162" s="46"/>
      <c r="G162" s="46"/>
      <c r="H162" s="46"/>
      <c r="I162" s="46"/>
      <c r="J162" s="46"/>
      <c r="K162" s="46"/>
      <c r="L162" s="46"/>
      <c r="M162" s="46"/>
      <c r="N162" s="46"/>
      <c r="O162" s="46"/>
      <c r="P162" s="46"/>
      <c r="Q162" s="46"/>
      <c r="R162" s="46"/>
    </row>
    <row r="163">
      <c r="A163" s="46"/>
      <c r="B163" s="46"/>
      <c r="C163" s="46"/>
      <c r="D163" s="46"/>
      <c r="E163" s="46"/>
      <c r="F163" s="46"/>
      <c r="G163" s="46"/>
      <c r="H163" s="46"/>
      <c r="I163" s="46"/>
      <c r="J163" s="46"/>
      <c r="K163" s="46"/>
      <c r="L163" s="46"/>
      <c r="M163" s="46"/>
      <c r="N163" s="46"/>
      <c r="O163" s="46"/>
      <c r="P163" s="46"/>
      <c r="Q163" s="46"/>
      <c r="R163" s="46"/>
    </row>
    <row r="164">
      <c r="A164" s="46"/>
      <c r="B164" s="46"/>
      <c r="C164" s="46"/>
      <c r="D164" s="46"/>
      <c r="E164" s="46"/>
      <c r="F164" s="46"/>
      <c r="G164" s="46"/>
      <c r="H164" s="46"/>
      <c r="I164" s="46"/>
      <c r="J164" s="46"/>
      <c r="K164" s="46"/>
      <c r="L164" s="46"/>
      <c r="M164" s="46"/>
      <c r="N164" s="46"/>
      <c r="O164" s="46"/>
      <c r="P164" s="46"/>
      <c r="Q164" s="46"/>
      <c r="R164" s="46"/>
    </row>
    <row r="165">
      <c r="A165" s="46"/>
      <c r="B165" s="46"/>
      <c r="C165" s="46"/>
      <c r="D165" s="46"/>
      <c r="E165" s="46"/>
      <c r="F165" s="46"/>
      <c r="G165" s="46"/>
      <c r="H165" s="46"/>
      <c r="I165" s="46"/>
      <c r="J165" s="46"/>
      <c r="K165" s="46"/>
      <c r="L165" s="46"/>
      <c r="M165" s="46"/>
      <c r="N165" s="46"/>
      <c r="O165" s="46"/>
      <c r="P165" s="46"/>
      <c r="Q165" s="46"/>
      <c r="R165" s="46"/>
    </row>
    <row r="166">
      <c r="A166" s="46"/>
      <c r="B166" s="46"/>
      <c r="C166" s="46"/>
      <c r="D166" s="46"/>
      <c r="E166" s="46"/>
      <c r="F166" s="46"/>
      <c r="G166" s="46"/>
      <c r="H166" s="46"/>
      <c r="I166" s="46"/>
      <c r="J166" s="46"/>
      <c r="K166" s="46"/>
      <c r="L166" s="46"/>
      <c r="M166" s="46"/>
      <c r="N166" s="46"/>
      <c r="O166" s="46"/>
      <c r="P166" s="46"/>
      <c r="Q166" s="46"/>
      <c r="R166" s="46"/>
    </row>
    <row r="167">
      <c r="A167" s="46"/>
      <c r="B167" s="46"/>
      <c r="C167" s="46"/>
      <c r="D167" s="46"/>
      <c r="E167" s="46"/>
      <c r="F167" s="46"/>
      <c r="G167" s="46"/>
      <c r="H167" s="46"/>
      <c r="I167" s="46"/>
      <c r="J167" s="46"/>
      <c r="K167" s="46"/>
      <c r="L167" s="46"/>
      <c r="M167" s="46"/>
      <c r="N167" s="46"/>
      <c r="O167" s="46"/>
      <c r="P167" s="46"/>
      <c r="Q167" s="46"/>
      <c r="R167" s="46"/>
    </row>
    <row r="168">
      <c r="A168" s="46"/>
      <c r="B168" s="46"/>
      <c r="C168" s="46"/>
      <c r="D168" s="46"/>
      <c r="E168" s="46"/>
      <c r="F168" s="46"/>
      <c r="G168" s="46"/>
      <c r="H168" s="46"/>
      <c r="I168" s="46"/>
      <c r="J168" s="46"/>
      <c r="K168" s="46"/>
      <c r="L168" s="46"/>
      <c r="M168" s="46"/>
      <c r="N168" s="46"/>
      <c r="O168" s="46"/>
      <c r="P168" s="46"/>
      <c r="Q168" s="46"/>
      <c r="R168" s="46"/>
    </row>
    <row r="169">
      <c r="A169" s="46"/>
      <c r="B169" s="46"/>
      <c r="C169" s="46"/>
      <c r="D169" s="46"/>
      <c r="E169" s="46"/>
      <c r="F169" s="46"/>
      <c r="G169" s="46"/>
      <c r="H169" s="46"/>
      <c r="I169" s="46"/>
      <c r="J169" s="46"/>
      <c r="K169" s="46"/>
      <c r="L169" s="46"/>
      <c r="M169" s="46"/>
      <c r="N169" s="46"/>
      <c r="O169" s="46"/>
      <c r="P169" s="46"/>
      <c r="Q169" s="46"/>
      <c r="R169" s="46"/>
    </row>
    <row r="170">
      <c r="A170" s="46"/>
      <c r="B170" s="46"/>
      <c r="C170" s="46"/>
      <c r="D170" s="46"/>
      <c r="E170" s="46"/>
      <c r="F170" s="46"/>
      <c r="G170" s="46"/>
      <c r="H170" s="46"/>
      <c r="I170" s="46"/>
      <c r="J170" s="46"/>
      <c r="K170" s="46"/>
      <c r="L170" s="46"/>
      <c r="M170" s="46"/>
      <c r="N170" s="46"/>
      <c r="O170" s="46"/>
      <c r="P170" s="46"/>
      <c r="Q170" s="46"/>
      <c r="R170" s="46"/>
    </row>
    <row r="171">
      <c r="A171" s="46"/>
      <c r="B171" s="46"/>
      <c r="C171" s="46"/>
      <c r="D171" s="46"/>
      <c r="E171" s="46"/>
      <c r="F171" s="46"/>
      <c r="G171" s="46"/>
      <c r="H171" s="46"/>
      <c r="I171" s="46"/>
      <c r="J171" s="46"/>
      <c r="K171" s="46"/>
      <c r="L171" s="46"/>
      <c r="M171" s="46"/>
      <c r="N171" s="46"/>
      <c r="O171" s="46"/>
      <c r="P171" s="46"/>
      <c r="Q171" s="46"/>
      <c r="R171" s="46"/>
    </row>
    <row r="172">
      <c r="A172" s="46"/>
      <c r="B172" s="46"/>
      <c r="C172" s="46"/>
      <c r="D172" s="46"/>
      <c r="E172" s="46"/>
      <c r="F172" s="46"/>
      <c r="G172" s="46"/>
      <c r="H172" s="46"/>
      <c r="I172" s="46"/>
      <c r="J172" s="46"/>
      <c r="K172" s="46"/>
      <c r="L172" s="46"/>
      <c r="M172" s="46"/>
      <c r="N172" s="46"/>
      <c r="O172" s="46"/>
      <c r="P172" s="46"/>
      <c r="Q172" s="46"/>
      <c r="R172" s="46"/>
    </row>
    <row r="173">
      <c r="A173" s="46"/>
      <c r="B173" s="46"/>
      <c r="C173" s="46"/>
      <c r="D173" s="46"/>
      <c r="E173" s="46"/>
      <c r="F173" s="46"/>
      <c r="G173" s="46"/>
      <c r="H173" s="46"/>
      <c r="I173" s="46"/>
      <c r="J173" s="46"/>
      <c r="K173" s="46"/>
      <c r="L173" s="46"/>
      <c r="M173" s="46"/>
      <c r="N173" s="46"/>
      <c r="O173" s="46"/>
      <c r="P173" s="46"/>
      <c r="Q173" s="46"/>
      <c r="R173" s="46"/>
    </row>
    <row r="174">
      <c r="A174" s="46"/>
      <c r="B174" s="46"/>
      <c r="C174" s="46"/>
      <c r="D174" s="46"/>
      <c r="E174" s="46"/>
      <c r="F174" s="46"/>
      <c r="G174" s="46"/>
      <c r="H174" s="46"/>
      <c r="I174" s="46"/>
      <c r="J174" s="46"/>
      <c r="K174" s="46"/>
      <c r="L174" s="46"/>
      <c r="M174" s="46"/>
      <c r="N174" s="46"/>
      <c r="O174" s="46"/>
      <c r="P174" s="46"/>
      <c r="Q174" s="46"/>
      <c r="R174" s="46"/>
    </row>
    <row r="175">
      <c r="A175" s="46"/>
      <c r="B175" s="46"/>
      <c r="C175" s="46"/>
      <c r="D175" s="46"/>
      <c r="E175" s="46"/>
      <c r="F175" s="46"/>
      <c r="G175" s="46"/>
      <c r="H175" s="46"/>
      <c r="I175" s="46"/>
      <c r="J175" s="46"/>
      <c r="K175" s="46"/>
      <c r="L175" s="46"/>
      <c r="M175" s="46"/>
      <c r="N175" s="46"/>
      <c r="O175" s="46"/>
      <c r="P175" s="46"/>
      <c r="Q175" s="46"/>
      <c r="R175" s="46"/>
    </row>
    <row r="176">
      <c r="A176" s="46"/>
      <c r="B176" s="46"/>
      <c r="C176" s="46"/>
      <c r="D176" s="46"/>
      <c r="E176" s="46"/>
      <c r="F176" s="46"/>
      <c r="G176" s="46"/>
      <c r="H176" s="46"/>
      <c r="I176" s="46"/>
      <c r="J176" s="46"/>
      <c r="K176" s="46"/>
      <c r="L176" s="46"/>
      <c r="M176" s="46"/>
      <c r="N176" s="46"/>
      <c r="O176" s="46"/>
      <c r="P176" s="46"/>
      <c r="Q176" s="46"/>
      <c r="R176" s="46"/>
    </row>
    <row r="177">
      <c r="A177" s="46"/>
      <c r="B177" s="46"/>
      <c r="C177" s="46"/>
      <c r="D177" s="46"/>
      <c r="E177" s="46"/>
      <c r="F177" s="46"/>
      <c r="G177" s="46"/>
      <c r="H177" s="46"/>
      <c r="I177" s="46"/>
      <c r="J177" s="46"/>
      <c r="K177" s="46"/>
      <c r="L177" s="46"/>
      <c r="M177" s="46"/>
      <c r="N177" s="46"/>
      <c r="O177" s="46"/>
      <c r="P177" s="46"/>
      <c r="Q177" s="46"/>
      <c r="R177" s="46"/>
    </row>
    <row r="178">
      <c r="A178" s="46"/>
      <c r="B178" s="46"/>
      <c r="C178" s="46"/>
      <c r="D178" s="46"/>
      <c r="E178" s="46"/>
      <c r="F178" s="46"/>
      <c r="G178" s="46"/>
      <c r="H178" s="46"/>
      <c r="I178" s="46"/>
      <c r="J178" s="46"/>
      <c r="K178" s="46"/>
      <c r="L178" s="46"/>
      <c r="M178" s="46"/>
      <c r="N178" s="46"/>
      <c r="O178" s="46"/>
      <c r="P178" s="46"/>
      <c r="Q178" s="46"/>
      <c r="R178" s="46"/>
    </row>
    <row r="179">
      <c r="A179" s="46"/>
      <c r="B179" s="46"/>
      <c r="C179" s="46"/>
      <c r="D179" s="46"/>
      <c r="E179" s="46"/>
      <c r="F179" s="46"/>
      <c r="G179" s="46"/>
      <c r="H179" s="46"/>
      <c r="I179" s="46"/>
      <c r="J179" s="46"/>
      <c r="K179" s="46"/>
      <c r="L179" s="46"/>
      <c r="M179" s="46"/>
      <c r="N179" s="46"/>
      <c r="O179" s="46"/>
      <c r="P179" s="46"/>
      <c r="Q179" s="46"/>
      <c r="R179" s="46"/>
    </row>
    <row r="180">
      <c r="A180" s="46"/>
      <c r="B180" s="46"/>
      <c r="C180" s="46"/>
      <c r="D180" s="46"/>
      <c r="E180" s="46"/>
      <c r="F180" s="46"/>
      <c r="G180" s="46"/>
      <c r="H180" s="46"/>
      <c r="I180" s="46"/>
      <c r="J180" s="46"/>
      <c r="K180" s="46"/>
      <c r="L180" s="46"/>
      <c r="M180" s="46"/>
      <c r="N180" s="46"/>
      <c r="O180" s="46"/>
      <c r="P180" s="46"/>
      <c r="Q180" s="46"/>
      <c r="R180" s="46"/>
    </row>
    <row r="181">
      <c r="A181" s="46"/>
      <c r="B181" s="46"/>
      <c r="C181" s="46"/>
      <c r="D181" s="46"/>
      <c r="E181" s="46"/>
      <c r="F181" s="46"/>
      <c r="G181" s="46"/>
      <c r="H181" s="46"/>
      <c r="I181" s="46"/>
      <c r="J181" s="46"/>
      <c r="K181" s="46"/>
      <c r="L181" s="46"/>
      <c r="M181" s="46"/>
      <c r="N181" s="46"/>
      <c r="O181" s="46"/>
      <c r="P181" s="46"/>
      <c r="Q181" s="46"/>
      <c r="R181" s="46"/>
    </row>
    <row r="182">
      <c r="A182" s="46"/>
      <c r="B182" s="46"/>
      <c r="C182" s="46"/>
      <c r="D182" s="46"/>
      <c r="E182" s="46"/>
      <c r="F182" s="46"/>
      <c r="G182" s="46"/>
      <c r="H182" s="46"/>
      <c r="I182" s="46"/>
      <c r="J182" s="46"/>
      <c r="K182" s="46"/>
      <c r="L182" s="46"/>
      <c r="M182" s="46"/>
      <c r="N182" s="46"/>
      <c r="O182" s="46"/>
      <c r="P182" s="46"/>
      <c r="Q182" s="46"/>
      <c r="R182" s="46"/>
    </row>
    <row r="183">
      <c r="A183" s="46"/>
      <c r="B183" s="46"/>
      <c r="C183" s="46"/>
      <c r="D183" s="46"/>
      <c r="E183" s="46"/>
      <c r="F183" s="46"/>
      <c r="G183" s="46"/>
      <c r="H183" s="46"/>
      <c r="I183" s="46"/>
      <c r="J183" s="46"/>
      <c r="K183" s="46"/>
      <c r="L183" s="46"/>
      <c r="M183" s="46"/>
      <c r="N183" s="46"/>
      <c r="O183" s="46"/>
      <c r="P183" s="46"/>
      <c r="Q183" s="46"/>
      <c r="R183" s="46"/>
    </row>
    <row r="184">
      <c r="A184" s="46"/>
      <c r="B184" s="46"/>
      <c r="C184" s="46"/>
      <c r="D184" s="46"/>
      <c r="E184" s="46"/>
      <c r="F184" s="46"/>
      <c r="G184" s="46"/>
      <c r="H184" s="46"/>
      <c r="I184" s="46"/>
      <c r="J184" s="46"/>
      <c r="K184" s="46"/>
      <c r="L184" s="46"/>
      <c r="M184" s="46"/>
      <c r="N184" s="46"/>
      <c r="O184" s="46"/>
      <c r="P184" s="46"/>
      <c r="Q184" s="46"/>
      <c r="R184" s="46"/>
    </row>
    <row r="185">
      <c r="A185" s="46"/>
      <c r="B185" s="46"/>
      <c r="C185" s="46"/>
      <c r="D185" s="46"/>
      <c r="E185" s="46"/>
      <c r="F185" s="46"/>
      <c r="G185" s="46"/>
      <c r="H185" s="46"/>
      <c r="I185" s="46"/>
      <c r="J185" s="46"/>
      <c r="K185" s="46"/>
      <c r="L185" s="46"/>
      <c r="M185" s="46"/>
      <c r="N185" s="46"/>
      <c r="O185" s="46"/>
      <c r="P185" s="46"/>
      <c r="Q185" s="46"/>
      <c r="R185" s="46"/>
    </row>
    <row r="186">
      <c r="A186" s="46"/>
      <c r="B186" s="46"/>
      <c r="C186" s="46"/>
      <c r="D186" s="46"/>
      <c r="E186" s="46"/>
      <c r="F186" s="46"/>
      <c r="G186" s="46"/>
      <c r="H186" s="46"/>
      <c r="I186" s="46"/>
      <c r="J186" s="46"/>
      <c r="K186" s="46"/>
      <c r="L186" s="46"/>
      <c r="M186" s="46"/>
      <c r="N186" s="46"/>
      <c r="O186" s="46"/>
      <c r="P186" s="46"/>
      <c r="Q186" s="46"/>
      <c r="R186" s="46"/>
    </row>
    <row r="187">
      <c r="A187" s="46"/>
      <c r="B187" s="46"/>
      <c r="C187" s="46"/>
      <c r="D187" s="46"/>
      <c r="E187" s="46"/>
      <c r="F187" s="46"/>
      <c r="G187" s="46"/>
      <c r="H187" s="46"/>
      <c r="I187" s="46"/>
      <c r="J187" s="46"/>
      <c r="K187" s="46"/>
      <c r="L187" s="46"/>
      <c r="M187" s="46"/>
      <c r="N187" s="46"/>
      <c r="O187" s="46"/>
      <c r="P187" s="46"/>
      <c r="Q187" s="46"/>
      <c r="R187" s="46"/>
    </row>
    <row r="188">
      <c r="A188" s="46"/>
      <c r="B188" s="46"/>
      <c r="C188" s="46"/>
      <c r="D188" s="46"/>
      <c r="E188" s="46"/>
      <c r="F188" s="46"/>
      <c r="G188" s="46"/>
      <c r="H188" s="46"/>
      <c r="I188" s="46"/>
      <c r="J188" s="46"/>
      <c r="K188" s="46"/>
      <c r="L188" s="46"/>
      <c r="M188" s="46"/>
      <c r="N188" s="46"/>
      <c r="O188" s="46"/>
      <c r="P188" s="46"/>
      <c r="Q188" s="46"/>
      <c r="R188" s="46"/>
    </row>
    <row r="189">
      <c r="A189" s="46"/>
      <c r="B189" s="46"/>
      <c r="C189" s="46"/>
      <c r="D189" s="46"/>
      <c r="E189" s="46"/>
      <c r="F189" s="46"/>
      <c r="G189" s="46"/>
      <c r="H189" s="46"/>
      <c r="I189" s="46"/>
      <c r="J189" s="46"/>
      <c r="K189" s="46"/>
      <c r="L189" s="46"/>
      <c r="M189" s="46"/>
      <c r="N189" s="46"/>
      <c r="O189" s="46"/>
      <c r="P189" s="46"/>
      <c r="Q189" s="46"/>
      <c r="R189" s="46"/>
    </row>
    <row r="190">
      <c r="A190" s="46"/>
      <c r="B190" s="46"/>
      <c r="C190" s="46"/>
      <c r="D190" s="46"/>
      <c r="E190" s="46"/>
      <c r="F190" s="46"/>
      <c r="G190" s="46"/>
      <c r="H190" s="46"/>
      <c r="I190" s="46"/>
      <c r="J190" s="46"/>
      <c r="K190" s="46"/>
      <c r="L190" s="46"/>
      <c r="M190" s="46"/>
      <c r="N190" s="46"/>
      <c r="O190" s="46"/>
      <c r="P190" s="46"/>
      <c r="Q190" s="46"/>
      <c r="R190" s="46"/>
    </row>
    <row r="191">
      <c r="A191" s="46"/>
      <c r="B191" s="46"/>
      <c r="C191" s="46"/>
      <c r="D191" s="46"/>
      <c r="E191" s="46"/>
      <c r="F191" s="46"/>
      <c r="G191" s="46"/>
      <c r="H191" s="46"/>
      <c r="I191" s="46"/>
      <c r="J191" s="46"/>
      <c r="K191" s="46"/>
      <c r="L191" s="46"/>
      <c r="M191" s="46"/>
      <c r="N191" s="46"/>
      <c r="O191" s="46"/>
      <c r="P191" s="46"/>
      <c r="Q191" s="46"/>
      <c r="R191" s="46"/>
    </row>
    <row r="192">
      <c r="A192" s="46"/>
      <c r="B192" s="46"/>
      <c r="C192" s="46"/>
      <c r="D192" s="46"/>
      <c r="E192" s="46"/>
      <c r="F192" s="46"/>
      <c r="G192" s="46"/>
      <c r="H192" s="46"/>
      <c r="I192" s="46"/>
      <c r="J192" s="46"/>
      <c r="K192" s="46"/>
      <c r="L192" s="46"/>
      <c r="M192" s="46"/>
      <c r="N192" s="46"/>
      <c r="O192" s="46"/>
      <c r="P192" s="46"/>
      <c r="Q192" s="46"/>
      <c r="R192" s="46"/>
    </row>
    <row r="193">
      <c r="A193" s="46"/>
      <c r="B193" s="46"/>
      <c r="C193" s="46"/>
      <c r="D193" s="46"/>
      <c r="E193" s="46"/>
      <c r="F193" s="46"/>
      <c r="G193" s="46"/>
      <c r="H193" s="46"/>
      <c r="I193" s="46"/>
      <c r="J193" s="46"/>
      <c r="K193" s="46"/>
      <c r="L193" s="46"/>
      <c r="M193" s="46"/>
      <c r="N193" s="46"/>
      <c r="O193" s="46"/>
      <c r="P193" s="46"/>
      <c r="Q193" s="46"/>
      <c r="R193" s="46"/>
    </row>
    <row r="194">
      <c r="A194" s="46"/>
      <c r="B194" s="46"/>
      <c r="C194" s="46"/>
      <c r="D194" s="46"/>
      <c r="E194" s="46"/>
      <c r="F194" s="46"/>
      <c r="G194" s="46"/>
      <c r="H194" s="46"/>
      <c r="I194" s="46"/>
      <c r="J194" s="46"/>
      <c r="K194" s="46"/>
      <c r="L194" s="46"/>
      <c r="M194" s="46"/>
      <c r="N194" s="46"/>
      <c r="O194" s="46"/>
      <c r="P194" s="46"/>
      <c r="Q194" s="46"/>
      <c r="R194" s="46"/>
    </row>
    <row r="195">
      <c r="A195" s="46"/>
      <c r="B195" s="46"/>
      <c r="C195" s="46"/>
      <c r="D195" s="46"/>
      <c r="E195" s="46"/>
      <c r="F195" s="46"/>
      <c r="G195" s="46"/>
      <c r="H195" s="46"/>
      <c r="I195" s="46"/>
      <c r="J195" s="46"/>
      <c r="K195" s="46"/>
      <c r="L195" s="46"/>
      <c r="M195" s="46"/>
      <c r="N195" s="46"/>
      <c r="O195" s="46"/>
      <c r="P195" s="46"/>
      <c r="Q195" s="46"/>
      <c r="R195" s="46"/>
    </row>
    <row r="196">
      <c r="A196" s="46"/>
      <c r="B196" s="46"/>
      <c r="C196" s="46"/>
      <c r="D196" s="46"/>
      <c r="E196" s="46"/>
      <c r="F196" s="46"/>
      <c r="G196" s="46"/>
      <c r="H196" s="46"/>
      <c r="I196" s="46"/>
      <c r="J196" s="46"/>
      <c r="K196" s="46"/>
      <c r="L196" s="46"/>
      <c r="M196" s="46"/>
      <c r="N196" s="46"/>
      <c r="O196" s="46"/>
      <c r="P196" s="46"/>
      <c r="Q196" s="46"/>
      <c r="R196" s="46"/>
    </row>
    <row r="197">
      <c r="A197" s="46"/>
      <c r="B197" s="46"/>
      <c r="C197" s="46"/>
      <c r="D197" s="46"/>
      <c r="E197" s="46"/>
      <c r="F197" s="46"/>
      <c r="G197" s="46"/>
      <c r="H197" s="46"/>
      <c r="I197" s="46"/>
      <c r="J197" s="46"/>
      <c r="K197" s="46"/>
      <c r="L197" s="46"/>
      <c r="M197" s="46"/>
      <c r="N197" s="46"/>
      <c r="O197" s="46"/>
      <c r="P197" s="46"/>
      <c r="Q197" s="46"/>
      <c r="R197" s="46"/>
    </row>
    <row r="198">
      <c r="A198" s="46"/>
      <c r="B198" s="46"/>
      <c r="C198" s="46"/>
      <c r="D198" s="46"/>
      <c r="E198" s="46"/>
      <c r="F198" s="46"/>
      <c r="G198" s="46"/>
      <c r="H198" s="46"/>
      <c r="I198" s="46"/>
      <c r="J198" s="46"/>
      <c r="K198" s="46"/>
      <c r="L198" s="46"/>
      <c r="M198" s="46"/>
      <c r="N198" s="46"/>
      <c r="O198" s="46"/>
      <c r="P198" s="46"/>
      <c r="Q198" s="46"/>
      <c r="R198" s="46"/>
    </row>
    <row r="199">
      <c r="A199" s="46"/>
      <c r="B199" s="46"/>
      <c r="C199" s="46"/>
      <c r="D199" s="46"/>
      <c r="E199" s="46"/>
      <c r="F199" s="46"/>
      <c r="G199" s="46"/>
      <c r="H199" s="46"/>
      <c r="I199" s="46"/>
      <c r="J199" s="46"/>
      <c r="K199" s="46"/>
      <c r="L199" s="46"/>
      <c r="M199" s="46"/>
      <c r="N199" s="46"/>
      <c r="O199" s="46"/>
      <c r="P199" s="46"/>
      <c r="Q199" s="46"/>
      <c r="R199" s="46"/>
    </row>
    <row r="200">
      <c r="A200" s="46"/>
      <c r="B200" s="46"/>
      <c r="C200" s="46"/>
      <c r="D200" s="46"/>
      <c r="E200" s="46"/>
      <c r="F200" s="46"/>
      <c r="G200" s="46"/>
      <c r="H200" s="46"/>
      <c r="I200" s="46"/>
      <c r="J200" s="46"/>
      <c r="K200" s="46"/>
      <c r="L200" s="46"/>
      <c r="M200" s="46"/>
      <c r="N200" s="46"/>
      <c r="O200" s="46"/>
      <c r="P200" s="46"/>
      <c r="Q200" s="46"/>
      <c r="R200" s="46"/>
    </row>
    <row r="201">
      <c r="A201" s="46"/>
      <c r="B201" s="46"/>
      <c r="C201" s="46"/>
      <c r="D201" s="46"/>
      <c r="E201" s="46"/>
      <c r="F201" s="46"/>
      <c r="G201" s="46"/>
      <c r="H201" s="46"/>
      <c r="I201" s="46"/>
      <c r="J201" s="46"/>
      <c r="K201" s="46"/>
      <c r="L201" s="46"/>
      <c r="M201" s="46"/>
      <c r="N201" s="46"/>
      <c r="O201" s="46"/>
      <c r="P201" s="46"/>
      <c r="Q201" s="46"/>
      <c r="R201" s="46"/>
    </row>
    <row r="202">
      <c r="A202" s="46"/>
      <c r="B202" s="46"/>
      <c r="C202" s="46"/>
      <c r="D202" s="46"/>
      <c r="E202" s="46"/>
      <c r="F202" s="46"/>
      <c r="G202" s="46"/>
      <c r="H202" s="46"/>
      <c r="I202" s="46"/>
      <c r="J202" s="46"/>
      <c r="K202" s="46"/>
      <c r="L202" s="46"/>
      <c r="M202" s="46"/>
      <c r="N202" s="46"/>
      <c r="O202" s="46"/>
      <c r="P202" s="46"/>
      <c r="Q202" s="46"/>
      <c r="R202" s="46"/>
    </row>
    <row r="203">
      <c r="A203" s="46"/>
      <c r="B203" s="46"/>
      <c r="C203" s="46"/>
      <c r="D203" s="46"/>
      <c r="E203" s="46"/>
      <c r="F203" s="46"/>
      <c r="G203" s="46"/>
      <c r="H203" s="46"/>
      <c r="I203" s="46"/>
      <c r="J203" s="46"/>
      <c r="K203" s="46"/>
      <c r="L203" s="46"/>
      <c r="M203" s="46"/>
      <c r="N203" s="46"/>
      <c r="O203" s="46"/>
      <c r="P203" s="46"/>
      <c r="Q203" s="46"/>
      <c r="R203" s="46"/>
    </row>
    <row r="204">
      <c r="A204" s="46"/>
      <c r="B204" s="46"/>
      <c r="C204" s="46"/>
      <c r="D204" s="46"/>
      <c r="E204" s="46"/>
      <c r="F204" s="46"/>
      <c r="G204" s="46"/>
      <c r="H204" s="46"/>
      <c r="I204" s="46"/>
      <c r="J204" s="46"/>
      <c r="K204" s="46"/>
      <c r="L204" s="46"/>
      <c r="M204" s="46"/>
      <c r="N204" s="46"/>
      <c r="O204" s="46"/>
      <c r="P204" s="46"/>
      <c r="Q204" s="46"/>
      <c r="R204" s="46"/>
    </row>
    <row r="205">
      <c r="A205" s="46"/>
      <c r="B205" s="46"/>
      <c r="C205" s="46"/>
      <c r="D205" s="46"/>
      <c r="E205" s="46"/>
      <c r="F205" s="46"/>
      <c r="G205" s="46"/>
      <c r="H205" s="46"/>
      <c r="I205" s="46"/>
      <c r="J205" s="46"/>
      <c r="K205" s="46"/>
      <c r="L205" s="46"/>
      <c r="M205" s="46"/>
      <c r="N205" s="46"/>
      <c r="O205" s="46"/>
      <c r="P205" s="46"/>
      <c r="Q205" s="46"/>
      <c r="R205" s="46"/>
    </row>
    <row r="206">
      <c r="A206" s="46"/>
      <c r="B206" s="46"/>
      <c r="C206" s="46"/>
      <c r="D206" s="46"/>
      <c r="E206" s="46"/>
      <c r="F206" s="46"/>
      <c r="G206" s="46"/>
      <c r="H206" s="46"/>
      <c r="I206" s="46"/>
      <c r="J206" s="46"/>
      <c r="K206" s="46"/>
      <c r="L206" s="46"/>
      <c r="M206" s="46"/>
      <c r="N206" s="46"/>
      <c r="O206" s="46"/>
      <c r="P206" s="46"/>
      <c r="Q206" s="46"/>
      <c r="R206" s="46"/>
    </row>
    <row r="207">
      <c r="A207" s="46"/>
      <c r="B207" s="46"/>
      <c r="C207" s="46"/>
      <c r="D207" s="46"/>
      <c r="E207" s="46"/>
      <c r="F207" s="46"/>
      <c r="G207" s="46"/>
      <c r="H207" s="46"/>
      <c r="I207" s="46"/>
      <c r="J207" s="46"/>
      <c r="K207" s="46"/>
      <c r="L207" s="46"/>
      <c r="M207" s="46"/>
      <c r="N207" s="46"/>
      <c r="O207" s="46"/>
      <c r="P207" s="46"/>
      <c r="Q207" s="46"/>
      <c r="R207" s="46"/>
    </row>
    <row r="208">
      <c r="A208" s="46"/>
      <c r="B208" s="46"/>
      <c r="C208" s="46"/>
      <c r="D208" s="46"/>
      <c r="E208" s="46"/>
      <c r="F208" s="46"/>
      <c r="G208" s="46"/>
      <c r="H208" s="46"/>
      <c r="I208" s="46"/>
      <c r="J208" s="46"/>
      <c r="K208" s="46"/>
      <c r="L208" s="46"/>
      <c r="M208" s="46"/>
      <c r="N208" s="46"/>
      <c r="O208" s="46"/>
      <c r="P208" s="46"/>
      <c r="Q208" s="46"/>
      <c r="R208" s="46"/>
    </row>
    <row r="209">
      <c r="A209" s="46"/>
      <c r="B209" s="46"/>
      <c r="C209" s="46"/>
      <c r="D209" s="46"/>
      <c r="E209" s="46"/>
      <c r="F209" s="46"/>
      <c r="G209" s="46"/>
      <c r="H209" s="46"/>
      <c r="I209" s="46"/>
      <c r="J209" s="46"/>
      <c r="K209" s="46"/>
      <c r="L209" s="46"/>
      <c r="M209" s="46"/>
      <c r="N209" s="46"/>
      <c r="O209" s="46"/>
      <c r="P209" s="46"/>
      <c r="Q209" s="46"/>
      <c r="R209" s="46"/>
    </row>
    <row r="210">
      <c r="A210" s="46"/>
      <c r="B210" s="46"/>
      <c r="C210" s="46"/>
      <c r="D210" s="46"/>
      <c r="E210" s="46"/>
      <c r="F210" s="46"/>
      <c r="G210" s="46"/>
      <c r="H210" s="46"/>
      <c r="I210" s="46"/>
      <c r="J210" s="46"/>
      <c r="K210" s="46"/>
      <c r="L210" s="46"/>
      <c r="M210" s="46"/>
      <c r="N210" s="46"/>
      <c r="O210" s="46"/>
      <c r="P210" s="46"/>
      <c r="Q210" s="46"/>
      <c r="R210" s="46"/>
    </row>
    <row r="211">
      <c r="A211" s="46"/>
      <c r="B211" s="46"/>
      <c r="C211" s="46"/>
      <c r="D211" s="46"/>
      <c r="E211" s="46"/>
      <c r="F211" s="46"/>
      <c r="G211" s="46"/>
      <c r="H211" s="46"/>
      <c r="I211" s="46"/>
      <c r="J211" s="46"/>
      <c r="K211" s="46"/>
      <c r="L211" s="46"/>
      <c r="M211" s="46"/>
      <c r="N211" s="46"/>
      <c r="O211" s="46"/>
      <c r="P211" s="46"/>
      <c r="Q211" s="46"/>
      <c r="R211" s="46"/>
    </row>
    <row r="212">
      <c r="A212" s="46"/>
      <c r="B212" s="46"/>
      <c r="C212" s="46"/>
      <c r="D212" s="46"/>
      <c r="E212" s="46"/>
      <c r="F212" s="46"/>
      <c r="G212" s="46"/>
      <c r="H212" s="46"/>
      <c r="I212" s="46"/>
      <c r="J212" s="46"/>
      <c r="K212" s="46"/>
      <c r="L212" s="46"/>
      <c r="M212" s="46"/>
      <c r="N212" s="46"/>
      <c r="O212" s="46"/>
      <c r="P212" s="46"/>
      <c r="Q212" s="46"/>
      <c r="R212" s="46"/>
    </row>
    <row r="213">
      <c r="A213" s="46"/>
      <c r="B213" s="46"/>
      <c r="C213" s="46"/>
      <c r="D213" s="46"/>
      <c r="E213" s="46"/>
      <c r="F213" s="46"/>
      <c r="G213" s="46"/>
      <c r="H213" s="46"/>
      <c r="I213" s="46"/>
      <c r="J213" s="46"/>
      <c r="K213" s="46"/>
      <c r="L213" s="46"/>
      <c r="M213" s="46"/>
      <c r="N213" s="46"/>
      <c r="O213" s="46"/>
      <c r="P213" s="46"/>
      <c r="Q213" s="46"/>
      <c r="R213" s="46"/>
    </row>
    <row r="214">
      <c r="A214" s="46"/>
      <c r="B214" s="46"/>
      <c r="C214" s="46"/>
      <c r="D214" s="46"/>
      <c r="E214" s="46"/>
      <c r="F214" s="46"/>
      <c r="G214" s="46"/>
      <c r="H214" s="46"/>
      <c r="I214" s="46"/>
      <c r="J214" s="46"/>
      <c r="K214" s="46"/>
      <c r="L214" s="46"/>
      <c r="M214" s="46"/>
      <c r="N214" s="46"/>
      <c r="O214" s="46"/>
      <c r="P214" s="46"/>
      <c r="Q214" s="46"/>
      <c r="R214" s="46"/>
    </row>
    <row r="215">
      <c r="A215" s="46"/>
      <c r="B215" s="46"/>
      <c r="C215" s="46"/>
      <c r="D215" s="46"/>
      <c r="E215" s="46"/>
      <c r="F215" s="46"/>
      <c r="G215" s="46"/>
      <c r="H215" s="46"/>
      <c r="I215" s="46"/>
      <c r="J215" s="46"/>
      <c r="K215" s="46"/>
      <c r="L215" s="46"/>
      <c r="M215" s="46"/>
      <c r="N215" s="46"/>
      <c r="O215" s="46"/>
      <c r="P215" s="46"/>
      <c r="Q215" s="46"/>
      <c r="R215" s="46"/>
    </row>
    <row r="216">
      <c r="A216" s="46"/>
      <c r="B216" s="46"/>
      <c r="C216" s="46"/>
      <c r="D216" s="46"/>
      <c r="E216" s="46"/>
      <c r="F216" s="46"/>
      <c r="G216" s="46"/>
      <c r="H216" s="46"/>
      <c r="I216" s="46"/>
      <c r="J216" s="46"/>
      <c r="K216" s="46"/>
      <c r="L216" s="46"/>
      <c r="M216" s="46"/>
      <c r="N216" s="46"/>
      <c r="O216" s="46"/>
      <c r="P216" s="46"/>
      <c r="Q216" s="46"/>
      <c r="R216" s="46"/>
    </row>
    <row r="217">
      <c r="A217" s="46"/>
      <c r="B217" s="46"/>
      <c r="C217" s="46"/>
      <c r="D217" s="46"/>
      <c r="E217" s="46"/>
      <c r="F217" s="46"/>
      <c r="G217" s="46"/>
      <c r="H217" s="46"/>
      <c r="I217" s="46"/>
      <c r="J217" s="46"/>
      <c r="K217" s="46"/>
      <c r="L217" s="46"/>
      <c r="M217" s="46"/>
      <c r="N217" s="46"/>
      <c r="O217" s="46"/>
      <c r="P217" s="46"/>
      <c r="Q217" s="46"/>
      <c r="R217" s="46"/>
    </row>
    <row r="218">
      <c r="A218" s="46"/>
      <c r="B218" s="46"/>
      <c r="C218" s="46"/>
      <c r="D218" s="46"/>
      <c r="E218" s="46"/>
      <c r="F218" s="46"/>
      <c r="G218" s="46"/>
      <c r="H218" s="46"/>
      <c r="I218" s="46"/>
      <c r="J218" s="46"/>
      <c r="K218" s="46"/>
      <c r="L218" s="46"/>
      <c r="M218" s="46"/>
      <c r="N218" s="46"/>
      <c r="O218" s="46"/>
      <c r="P218" s="46"/>
      <c r="Q218" s="46"/>
      <c r="R218" s="46"/>
    </row>
    <row r="219">
      <c r="A219" s="46"/>
      <c r="B219" s="46"/>
      <c r="C219" s="46"/>
      <c r="D219" s="46"/>
      <c r="E219" s="46"/>
      <c r="F219" s="46"/>
      <c r="G219" s="46"/>
      <c r="H219" s="46"/>
      <c r="I219" s="46"/>
      <c r="J219" s="46"/>
      <c r="K219" s="46"/>
      <c r="L219" s="46"/>
      <c r="M219" s="46"/>
      <c r="N219" s="46"/>
      <c r="O219" s="46"/>
      <c r="P219" s="46"/>
      <c r="Q219" s="46"/>
      <c r="R219" s="46"/>
    </row>
    <row r="220">
      <c r="A220" s="46"/>
      <c r="B220" s="46"/>
      <c r="C220" s="46"/>
      <c r="D220" s="46"/>
      <c r="E220" s="46"/>
      <c r="F220" s="46"/>
      <c r="G220" s="46"/>
      <c r="H220" s="46"/>
      <c r="I220" s="46"/>
      <c r="J220" s="46"/>
      <c r="K220" s="46"/>
      <c r="L220" s="46"/>
      <c r="M220" s="46"/>
      <c r="N220" s="46"/>
      <c r="O220" s="46"/>
      <c r="P220" s="46"/>
      <c r="Q220" s="46"/>
      <c r="R220" s="46"/>
    </row>
    <row r="221">
      <c r="A221" s="46"/>
      <c r="B221" s="46"/>
      <c r="C221" s="46"/>
      <c r="D221" s="46"/>
      <c r="E221" s="46"/>
      <c r="F221" s="46"/>
      <c r="G221" s="46"/>
      <c r="H221" s="46"/>
      <c r="I221" s="46"/>
      <c r="J221" s="46"/>
      <c r="K221" s="46"/>
      <c r="L221" s="46"/>
      <c r="M221" s="46"/>
      <c r="N221" s="46"/>
      <c r="O221" s="46"/>
      <c r="P221" s="46"/>
      <c r="Q221" s="46"/>
      <c r="R221" s="46"/>
    </row>
    <row r="222">
      <c r="A222" s="46"/>
      <c r="B222" s="46"/>
      <c r="C222" s="46"/>
      <c r="D222" s="46"/>
      <c r="E222" s="46"/>
      <c r="F222" s="46"/>
      <c r="G222" s="46"/>
      <c r="H222" s="46"/>
      <c r="I222" s="46"/>
      <c r="J222" s="46"/>
      <c r="K222" s="46"/>
      <c r="L222" s="46"/>
      <c r="M222" s="46"/>
      <c r="N222" s="46"/>
      <c r="O222" s="46"/>
      <c r="P222" s="46"/>
      <c r="Q222" s="46"/>
      <c r="R222" s="46"/>
    </row>
    <row r="223">
      <c r="A223" s="46"/>
      <c r="B223" s="46"/>
      <c r="C223" s="46"/>
      <c r="D223" s="46"/>
      <c r="E223" s="46"/>
      <c r="F223" s="46"/>
      <c r="G223" s="46"/>
      <c r="H223" s="46"/>
      <c r="I223" s="46"/>
      <c r="J223" s="46"/>
      <c r="K223" s="46"/>
      <c r="L223" s="46"/>
      <c r="M223" s="46"/>
      <c r="N223" s="46"/>
      <c r="O223" s="46"/>
      <c r="P223" s="46"/>
      <c r="Q223" s="46"/>
      <c r="R223" s="46"/>
    </row>
    <row r="224">
      <c r="A224" s="46"/>
      <c r="B224" s="46"/>
      <c r="C224" s="46"/>
      <c r="D224" s="46"/>
      <c r="E224" s="46"/>
      <c r="F224" s="46"/>
      <c r="G224" s="46"/>
      <c r="H224" s="46"/>
      <c r="I224" s="46"/>
      <c r="J224" s="46"/>
      <c r="K224" s="46"/>
      <c r="L224" s="46"/>
      <c r="M224" s="46"/>
      <c r="N224" s="46"/>
      <c r="O224" s="46"/>
      <c r="P224" s="46"/>
      <c r="Q224" s="46"/>
      <c r="R224" s="46"/>
    </row>
    <row r="225">
      <c r="A225" s="46"/>
      <c r="B225" s="46"/>
      <c r="C225" s="46"/>
      <c r="D225" s="46"/>
      <c r="E225" s="46"/>
      <c r="F225" s="46"/>
      <c r="G225" s="46"/>
      <c r="H225" s="46"/>
      <c r="I225" s="46"/>
      <c r="J225" s="46"/>
      <c r="K225" s="46"/>
      <c r="L225" s="46"/>
      <c r="M225" s="46"/>
      <c r="N225" s="46"/>
      <c r="O225" s="46"/>
      <c r="P225" s="46"/>
      <c r="Q225" s="46"/>
      <c r="R225" s="46"/>
    </row>
    <row r="226">
      <c r="A226" s="46"/>
      <c r="B226" s="46"/>
      <c r="C226" s="46"/>
      <c r="D226" s="46"/>
      <c r="E226" s="46"/>
      <c r="F226" s="46"/>
      <c r="G226" s="46"/>
      <c r="H226" s="46"/>
      <c r="I226" s="46"/>
      <c r="J226" s="46"/>
      <c r="K226" s="46"/>
      <c r="L226" s="46"/>
      <c r="M226" s="46"/>
      <c r="N226" s="46"/>
      <c r="O226" s="46"/>
      <c r="P226" s="46"/>
      <c r="Q226" s="46"/>
      <c r="R226" s="46"/>
    </row>
    <row r="227">
      <c r="A227" s="46"/>
      <c r="B227" s="46"/>
      <c r="C227" s="46"/>
      <c r="D227" s="46"/>
      <c r="E227" s="46"/>
      <c r="F227" s="46"/>
      <c r="G227" s="46"/>
      <c r="H227" s="46"/>
      <c r="I227" s="46"/>
      <c r="J227" s="46"/>
      <c r="K227" s="46"/>
      <c r="L227" s="46"/>
      <c r="M227" s="46"/>
      <c r="N227" s="46"/>
      <c r="O227" s="46"/>
      <c r="P227" s="46"/>
      <c r="Q227" s="46"/>
      <c r="R227" s="46"/>
    </row>
    <row r="228">
      <c r="A228" s="46"/>
      <c r="B228" s="46"/>
      <c r="C228" s="46"/>
      <c r="D228" s="46"/>
      <c r="E228" s="46"/>
      <c r="F228" s="46"/>
      <c r="G228" s="46"/>
      <c r="H228" s="46"/>
      <c r="I228" s="46"/>
      <c r="J228" s="46"/>
      <c r="K228" s="46"/>
      <c r="L228" s="46"/>
      <c r="M228" s="46"/>
      <c r="N228" s="46"/>
      <c r="O228" s="46"/>
      <c r="P228" s="46"/>
      <c r="Q228" s="46"/>
      <c r="R228" s="46"/>
    </row>
    <row r="229">
      <c r="A229" s="46"/>
      <c r="B229" s="46"/>
      <c r="C229" s="46"/>
      <c r="D229" s="46"/>
      <c r="E229" s="46"/>
      <c r="F229" s="46"/>
      <c r="G229" s="46"/>
      <c r="H229" s="46"/>
      <c r="I229" s="46"/>
      <c r="J229" s="46"/>
      <c r="K229" s="46"/>
      <c r="L229" s="46"/>
      <c r="M229" s="46"/>
      <c r="N229" s="46"/>
      <c r="O229" s="46"/>
      <c r="P229" s="46"/>
      <c r="Q229" s="46"/>
      <c r="R229" s="46"/>
    </row>
    <row r="230">
      <c r="A230" s="46"/>
      <c r="B230" s="46"/>
      <c r="C230" s="46"/>
      <c r="D230" s="46"/>
      <c r="E230" s="46"/>
      <c r="F230" s="46"/>
      <c r="G230" s="46"/>
      <c r="H230" s="46"/>
      <c r="I230" s="46"/>
      <c r="J230" s="46"/>
      <c r="K230" s="46"/>
      <c r="L230" s="46"/>
      <c r="M230" s="46"/>
      <c r="N230" s="46"/>
      <c r="O230" s="46"/>
      <c r="P230" s="46"/>
      <c r="Q230" s="46"/>
      <c r="R230" s="46"/>
    </row>
    <row r="231">
      <c r="A231" s="46"/>
      <c r="B231" s="46"/>
      <c r="C231" s="46"/>
      <c r="D231" s="46"/>
      <c r="E231" s="46"/>
      <c r="F231" s="46"/>
      <c r="G231" s="46"/>
      <c r="H231" s="46"/>
      <c r="I231" s="46"/>
      <c r="J231" s="46"/>
      <c r="K231" s="46"/>
      <c r="L231" s="46"/>
      <c r="M231" s="46"/>
      <c r="N231" s="46"/>
      <c r="O231" s="46"/>
      <c r="P231" s="46"/>
      <c r="Q231" s="46"/>
      <c r="R231" s="46"/>
    </row>
    <row r="232">
      <c r="A232" s="46"/>
      <c r="B232" s="46"/>
      <c r="C232" s="46"/>
      <c r="D232" s="46"/>
      <c r="E232" s="46"/>
      <c r="F232" s="46"/>
      <c r="G232" s="46"/>
      <c r="H232" s="46"/>
      <c r="I232" s="46"/>
      <c r="J232" s="46"/>
      <c r="K232" s="46"/>
      <c r="L232" s="46"/>
      <c r="M232" s="46"/>
      <c r="N232" s="46"/>
      <c r="O232" s="46"/>
      <c r="P232" s="46"/>
      <c r="Q232" s="46"/>
      <c r="R232" s="46"/>
    </row>
    <row r="233">
      <c r="A233" s="46"/>
      <c r="B233" s="46"/>
      <c r="C233" s="46"/>
      <c r="D233" s="46"/>
      <c r="E233" s="46"/>
      <c r="F233" s="46"/>
      <c r="G233" s="46"/>
      <c r="H233" s="46"/>
      <c r="I233" s="46"/>
      <c r="J233" s="46"/>
      <c r="K233" s="46"/>
      <c r="L233" s="46"/>
      <c r="M233" s="46"/>
      <c r="N233" s="46"/>
      <c r="O233" s="46"/>
      <c r="P233" s="46"/>
      <c r="Q233" s="46"/>
      <c r="R233" s="46"/>
    </row>
    <row r="234">
      <c r="A234" s="46"/>
      <c r="B234" s="46"/>
      <c r="C234" s="46"/>
      <c r="D234" s="46"/>
      <c r="E234" s="46"/>
      <c r="F234" s="46"/>
      <c r="G234" s="46"/>
      <c r="H234" s="46"/>
      <c r="I234" s="46"/>
      <c r="J234" s="46"/>
      <c r="K234" s="46"/>
      <c r="L234" s="46"/>
      <c r="M234" s="46"/>
      <c r="N234" s="46"/>
      <c r="O234" s="46"/>
      <c r="P234" s="46"/>
      <c r="Q234" s="46"/>
      <c r="R234" s="46"/>
    </row>
    <row r="235">
      <c r="A235" s="46"/>
      <c r="B235" s="46"/>
      <c r="C235" s="46"/>
      <c r="D235" s="46"/>
      <c r="E235" s="46"/>
      <c r="F235" s="46"/>
      <c r="G235" s="46"/>
      <c r="H235" s="46"/>
      <c r="I235" s="46"/>
      <c r="J235" s="46"/>
      <c r="K235" s="46"/>
      <c r="L235" s="46"/>
      <c r="M235" s="46"/>
      <c r="N235" s="46"/>
      <c r="O235" s="46"/>
      <c r="P235" s="46"/>
      <c r="Q235" s="46"/>
      <c r="R235" s="46"/>
    </row>
    <row r="236">
      <c r="A236" s="46"/>
      <c r="B236" s="46"/>
      <c r="C236" s="46"/>
      <c r="D236" s="46"/>
      <c r="E236" s="46"/>
      <c r="F236" s="46"/>
      <c r="G236" s="46"/>
      <c r="H236" s="46"/>
      <c r="I236" s="46"/>
      <c r="J236" s="46"/>
      <c r="K236" s="46"/>
      <c r="L236" s="46"/>
      <c r="M236" s="46"/>
      <c r="N236" s="46"/>
      <c r="O236" s="46"/>
      <c r="P236" s="46"/>
      <c r="Q236" s="46"/>
      <c r="R236" s="46"/>
    </row>
    <row r="237">
      <c r="A237" s="46"/>
      <c r="B237" s="46"/>
      <c r="C237" s="46"/>
      <c r="D237" s="46"/>
      <c r="E237" s="46"/>
      <c r="F237" s="46"/>
      <c r="G237" s="46"/>
      <c r="H237" s="46"/>
      <c r="I237" s="46"/>
      <c r="J237" s="46"/>
      <c r="K237" s="46"/>
      <c r="L237" s="46"/>
      <c r="M237" s="46"/>
      <c r="N237" s="46"/>
      <c r="O237" s="46"/>
      <c r="P237" s="46"/>
      <c r="Q237" s="46"/>
      <c r="R237" s="46"/>
    </row>
    <row r="238">
      <c r="A238" s="46"/>
      <c r="B238" s="46"/>
      <c r="C238" s="46"/>
      <c r="D238" s="46"/>
      <c r="E238" s="46"/>
      <c r="F238" s="46"/>
      <c r="G238" s="46"/>
      <c r="H238" s="46"/>
      <c r="I238" s="46"/>
      <c r="J238" s="46"/>
      <c r="K238" s="46"/>
      <c r="L238" s="46"/>
      <c r="M238" s="46"/>
      <c r="N238" s="46"/>
      <c r="O238" s="46"/>
      <c r="P238" s="46"/>
      <c r="Q238" s="46"/>
      <c r="R238" s="46"/>
    </row>
    <row r="239">
      <c r="A239" s="46"/>
      <c r="B239" s="46"/>
      <c r="C239" s="46"/>
      <c r="D239" s="46"/>
      <c r="E239" s="46"/>
      <c r="F239" s="46"/>
      <c r="G239" s="46"/>
      <c r="H239" s="46"/>
      <c r="I239" s="46"/>
      <c r="J239" s="46"/>
      <c r="K239" s="46"/>
      <c r="L239" s="46"/>
      <c r="M239" s="46"/>
      <c r="N239" s="46"/>
      <c r="O239" s="46"/>
      <c r="P239" s="46"/>
      <c r="Q239" s="46"/>
      <c r="R239" s="46"/>
    </row>
    <row r="240">
      <c r="A240" s="46"/>
      <c r="B240" s="46"/>
      <c r="C240" s="46"/>
      <c r="D240" s="46"/>
      <c r="E240" s="46"/>
      <c r="F240" s="46"/>
      <c r="G240" s="46"/>
      <c r="H240" s="46"/>
      <c r="I240" s="46"/>
      <c r="J240" s="46"/>
      <c r="K240" s="46"/>
      <c r="L240" s="46"/>
      <c r="M240" s="46"/>
      <c r="N240" s="46"/>
      <c r="O240" s="46"/>
      <c r="P240" s="46"/>
      <c r="Q240" s="46"/>
      <c r="R240" s="46"/>
    </row>
    <row r="241">
      <c r="A241" s="46"/>
      <c r="B241" s="46"/>
      <c r="C241" s="46"/>
      <c r="D241" s="46"/>
      <c r="E241" s="46"/>
      <c r="F241" s="46"/>
      <c r="G241" s="46"/>
      <c r="H241" s="46"/>
      <c r="I241" s="46"/>
      <c r="J241" s="46"/>
      <c r="K241" s="46"/>
      <c r="L241" s="46"/>
      <c r="M241" s="46"/>
      <c r="N241" s="46"/>
      <c r="O241" s="46"/>
      <c r="P241" s="46"/>
      <c r="Q241" s="46"/>
      <c r="R241" s="46"/>
    </row>
    <row r="242">
      <c r="A242" s="46"/>
      <c r="B242" s="46"/>
      <c r="C242" s="46"/>
      <c r="D242" s="46"/>
      <c r="E242" s="46"/>
      <c r="F242" s="46"/>
      <c r="G242" s="46"/>
      <c r="H242" s="46"/>
      <c r="I242" s="46"/>
      <c r="J242" s="46"/>
      <c r="K242" s="46"/>
      <c r="L242" s="46"/>
      <c r="M242" s="46"/>
      <c r="N242" s="46"/>
      <c r="O242" s="46"/>
      <c r="P242" s="46"/>
      <c r="Q242" s="46"/>
      <c r="R242" s="46"/>
    </row>
    <row r="243">
      <c r="A243" s="46"/>
      <c r="B243" s="46"/>
      <c r="C243" s="46"/>
      <c r="D243" s="46"/>
      <c r="E243" s="46"/>
      <c r="F243" s="46"/>
      <c r="G243" s="46"/>
      <c r="H243" s="46"/>
      <c r="I243" s="46"/>
      <c r="J243" s="46"/>
      <c r="K243" s="46"/>
      <c r="L243" s="46"/>
      <c r="M243" s="46"/>
      <c r="N243" s="46"/>
      <c r="O243" s="46"/>
      <c r="P243" s="46"/>
      <c r="Q243" s="46"/>
      <c r="R243" s="46"/>
    </row>
    <row r="244">
      <c r="A244" s="46"/>
      <c r="B244" s="46"/>
      <c r="C244" s="46"/>
      <c r="D244" s="46"/>
      <c r="E244" s="46"/>
      <c r="F244" s="46"/>
      <c r="G244" s="46"/>
      <c r="H244" s="46"/>
      <c r="I244" s="46"/>
      <c r="J244" s="46"/>
      <c r="K244" s="46"/>
      <c r="L244" s="46"/>
      <c r="M244" s="46"/>
      <c r="N244" s="46"/>
      <c r="O244" s="46"/>
      <c r="P244" s="46"/>
      <c r="Q244" s="46"/>
      <c r="R244" s="46"/>
    </row>
    <row r="245">
      <c r="A245" s="46"/>
      <c r="B245" s="46"/>
      <c r="C245" s="46"/>
      <c r="D245" s="46"/>
      <c r="E245" s="46"/>
      <c r="F245" s="46"/>
      <c r="G245" s="46"/>
      <c r="H245" s="46"/>
      <c r="I245" s="46"/>
      <c r="J245" s="46"/>
      <c r="K245" s="46"/>
      <c r="L245" s="46"/>
      <c r="M245" s="46"/>
      <c r="N245" s="46"/>
      <c r="O245" s="46"/>
      <c r="P245" s="46"/>
      <c r="Q245" s="46"/>
      <c r="R245" s="46"/>
    </row>
    <row r="246">
      <c r="A246" s="46"/>
      <c r="B246" s="46"/>
      <c r="C246" s="46"/>
      <c r="D246" s="46"/>
      <c r="E246" s="46"/>
      <c r="F246" s="46"/>
      <c r="G246" s="46"/>
      <c r="H246" s="46"/>
      <c r="I246" s="46"/>
      <c r="J246" s="46"/>
      <c r="K246" s="46"/>
      <c r="L246" s="46"/>
      <c r="M246" s="46"/>
      <c r="N246" s="46"/>
      <c r="O246" s="46"/>
      <c r="P246" s="46"/>
      <c r="Q246" s="46"/>
      <c r="R246" s="46"/>
    </row>
    <row r="247">
      <c r="A247" s="46"/>
      <c r="B247" s="46"/>
      <c r="C247" s="46"/>
      <c r="D247" s="46"/>
      <c r="E247" s="46"/>
      <c r="F247" s="46"/>
      <c r="G247" s="46"/>
      <c r="H247" s="46"/>
      <c r="I247" s="46"/>
      <c r="J247" s="46"/>
      <c r="K247" s="46"/>
      <c r="L247" s="46"/>
      <c r="M247" s="46"/>
      <c r="N247" s="46"/>
      <c r="O247" s="46"/>
      <c r="P247" s="46"/>
      <c r="Q247" s="46"/>
      <c r="R247" s="46"/>
    </row>
    <row r="248">
      <c r="A248" s="46"/>
      <c r="B248" s="46"/>
      <c r="C248" s="46"/>
      <c r="D248" s="46"/>
      <c r="E248" s="46"/>
      <c r="F248" s="46"/>
      <c r="G248" s="46"/>
      <c r="H248" s="46"/>
      <c r="I248" s="46"/>
      <c r="J248" s="46"/>
      <c r="K248" s="46"/>
      <c r="L248" s="46"/>
      <c r="M248" s="46"/>
      <c r="N248" s="46"/>
      <c r="O248" s="46"/>
      <c r="P248" s="46"/>
      <c r="Q248" s="46"/>
      <c r="R248" s="46"/>
    </row>
    <row r="249">
      <c r="A249" s="46"/>
      <c r="B249" s="46"/>
      <c r="C249" s="46"/>
      <c r="D249" s="46"/>
      <c r="E249" s="46"/>
      <c r="F249" s="46"/>
      <c r="G249" s="46"/>
      <c r="H249" s="46"/>
      <c r="I249" s="46"/>
      <c r="J249" s="46"/>
      <c r="K249" s="46"/>
      <c r="L249" s="46"/>
      <c r="M249" s="46"/>
      <c r="N249" s="46"/>
      <c r="O249" s="46"/>
      <c r="P249" s="46"/>
      <c r="Q249" s="46"/>
      <c r="R249" s="46"/>
    </row>
    <row r="250">
      <c r="A250" s="46"/>
      <c r="B250" s="46"/>
      <c r="C250" s="46"/>
      <c r="D250" s="46"/>
      <c r="E250" s="46"/>
      <c r="F250" s="46"/>
      <c r="G250" s="46"/>
      <c r="H250" s="46"/>
      <c r="I250" s="46"/>
      <c r="J250" s="46"/>
      <c r="K250" s="46"/>
      <c r="L250" s="46"/>
      <c r="M250" s="46"/>
      <c r="N250" s="46"/>
      <c r="O250" s="46"/>
      <c r="P250" s="46"/>
      <c r="Q250" s="46"/>
      <c r="R250" s="46"/>
    </row>
    <row r="251">
      <c r="A251" s="46"/>
      <c r="B251" s="46"/>
      <c r="C251" s="46"/>
      <c r="D251" s="46"/>
      <c r="E251" s="46"/>
      <c r="F251" s="46"/>
      <c r="G251" s="46"/>
      <c r="H251" s="46"/>
      <c r="I251" s="46"/>
      <c r="J251" s="46"/>
      <c r="K251" s="46"/>
      <c r="L251" s="46"/>
      <c r="M251" s="46"/>
      <c r="N251" s="46"/>
      <c r="O251" s="46"/>
      <c r="P251" s="46"/>
      <c r="Q251" s="46"/>
      <c r="R251" s="46"/>
    </row>
    <row r="252">
      <c r="A252" s="46"/>
      <c r="B252" s="46"/>
      <c r="C252" s="46"/>
      <c r="D252" s="46"/>
      <c r="E252" s="46"/>
      <c r="F252" s="46"/>
      <c r="G252" s="46"/>
      <c r="H252" s="46"/>
      <c r="I252" s="46"/>
      <c r="J252" s="46"/>
      <c r="K252" s="46"/>
      <c r="L252" s="46"/>
      <c r="M252" s="46"/>
      <c r="N252" s="46"/>
      <c r="O252" s="46"/>
      <c r="P252" s="46"/>
      <c r="Q252" s="46"/>
      <c r="R252" s="46"/>
    </row>
    <row r="253">
      <c r="A253" s="46"/>
      <c r="B253" s="46"/>
      <c r="C253" s="46"/>
      <c r="D253" s="46"/>
      <c r="E253" s="46"/>
      <c r="F253" s="46"/>
      <c r="G253" s="46"/>
      <c r="H253" s="46"/>
      <c r="I253" s="46"/>
      <c r="J253" s="46"/>
      <c r="K253" s="46"/>
      <c r="L253" s="46"/>
      <c r="M253" s="46"/>
      <c r="N253" s="46"/>
      <c r="O253" s="46"/>
      <c r="P253" s="46"/>
      <c r="Q253" s="46"/>
      <c r="R253" s="46"/>
    </row>
    <row r="254">
      <c r="A254" s="46"/>
      <c r="B254" s="46"/>
      <c r="C254" s="46"/>
      <c r="D254" s="46"/>
      <c r="E254" s="46"/>
      <c r="F254" s="46"/>
      <c r="G254" s="46"/>
      <c r="H254" s="46"/>
      <c r="I254" s="46"/>
      <c r="J254" s="46"/>
      <c r="K254" s="46"/>
      <c r="L254" s="46"/>
      <c r="M254" s="46"/>
      <c r="N254" s="46"/>
      <c r="O254" s="46"/>
      <c r="P254" s="46"/>
      <c r="Q254" s="46"/>
      <c r="R254" s="46"/>
    </row>
    <row r="255">
      <c r="A255" s="46"/>
      <c r="B255" s="46"/>
      <c r="C255" s="46"/>
      <c r="D255" s="46"/>
      <c r="E255" s="46"/>
      <c r="F255" s="46"/>
      <c r="G255" s="46"/>
      <c r="H255" s="46"/>
      <c r="I255" s="46"/>
      <c r="J255" s="46"/>
      <c r="K255" s="46"/>
      <c r="L255" s="46"/>
      <c r="M255" s="46"/>
      <c r="N255" s="46"/>
      <c r="O255" s="46"/>
      <c r="P255" s="46"/>
      <c r="Q255" s="46"/>
      <c r="R255" s="46"/>
    </row>
    <row r="256">
      <c r="A256" s="46"/>
      <c r="B256" s="46"/>
      <c r="C256" s="46"/>
      <c r="D256" s="46"/>
      <c r="E256" s="46"/>
      <c r="F256" s="46"/>
      <c r="G256" s="46"/>
      <c r="H256" s="46"/>
      <c r="I256" s="46"/>
      <c r="J256" s="46"/>
      <c r="K256" s="46"/>
      <c r="L256" s="46"/>
      <c r="M256" s="46"/>
      <c r="N256" s="46"/>
      <c r="O256" s="46"/>
      <c r="P256" s="46"/>
      <c r="Q256" s="46"/>
      <c r="R256" s="46"/>
    </row>
    <row r="257">
      <c r="A257" s="46"/>
      <c r="B257" s="46"/>
      <c r="C257" s="46"/>
      <c r="D257" s="46"/>
      <c r="E257" s="46"/>
      <c r="F257" s="46"/>
      <c r="G257" s="46"/>
      <c r="H257" s="46"/>
      <c r="I257" s="46"/>
      <c r="J257" s="46"/>
      <c r="K257" s="46"/>
      <c r="L257" s="46"/>
      <c r="M257" s="46"/>
      <c r="N257" s="46"/>
      <c r="O257" s="46"/>
      <c r="P257" s="46"/>
      <c r="Q257" s="46"/>
      <c r="R257" s="46"/>
    </row>
    <row r="258">
      <c r="A258" s="46"/>
      <c r="B258" s="46"/>
      <c r="C258" s="46"/>
      <c r="D258" s="46"/>
      <c r="E258" s="46"/>
      <c r="F258" s="46"/>
      <c r="G258" s="46"/>
      <c r="H258" s="46"/>
      <c r="I258" s="46"/>
      <c r="J258" s="46"/>
      <c r="K258" s="46"/>
      <c r="L258" s="46"/>
      <c r="M258" s="46"/>
      <c r="N258" s="46"/>
      <c r="O258" s="46"/>
      <c r="P258" s="46"/>
      <c r="Q258" s="46"/>
      <c r="R258" s="46"/>
    </row>
    <row r="259">
      <c r="A259" s="46"/>
      <c r="B259" s="46"/>
      <c r="C259" s="46"/>
      <c r="D259" s="46"/>
      <c r="E259" s="46"/>
      <c r="F259" s="46"/>
      <c r="G259" s="46"/>
      <c r="H259" s="46"/>
      <c r="I259" s="46"/>
      <c r="J259" s="46"/>
      <c r="K259" s="46"/>
      <c r="L259" s="46"/>
      <c r="M259" s="46"/>
      <c r="N259" s="46"/>
      <c r="O259" s="46"/>
      <c r="P259" s="46"/>
      <c r="Q259" s="46"/>
      <c r="R259" s="46"/>
    </row>
    <row r="260">
      <c r="A260" s="46"/>
      <c r="B260" s="46"/>
      <c r="C260" s="46"/>
      <c r="D260" s="46"/>
      <c r="E260" s="46"/>
      <c r="F260" s="46"/>
      <c r="G260" s="46"/>
      <c r="H260" s="46"/>
      <c r="I260" s="46"/>
      <c r="J260" s="46"/>
      <c r="K260" s="46"/>
      <c r="L260" s="46"/>
      <c r="M260" s="46"/>
      <c r="N260" s="46"/>
      <c r="O260" s="46"/>
      <c r="P260" s="46"/>
      <c r="Q260" s="46"/>
      <c r="R260" s="46"/>
    </row>
    <row r="261">
      <c r="A261" s="46"/>
      <c r="B261" s="46"/>
      <c r="C261" s="46"/>
      <c r="D261" s="46"/>
      <c r="E261" s="46"/>
      <c r="F261" s="46"/>
      <c r="G261" s="46"/>
      <c r="H261" s="46"/>
      <c r="I261" s="46"/>
      <c r="J261" s="46"/>
      <c r="K261" s="46"/>
      <c r="L261" s="46"/>
      <c r="M261" s="46"/>
      <c r="N261" s="46"/>
      <c r="O261" s="46"/>
      <c r="P261" s="46"/>
      <c r="Q261" s="46"/>
      <c r="R261" s="46"/>
    </row>
    <row r="262">
      <c r="A262" s="46"/>
      <c r="B262" s="46"/>
      <c r="C262" s="46"/>
      <c r="D262" s="46"/>
      <c r="E262" s="46"/>
      <c r="F262" s="46"/>
      <c r="G262" s="46"/>
      <c r="H262" s="46"/>
      <c r="I262" s="46"/>
      <c r="J262" s="46"/>
      <c r="K262" s="46"/>
      <c r="L262" s="46"/>
      <c r="M262" s="46"/>
      <c r="N262" s="46"/>
      <c r="O262" s="46"/>
      <c r="P262" s="46"/>
      <c r="Q262" s="46"/>
      <c r="R262" s="46"/>
    </row>
    <row r="263">
      <c r="A263" s="46"/>
      <c r="B263" s="46"/>
      <c r="C263" s="46"/>
      <c r="D263" s="46"/>
      <c r="E263" s="46"/>
      <c r="F263" s="46"/>
      <c r="G263" s="46"/>
      <c r="H263" s="46"/>
      <c r="I263" s="46"/>
      <c r="J263" s="46"/>
      <c r="K263" s="46"/>
      <c r="L263" s="46"/>
      <c r="M263" s="46"/>
      <c r="N263" s="46"/>
      <c r="O263" s="46"/>
      <c r="P263" s="46"/>
      <c r="Q263" s="46"/>
      <c r="R263" s="46"/>
    </row>
    <row r="264">
      <c r="A264" s="46"/>
      <c r="B264" s="46"/>
      <c r="C264" s="46"/>
      <c r="D264" s="46"/>
      <c r="E264" s="46"/>
      <c r="F264" s="46"/>
      <c r="G264" s="46"/>
      <c r="H264" s="46"/>
      <c r="I264" s="46"/>
      <c r="J264" s="46"/>
      <c r="K264" s="46"/>
      <c r="L264" s="46"/>
      <c r="M264" s="46"/>
      <c r="N264" s="46"/>
      <c r="O264" s="46"/>
      <c r="P264" s="46"/>
      <c r="Q264" s="46"/>
      <c r="R264" s="46"/>
    </row>
    <row r="265">
      <c r="A265" s="46"/>
      <c r="B265" s="46"/>
      <c r="C265" s="46"/>
      <c r="D265" s="46"/>
      <c r="E265" s="46"/>
      <c r="F265" s="46"/>
      <c r="G265" s="46"/>
      <c r="H265" s="46"/>
      <c r="I265" s="46"/>
      <c r="J265" s="46"/>
      <c r="K265" s="46"/>
      <c r="L265" s="46"/>
      <c r="M265" s="46"/>
      <c r="N265" s="46"/>
      <c r="O265" s="46"/>
      <c r="P265" s="46"/>
      <c r="Q265" s="46"/>
      <c r="R265" s="46"/>
    </row>
    <row r="266">
      <c r="A266" s="46"/>
      <c r="B266" s="46"/>
      <c r="C266" s="46"/>
      <c r="D266" s="46"/>
      <c r="E266" s="46"/>
      <c r="F266" s="46"/>
      <c r="G266" s="46"/>
      <c r="H266" s="46"/>
      <c r="I266" s="46"/>
      <c r="J266" s="46"/>
      <c r="K266" s="46"/>
      <c r="L266" s="46"/>
      <c r="M266" s="46"/>
      <c r="N266" s="46"/>
      <c r="O266" s="46"/>
      <c r="P266" s="46"/>
      <c r="Q266" s="46"/>
      <c r="R266" s="46"/>
    </row>
    <row r="267">
      <c r="A267" s="46"/>
      <c r="B267" s="46"/>
      <c r="C267" s="46"/>
      <c r="D267" s="46"/>
      <c r="E267" s="46"/>
      <c r="F267" s="46"/>
      <c r="G267" s="46"/>
      <c r="H267" s="46"/>
      <c r="I267" s="46"/>
      <c r="J267" s="46"/>
      <c r="K267" s="46"/>
      <c r="L267" s="46"/>
      <c r="M267" s="46"/>
      <c r="N267" s="46"/>
      <c r="O267" s="46"/>
      <c r="P267" s="46"/>
      <c r="Q267" s="46"/>
      <c r="R267" s="46"/>
    </row>
    <row r="268">
      <c r="A268" s="46"/>
      <c r="B268" s="46"/>
      <c r="C268" s="46"/>
      <c r="D268" s="46"/>
      <c r="E268" s="46"/>
      <c r="F268" s="46"/>
      <c r="G268" s="46"/>
      <c r="H268" s="46"/>
      <c r="I268" s="46"/>
      <c r="J268" s="46"/>
      <c r="K268" s="46"/>
      <c r="L268" s="46"/>
      <c r="M268" s="46"/>
      <c r="N268" s="46"/>
      <c r="O268" s="46"/>
      <c r="P268" s="46"/>
      <c r="Q268" s="46"/>
      <c r="R268" s="46"/>
    </row>
    <row r="269">
      <c r="A269" s="46"/>
      <c r="B269" s="46"/>
      <c r="C269" s="46"/>
      <c r="D269" s="46"/>
      <c r="E269" s="46"/>
      <c r="F269" s="46"/>
      <c r="G269" s="46"/>
      <c r="H269" s="46"/>
      <c r="I269" s="46"/>
      <c r="J269" s="46"/>
      <c r="K269" s="46"/>
      <c r="L269" s="46"/>
      <c r="M269" s="46"/>
      <c r="N269" s="46"/>
      <c r="O269" s="46"/>
      <c r="P269" s="46"/>
      <c r="Q269" s="46"/>
      <c r="R269" s="46"/>
    </row>
    <row r="270">
      <c r="A270" s="46"/>
      <c r="B270" s="46"/>
      <c r="C270" s="46"/>
      <c r="D270" s="46"/>
      <c r="E270" s="46"/>
      <c r="F270" s="46"/>
      <c r="G270" s="46"/>
      <c r="H270" s="46"/>
      <c r="I270" s="46"/>
      <c r="J270" s="46"/>
      <c r="K270" s="46"/>
      <c r="L270" s="46"/>
      <c r="M270" s="46"/>
      <c r="N270" s="46"/>
      <c r="O270" s="46"/>
      <c r="P270" s="46"/>
      <c r="Q270" s="46"/>
      <c r="R270" s="46"/>
    </row>
    <row r="271">
      <c r="A271" s="46"/>
      <c r="B271" s="46"/>
      <c r="C271" s="46"/>
      <c r="D271" s="46"/>
      <c r="E271" s="46"/>
      <c r="F271" s="46"/>
      <c r="G271" s="46"/>
      <c r="H271" s="46"/>
      <c r="I271" s="46"/>
      <c r="J271" s="46"/>
      <c r="K271" s="46"/>
      <c r="L271" s="46"/>
      <c r="M271" s="46"/>
      <c r="N271" s="46"/>
      <c r="O271" s="46"/>
      <c r="P271" s="46"/>
      <c r="Q271" s="46"/>
      <c r="R271" s="46"/>
    </row>
    <row r="272">
      <c r="A272" s="46"/>
      <c r="B272" s="46"/>
      <c r="C272" s="46"/>
      <c r="D272" s="46"/>
      <c r="E272" s="46"/>
      <c r="F272" s="46"/>
      <c r="G272" s="46"/>
      <c r="H272" s="46"/>
      <c r="I272" s="46"/>
      <c r="J272" s="46"/>
      <c r="K272" s="46"/>
      <c r="L272" s="46"/>
      <c r="M272" s="46"/>
      <c r="N272" s="46"/>
      <c r="O272" s="46"/>
      <c r="P272" s="46"/>
      <c r="Q272" s="46"/>
      <c r="R272" s="46"/>
    </row>
    <row r="273">
      <c r="A273" s="46"/>
      <c r="B273" s="46"/>
      <c r="C273" s="46"/>
      <c r="D273" s="46"/>
      <c r="E273" s="46"/>
      <c r="F273" s="46"/>
      <c r="G273" s="46"/>
      <c r="H273" s="46"/>
      <c r="I273" s="46"/>
      <c r="J273" s="46"/>
      <c r="K273" s="46"/>
      <c r="L273" s="46"/>
      <c r="M273" s="46"/>
      <c r="N273" s="46"/>
      <c r="O273" s="46"/>
      <c r="P273" s="46"/>
      <c r="Q273" s="46"/>
      <c r="R273" s="46"/>
    </row>
    <row r="274">
      <c r="A274" s="46"/>
      <c r="B274" s="46"/>
      <c r="C274" s="46"/>
      <c r="D274" s="46"/>
      <c r="E274" s="46"/>
      <c r="F274" s="46"/>
      <c r="G274" s="46"/>
      <c r="H274" s="46"/>
      <c r="I274" s="46"/>
      <c r="J274" s="46"/>
      <c r="K274" s="46"/>
      <c r="L274" s="46"/>
      <c r="M274" s="46"/>
      <c r="N274" s="46"/>
      <c r="O274" s="46"/>
      <c r="P274" s="46"/>
      <c r="Q274" s="46"/>
      <c r="R274" s="46"/>
    </row>
    <row r="275">
      <c r="A275" s="46"/>
      <c r="B275" s="46"/>
      <c r="C275" s="46"/>
      <c r="D275" s="46"/>
      <c r="E275" s="46"/>
      <c r="F275" s="46"/>
      <c r="G275" s="46"/>
      <c r="H275" s="46"/>
      <c r="I275" s="46"/>
      <c r="J275" s="46"/>
      <c r="K275" s="46"/>
      <c r="L275" s="46"/>
      <c r="M275" s="46"/>
      <c r="N275" s="46"/>
      <c r="O275" s="46"/>
      <c r="P275" s="46"/>
      <c r="Q275" s="46"/>
      <c r="R275" s="46"/>
    </row>
    <row r="276">
      <c r="A276" s="46"/>
      <c r="B276" s="46"/>
      <c r="C276" s="46"/>
      <c r="D276" s="46"/>
      <c r="E276" s="46"/>
      <c r="F276" s="46"/>
      <c r="G276" s="46"/>
      <c r="H276" s="46"/>
      <c r="I276" s="46"/>
      <c r="J276" s="46"/>
      <c r="K276" s="46"/>
      <c r="L276" s="46"/>
      <c r="M276" s="46"/>
      <c r="N276" s="46"/>
      <c r="O276" s="46"/>
      <c r="P276" s="46"/>
      <c r="Q276" s="46"/>
      <c r="R276" s="46"/>
    </row>
    <row r="277">
      <c r="A277" s="46"/>
      <c r="B277" s="46"/>
      <c r="C277" s="46"/>
      <c r="D277" s="46"/>
      <c r="E277" s="46"/>
      <c r="F277" s="46"/>
      <c r="G277" s="46"/>
      <c r="H277" s="46"/>
      <c r="I277" s="46"/>
      <c r="J277" s="46"/>
      <c r="K277" s="46"/>
      <c r="L277" s="46"/>
      <c r="M277" s="46"/>
      <c r="N277" s="46"/>
      <c r="O277" s="46"/>
      <c r="P277" s="46"/>
      <c r="Q277" s="46"/>
      <c r="R277" s="46"/>
    </row>
    <row r="278">
      <c r="A278" s="46"/>
      <c r="B278" s="46"/>
      <c r="C278" s="46"/>
      <c r="D278" s="46"/>
      <c r="E278" s="46"/>
      <c r="F278" s="46"/>
      <c r="G278" s="46"/>
      <c r="H278" s="46"/>
      <c r="I278" s="46"/>
      <c r="J278" s="46"/>
      <c r="K278" s="46"/>
      <c r="L278" s="46"/>
      <c r="M278" s="46"/>
      <c r="N278" s="46"/>
      <c r="O278" s="46"/>
      <c r="P278" s="46"/>
      <c r="Q278" s="46"/>
      <c r="R278" s="46"/>
    </row>
    <row r="279">
      <c r="A279" s="46"/>
      <c r="B279" s="46"/>
      <c r="C279" s="46"/>
      <c r="D279" s="46"/>
      <c r="E279" s="46"/>
      <c r="F279" s="46"/>
      <c r="G279" s="46"/>
      <c r="H279" s="46"/>
      <c r="I279" s="46"/>
      <c r="J279" s="46"/>
      <c r="K279" s="46"/>
      <c r="L279" s="46"/>
      <c r="M279" s="46"/>
      <c r="N279" s="46"/>
      <c r="O279" s="46"/>
      <c r="P279" s="46"/>
      <c r="Q279" s="46"/>
      <c r="R279" s="46"/>
    </row>
    <row r="280">
      <c r="A280" s="46"/>
      <c r="B280" s="46"/>
      <c r="C280" s="46"/>
      <c r="D280" s="46"/>
      <c r="E280" s="46"/>
      <c r="F280" s="46"/>
      <c r="G280" s="46"/>
      <c r="H280" s="46"/>
      <c r="I280" s="46"/>
      <c r="J280" s="46"/>
      <c r="K280" s="46"/>
      <c r="L280" s="46"/>
      <c r="M280" s="46"/>
      <c r="N280" s="46"/>
      <c r="O280" s="46"/>
      <c r="P280" s="46"/>
      <c r="Q280" s="46"/>
      <c r="R280" s="46"/>
    </row>
    <row r="281">
      <c r="A281" s="46"/>
      <c r="B281" s="46"/>
      <c r="C281" s="46"/>
      <c r="D281" s="46"/>
      <c r="E281" s="46"/>
      <c r="F281" s="46"/>
      <c r="G281" s="46"/>
      <c r="H281" s="46"/>
      <c r="I281" s="46"/>
      <c r="J281" s="46"/>
      <c r="K281" s="46"/>
      <c r="L281" s="46"/>
      <c r="M281" s="46"/>
      <c r="N281" s="46"/>
      <c r="O281" s="46"/>
      <c r="P281" s="46"/>
      <c r="Q281" s="46"/>
      <c r="R281" s="46"/>
    </row>
    <row r="282">
      <c r="A282" s="46"/>
      <c r="B282" s="46"/>
      <c r="C282" s="46"/>
      <c r="D282" s="46"/>
      <c r="E282" s="46"/>
      <c r="F282" s="46"/>
      <c r="G282" s="46"/>
      <c r="H282" s="46"/>
      <c r="I282" s="46"/>
      <c r="J282" s="46"/>
      <c r="K282" s="46"/>
      <c r="L282" s="46"/>
      <c r="M282" s="46"/>
      <c r="N282" s="46"/>
      <c r="O282" s="46"/>
      <c r="P282" s="46"/>
      <c r="Q282" s="46"/>
      <c r="R282" s="46"/>
    </row>
    <row r="283">
      <c r="A283" s="46"/>
      <c r="B283" s="46"/>
      <c r="C283" s="46"/>
      <c r="D283" s="46"/>
      <c r="E283" s="46"/>
      <c r="F283" s="46"/>
      <c r="G283" s="46"/>
      <c r="H283" s="46"/>
      <c r="I283" s="46"/>
      <c r="J283" s="46"/>
      <c r="K283" s="46"/>
      <c r="L283" s="46"/>
      <c r="M283" s="46"/>
      <c r="N283" s="46"/>
      <c r="O283" s="46"/>
      <c r="P283" s="46"/>
      <c r="Q283" s="46"/>
      <c r="R283" s="46"/>
    </row>
    <row r="284">
      <c r="A284" s="46"/>
      <c r="B284" s="46"/>
      <c r="C284" s="46"/>
      <c r="D284" s="46"/>
      <c r="E284" s="46"/>
      <c r="F284" s="46"/>
      <c r="G284" s="46"/>
      <c r="H284" s="46"/>
      <c r="I284" s="46"/>
      <c r="J284" s="46"/>
      <c r="K284" s="46"/>
      <c r="L284" s="46"/>
      <c r="M284" s="46"/>
      <c r="N284" s="46"/>
      <c r="O284" s="46"/>
      <c r="P284" s="46"/>
      <c r="Q284" s="46"/>
      <c r="R284" s="46"/>
    </row>
    <row r="285">
      <c r="A285" s="46"/>
      <c r="B285" s="46"/>
      <c r="C285" s="46"/>
      <c r="D285" s="46"/>
      <c r="E285" s="46"/>
      <c r="F285" s="46"/>
      <c r="G285" s="46"/>
      <c r="H285" s="46"/>
      <c r="I285" s="46"/>
      <c r="J285" s="46"/>
      <c r="K285" s="46"/>
      <c r="L285" s="46"/>
      <c r="M285" s="46"/>
      <c r="N285" s="46"/>
      <c r="O285" s="46"/>
      <c r="P285" s="46"/>
      <c r="Q285" s="46"/>
      <c r="R285" s="46"/>
    </row>
    <row r="286">
      <c r="A286" s="46"/>
      <c r="B286" s="46"/>
      <c r="C286" s="46"/>
      <c r="D286" s="46"/>
      <c r="E286" s="46"/>
      <c r="F286" s="46"/>
      <c r="G286" s="46"/>
      <c r="H286" s="46"/>
      <c r="I286" s="46"/>
      <c r="J286" s="46"/>
      <c r="K286" s="46"/>
      <c r="L286" s="46"/>
      <c r="M286" s="46"/>
      <c r="N286" s="46"/>
      <c r="O286" s="46"/>
      <c r="P286" s="46"/>
      <c r="Q286" s="46"/>
      <c r="R286" s="46"/>
    </row>
    <row r="287">
      <c r="A287" s="46"/>
      <c r="B287" s="46"/>
      <c r="C287" s="46"/>
      <c r="D287" s="46"/>
      <c r="E287" s="46"/>
      <c r="F287" s="46"/>
      <c r="G287" s="46"/>
      <c r="H287" s="46"/>
      <c r="I287" s="46"/>
      <c r="J287" s="46"/>
      <c r="K287" s="46"/>
      <c r="L287" s="46"/>
      <c r="M287" s="46"/>
      <c r="N287" s="46"/>
      <c r="O287" s="46"/>
      <c r="P287" s="46"/>
      <c r="Q287" s="46"/>
      <c r="R287" s="46"/>
    </row>
    <row r="288">
      <c r="A288" s="46"/>
      <c r="B288" s="46"/>
      <c r="C288" s="46"/>
      <c r="D288" s="46"/>
      <c r="E288" s="46"/>
      <c r="F288" s="46"/>
      <c r="G288" s="46"/>
      <c r="H288" s="46"/>
      <c r="I288" s="46"/>
      <c r="J288" s="46"/>
      <c r="K288" s="46"/>
      <c r="L288" s="46"/>
      <c r="M288" s="46"/>
      <c r="N288" s="46"/>
      <c r="O288" s="46"/>
      <c r="P288" s="46"/>
      <c r="Q288" s="46"/>
      <c r="R288" s="46"/>
    </row>
    <row r="289">
      <c r="A289" s="46"/>
      <c r="B289" s="46"/>
      <c r="C289" s="46"/>
      <c r="D289" s="46"/>
      <c r="E289" s="46"/>
      <c r="F289" s="46"/>
      <c r="G289" s="46"/>
      <c r="H289" s="46"/>
      <c r="I289" s="46"/>
      <c r="J289" s="46"/>
      <c r="K289" s="46"/>
      <c r="L289" s="46"/>
      <c r="M289" s="46"/>
      <c r="N289" s="46"/>
      <c r="O289" s="46"/>
      <c r="P289" s="46"/>
      <c r="Q289" s="46"/>
      <c r="R289" s="46"/>
    </row>
    <row r="290">
      <c r="A290" s="46"/>
      <c r="B290" s="46"/>
      <c r="C290" s="46"/>
      <c r="D290" s="46"/>
      <c r="E290" s="46"/>
      <c r="F290" s="46"/>
      <c r="G290" s="46"/>
      <c r="H290" s="46"/>
      <c r="I290" s="46"/>
      <c r="J290" s="46"/>
      <c r="K290" s="46"/>
      <c r="L290" s="46"/>
      <c r="M290" s="46"/>
      <c r="N290" s="46"/>
      <c r="O290" s="46"/>
      <c r="P290" s="46"/>
      <c r="Q290" s="46"/>
      <c r="R290" s="46"/>
    </row>
    <row r="291">
      <c r="A291" s="46"/>
      <c r="B291" s="46"/>
      <c r="C291" s="46"/>
      <c r="D291" s="46"/>
      <c r="E291" s="46"/>
      <c r="F291" s="46"/>
      <c r="G291" s="46"/>
      <c r="H291" s="46"/>
      <c r="I291" s="46"/>
      <c r="J291" s="46"/>
      <c r="K291" s="46"/>
      <c r="L291" s="46"/>
      <c r="M291" s="46"/>
      <c r="N291" s="46"/>
      <c r="O291" s="46"/>
      <c r="P291" s="46"/>
      <c r="Q291" s="46"/>
      <c r="R291" s="46"/>
    </row>
    <row r="292">
      <c r="A292" s="46"/>
      <c r="B292" s="46"/>
      <c r="C292" s="46"/>
      <c r="D292" s="46"/>
      <c r="E292" s="46"/>
      <c r="F292" s="46"/>
      <c r="G292" s="46"/>
      <c r="H292" s="46"/>
      <c r="I292" s="46"/>
      <c r="J292" s="46"/>
      <c r="K292" s="46"/>
      <c r="L292" s="46"/>
      <c r="M292" s="46"/>
      <c r="N292" s="46"/>
      <c r="O292" s="46"/>
      <c r="P292" s="46"/>
      <c r="Q292" s="46"/>
      <c r="R292" s="46"/>
    </row>
    <row r="293">
      <c r="A293" s="46"/>
      <c r="B293" s="46"/>
      <c r="C293" s="46"/>
      <c r="D293" s="46"/>
      <c r="E293" s="46"/>
      <c r="F293" s="46"/>
      <c r="G293" s="46"/>
      <c r="H293" s="46"/>
      <c r="I293" s="46"/>
      <c r="J293" s="46"/>
      <c r="K293" s="46"/>
      <c r="L293" s="46"/>
      <c r="M293" s="46"/>
      <c r="N293" s="46"/>
      <c r="O293" s="46"/>
      <c r="P293" s="46"/>
      <c r="Q293" s="46"/>
      <c r="R293" s="46"/>
    </row>
    <row r="294">
      <c r="A294" s="46"/>
      <c r="B294" s="46"/>
      <c r="C294" s="46"/>
      <c r="D294" s="46"/>
      <c r="E294" s="46"/>
      <c r="F294" s="46"/>
      <c r="G294" s="46"/>
      <c r="H294" s="46"/>
      <c r="I294" s="46"/>
      <c r="J294" s="46"/>
      <c r="K294" s="46"/>
      <c r="L294" s="46"/>
      <c r="M294" s="46"/>
      <c r="N294" s="46"/>
      <c r="O294" s="46"/>
      <c r="P294" s="46"/>
      <c r="Q294" s="46"/>
      <c r="R294" s="46"/>
    </row>
    <row r="295">
      <c r="A295" s="46"/>
      <c r="B295" s="46"/>
      <c r="C295" s="46"/>
      <c r="D295" s="46"/>
      <c r="E295" s="46"/>
      <c r="F295" s="46"/>
      <c r="G295" s="46"/>
      <c r="H295" s="46"/>
      <c r="I295" s="46"/>
      <c r="J295" s="46"/>
      <c r="K295" s="46"/>
      <c r="L295" s="46"/>
      <c r="M295" s="46"/>
      <c r="N295" s="46"/>
      <c r="O295" s="46"/>
      <c r="P295" s="46"/>
      <c r="Q295" s="46"/>
      <c r="R295" s="46"/>
    </row>
    <row r="296">
      <c r="A296" s="46"/>
      <c r="B296" s="46"/>
      <c r="C296" s="46"/>
      <c r="D296" s="46"/>
      <c r="E296" s="46"/>
      <c r="F296" s="46"/>
      <c r="G296" s="46"/>
      <c r="H296" s="46"/>
      <c r="I296" s="46"/>
      <c r="J296" s="46"/>
      <c r="K296" s="46"/>
      <c r="L296" s="46"/>
      <c r="M296" s="46"/>
      <c r="N296" s="46"/>
      <c r="O296" s="46"/>
      <c r="P296" s="46"/>
      <c r="Q296" s="46"/>
      <c r="R296" s="46"/>
    </row>
    <row r="297">
      <c r="A297" s="46"/>
      <c r="B297" s="46"/>
      <c r="C297" s="46"/>
      <c r="D297" s="46"/>
      <c r="E297" s="46"/>
      <c r="F297" s="46"/>
      <c r="G297" s="46"/>
      <c r="H297" s="46"/>
      <c r="I297" s="46"/>
      <c r="J297" s="46"/>
      <c r="K297" s="46"/>
      <c r="L297" s="46"/>
      <c r="M297" s="46"/>
      <c r="N297" s="46"/>
      <c r="O297" s="46"/>
      <c r="P297" s="46"/>
      <c r="Q297" s="46"/>
      <c r="R297" s="46"/>
    </row>
    <row r="298">
      <c r="A298" s="46"/>
      <c r="B298" s="46"/>
      <c r="C298" s="46"/>
      <c r="D298" s="46"/>
      <c r="E298" s="46"/>
      <c r="F298" s="46"/>
      <c r="G298" s="46"/>
      <c r="H298" s="46"/>
      <c r="I298" s="46"/>
      <c r="J298" s="46"/>
      <c r="K298" s="46"/>
      <c r="L298" s="46"/>
      <c r="M298" s="46"/>
      <c r="N298" s="46"/>
      <c r="O298" s="46"/>
      <c r="P298" s="46"/>
      <c r="Q298" s="46"/>
      <c r="R298" s="46"/>
    </row>
    <row r="299">
      <c r="A299" s="46"/>
      <c r="B299" s="46"/>
      <c r="C299" s="46"/>
      <c r="D299" s="46"/>
      <c r="E299" s="46"/>
      <c r="F299" s="46"/>
      <c r="G299" s="46"/>
      <c r="H299" s="46"/>
      <c r="I299" s="46"/>
      <c r="J299" s="46"/>
      <c r="K299" s="46"/>
      <c r="L299" s="46"/>
      <c r="M299" s="46"/>
      <c r="N299" s="46"/>
      <c r="O299" s="46"/>
      <c r="P299" s="46"/>
      <c r="Q299" s="46"/>
      <c r="R299" s="46"/>
    </row>
    <row r="300">
      <c r="A300" s="46"/>
      <c r="B300" s="46"/>
      <c r="C300" s="46"/>
      <c r="D300" s="46"/>
      <c r="E300" s="46"/>
      <c r="F300" s="46"/>
      <c r="G300" s="46"/>
      <c r="H300" s="46"/>
      <c r="I300" s="46"/>
      <c r="J300" s="46"/>
      <c r="K300" s="46"/>
      <c r="L300" s="46"/>
      <c r="M300" s="46"/>
      <c r="N300" s="46"/>
      <c r="O300" s="46"/>
      <c r="P300" s="46"/>
      <c r="Q300" s="46"/>
      <c r="R300" s="46"/>
    </row>
    <row r="301">
      <c r="A301" s="46"/>
      <c r="B301" s="46"/>
      <c r="C301" s="46"/>
      <c r="D301" s="46"/>
      <c r="E301" s="46"/>
      <c r="F301" s="46"/>
      <c r="G301" s="46"/>
      <c r="H301" s="46"/>
      <c r="I301" s="46"/>
      <c r="J301" s="46"/>
      <c r="K301" s="46"/>
      <c r="L301" s="46"/>
      <c r="M301" s="46"/>
      <c r="N301" s="46"/>
      <c r="O301" s="46"/>
      <c r="P301" s="46"/>
      <c r="Q301" s="46"/>
      <c r="R301" s="46"/>
    </row>
    <row r="302">
      <c r="A302" s="46"/>
      <c r="B302" s="46"/>
      <c r="C302" s="46"/>
      <c r="D302" s="46"/>
      <c r="E302" s="46"/>
      <c r="F302" s="46"/>
      <c r="G302" s="46"/>
      <c r="H302" s="46"/>
      <c r="I302" s="46"/>
      <c r="J302" s="46"/>
      <c r="K302" s="46"/>
      <c r="L302" s="46"/>
      <c r="M302" s="46"/>
      <c r="N302" s="46"/>
      <c r="O302" s="46"/>
      <c r="P302" s="46"/>
      <c r="Q302" s="46"/>
      <c r="R302" s="46"/>
    </row>
    <row r="303">
      <c r="A303" s="46"/>
      <c r="B303" s="46"/>
      <c r="C303" s="46"/>
      <c r="D303" s="46"/>
      <c r="E303" s="46"/>
      <c r="F303" s="46"/>
      <c r="G303" s="46"/>
      <c r="H303" s="46"/>
      <c r="I303" s="46"/>
      <c r="J303" s="46"/>
      <c r="K303" s="46"/>
      <c r="L303" s="46"/>
      <c r="M303" s="46"/>
      <c r="N303" s="46"/>
      <c r="O303" s="46"/>
      <c r="P303" s="46"/>
      <c r="Q303" s="46"/>
      <c r="R303" s="46"/>
    </row>
    <row r="304">
      <c r="A304" s="46"/>
      <c r="B304" s="46"/>
      <c r="C304" s="46"/>
      <c r="D304" s="46"/>
      <c r="E304" s="46"/>
      <c r="F304" s="46"/>
      <c r="G304" s="46"/>
      <c r="H304" s="46"/>
      <c r="I304" s="46"/>
      <c r="J304" s="46"/>
      <c r="K304" s="46"/>
      <c r="L304" s="46"/>
      <c r="M304" s="46"/>
      <c r="N304" s="46"/>
      <c r="O304" s="46"/>
      <c r="P304" s="46"/>
      <c r="Q304" s="46"/>
      <c r="R304" s="46"/>
    </row>
    <row r="305">
      <c r="A305" s="46"/>
      <c r="B305" s="46"/>
      <c r="C305" s="46"/>
      <c r="D305" s="46"/>
      <c r="E305" s="46"/>
      <c r="F305" s="46"/>
      <c r="G305" s="46"/>
      <c r="H305" s="46"/>
      <c r="I305" s="46"/>
      <c r="J305" s="46"/>
      <c r="K305" s="46"/>
      <c r="L305" s="46"/>
      <c r="M305" s="46"/>
      <c r="N305" s="46"/>
      <c r="O305" s="46"/>
      <c r="P305" s="46"/>
      <c r="Q305" s="46"/>
      <c r="R305" s="46"/>
    </row>
    <row r="306">
      <c r="A306" s="46"/>
      <c r="B306" s="46"/>
      <c r="C306" s="46"/>
      <c r="D306" s="46"/>
      <c r="E306" s="46"/>
      <c r="F306" s="46"/>
      <c r="G306" s="46"/>
      <c r="H306" s="46"/>
      <c r="I306" s="46"/>
      <c r="J306" s="46"/>
      <c r="K306" s="46"/>
      <c r="L306" s="46"/>
      <c r="M306" s="46"/>
      <c r="N306" s="46"/>
      <c r="O306" s="46"/>
      <c r="P306" s="46"/>
      <c r="Q306" s="46"/>
      <c r="R306" s="46"/>
    </row>
    <row r="307">
      <c r="A307" s="46"/>
      <c r="B307" s="46"/>
      <c r="C307" s="46"/>
      <c r="D307" s="46"/>
      <c r="E307" s="46"/>
      <c r="F307" s="46"/>
      <c r="G307" s="46"/>
      <c r="H307" s="46"/>
      <c r="I307" s="46"/>
      <c r="J307" s="46"/>
      <c r="K307" s="46"/>
      <c r="L307" s="46"/>
      <c r="M307" s="46"/>
      <c r="N307" s="46"/>
      <c r="O307" s="46"/>
      <c r="P307" s="46"/>
      <c r="Q307" s="46"/>
      <c r="R307" s="46"/>
    </row>
    <row r="308">
      <c r="A308" s="46"/>
      <c r="B308" s="46"/>
      <c r="C308" s="46"/>
      <c r="D308" s="46"/>
      <c r="E308" s="46"/>
      <c r="F308" s="46"/>
      <c r="G308" s="46"/>
      <c r="H308" s="46"/>
      <c r="I308" s="46"/>
      <c r="J308" s="46"/>
      <c r="K308" s="46"/>
      <c r="L308" s="46"/>
      <c r="M308" s="46"/>
      <c r="N308" s="46"/>
      <c r="O308" s="46"/>
      <c r="P308" s="46"/>
      <c r="Q308" s="46"/>
      <c r="R308" s="46"/>
    </row>
    <row r="309">
      <c r="A309" s="46"/>
      <c r="B309" s="46"/>
      <c r="C309" s="46"/>
      <c r="D309" s="46"/>
      <c r="E309" s="46"/>
      <c r="F309" s="46"/>
      <c r="G309" s="46"/>
      <c r="H309" s="46"/>
      <c r="I309" s="46"/>
      <c r="J309" s="46"/>
      <c r="K309" s="46"/>
      <c r="L309" s="46"/>
      <c r="M309" s="46"/>
      <c r="N309" s="46"/>
      <c r="O309" s="46"/>
      <c r="P309" s="46"/>
      <c r="Q309" s="46"/>
      <c r="R309" s="46"/>
    </row>
    <row r="310">
      <c r="A310" s="46"/>
      <c r="B310" s="46"/>
      <c r="C310" s="46"/>
      <c r="D310" s="46"/>
      <c r="E310" s="46"/>
      <c r="F310" s="46"/>
      <c r="G310" s="46"/>
      <c r="H310" s="46"/>
      <c r="I310" s="46"/>
      <c r="J310" s="46"/>
      <c r="K310" s="46"/>
      <c r="L310" s="46"/>
      <c r="M310" s="46"/>
      <c r="N310" s="46"/>
      <c r="O310" s="46"/>
      <c r="P310" s="46"/>
      <c r="Q310" s="46"/>
      <c r="R310" s="46"/>
    </row>
    <row r="311">
      <c r="A311" s="46"/>
      <c r="B311" s="46"/>
      <c r="C311" s="46"/>
      <c r="D311" s="46"/>
      <c r="E311" s="46"/>
      <c r="F311" s="46"/>
      <c r="G311" s="46"/>
      <c r="H311" s="46"/>
      <c r="I311" s="46"/>
      <c r="J311" s="46"/>
      <c r="K311" s="46"/>
      <c r="L311" s="46"/>
      <c r="M311" s="46"/>
      <c r="N311" s="46"/>
      <c r="O311" s="46"/>
      <c r="P311" s="46"/>
      <c r="Q311" s="46"/>
      <c r="R311" s="46"/>
    </row>
    <row r="312">
      <c r="A312" s="46"/>
      <c r="B312" s="46"/>
      <c r="C312" s="46"/>
      <c r="D312" s="46"/>
      <c r="E312" s="46"/>
      <c r="F312" s="46"/>
      <c r="G312" s="46"/>
      <c r="H312" s="46"/>
      <c r="I312" s="46"/>
      <c r="J312" s="46"/>
      <c r="K312" s="46"/>
      <c r="L312" s="46"/>
      <c r="M312" s="46"/>
      <c r="N312" s="46"/>
      <c r="O312" s="46"/>
      <c r="P312" s="46"/>
      <c r="Q312" s="46"/>
      <c r="R312" s="46"/>
    </row>
    <row r="313">
      <c r="A313" s="46"/>
      <c r="B313" s="46"/>
      <c r="C313" s="46"/>
      <c r="D313" s="46"/>
      <c r="E313" s="46"/>
      <c r="F313" s="46"/>
      <c r="G313" s="46"/>
      <c r="H313" s="46"/>
      <c r="I313" s="46"/>
      <c r="J313" s="46"/>
      <c r="K313" s="46"/>
      <c r="L313" s="46"/>
      <c r="M313" s="46"/>
      <c r="N313" s="46"/>
      <c r="O313" s="46"/>
      <c r="P313" s="46"/>
      <c r="Q313" s="46"/>
      <c r="R313" s="46"/>
    </row>
    <row r="314">
      <c r="A314" s="46"/>
      <c r="B314" s="46"/>
      <c r="C314" s="46"/>
      <c r="D314" s="46"/>
      <c r="E314" s="46"/>
      <c r="F314" s="46"/>
      <c r="G314" s="46"/>
      <c r="H314" s="46"/>
      <c r="I314" s="46"/>
      <c r="J314" s="46"/>
      <c r="K314" s="46"/>
      <c r="L314" s="46"/>
      <c r="M314" s="46"/>
      <c r="N314" s="46"/>
      <c r="O314" s="46"/>
      <c r="P314" s="46"/>
      <c r="Q314" s="46"/>
      <c r="R314" s="46"/>
    </row>
    <row r="315">
      <c r="A315" s="46"/>
      <c r="B315" s="46"/>
      <c r="C315" s="46"/>
      <c r="D315" s="46"/>
      <c r="E315" s="46"/>
      <c r="F315" s="46"/>
      <c r="G315" s="46"/>
      <c r="H315" s="46"/>
      <c r="I315" s="46"/>
      <c r="J315" s="46"/>
      <c r="K315" s="46"/>
      <c r="L315" s="46"/>
      <c r="M315" s="46"/>
      <c r="N315" s="46"/>
      <c r="O315" s="46"/>
      <c r="P315" s="46"/>
      <c r="Q315" s="46"/>
      <c r="R315" s="46"/>
    </row>
    <row r="316">
      <c r="A316" s="46"/>
      <c r="B316" s="46"/>
      <c r="C316" s="46"/>
      <c r="D316" s="46"/>
      <c r="E316" s="46"/>
      <c r="F316" s="46"/>
      <c r="G316" s="46"/>
      <c r="H316" s="46"/>
      <c r="I316" s="46"/>
      <c r="J316" s="46"/>
      <c r="K316" s="46"/>
      <c r="L316" s="46"/>
      <c r="M316" s="46"/>
      <c r="N316" s="46"/>
      <c r="O316" s="46"/>
      <c r="P316" s="46"/>
      <c r="Q316" s="46"/>
      <c r="R316" s="46"/>
    </row>
    <row r="317">
      <c r="A317" s="46"/>
      <c r="B317" s="46"/>
      <c r="C317" s="46"/>
      <c r="D317" s="46"/>
      <c r="E317" s="46"/>
      <c r="F317" s="46"/>
      <c r="G317" s="46"/>
      <c r="H317" s="46"/>
      <c r="I317" s="46"/>
      <c r="J317" s="46"/>
      <c r="K317" s="46"/>
      <c r="L317" s="46"/>
      <c r="M317" s="46"/>
      <c r="N317" s="46"/>
      <c r="O317" s="46"/>
      <c r="P317" s="46"/>
      <c r="Q317" s="46"/>
      <c r="R317" s="46"/>
    </row>
    <row r="318">
      <c r="A318" s="46"/>
      <c r="B318" s="46"/>
      <c r="C318" s="46"/>
      <c r="D318" s="46"/>
      <c r="E318" s="46"/>
      <c r="F318" s="46"/>
      <c r="G318" s="46"/>
      <c r="H318" s="46"/>
      <c r="I318" s="46"/>
      <c r="J318" s="46"/>
      <c r="K318" s="46"/>
      <c r="L318" s="46"/>
      <c r="M318" s="46"/>
      <c r="N318" s="46"/>
      <c r="O318" s="46"/>
      <c r="P318" s="46"/>
      <c r="Q318" s="46"/>
      <c r="R318" s="46"/>
    </row>
    <row r="319">
      <c r="A319" s="46"/>
      <c r="B319" s="46"/>
      <c r="C319" s="46"/>
      <c r="D319" s="46"/>
      <c r="E319" s="46"/>
      <c r="F319" s="46"/>
      <c r="G319" s="46"/>
      <c r="H319" s="46"/>
      <c r="I319" s="46"/>
      <c r="J319" s="46"/>
      <c r="K319" s="46"/>
      <c r="L319" s="46"/>
      <c r="M319" s="46"/>
      <c r="N319" s="46"/>
      <c r="O319" s="46"/>
      <c r="P319" s="46"/>
      <c r="Q319" s="46"/>
      <c r="R319" s="46"/>
    </row>
    <row r="320">
      <c r="A320" s="46"/>
      <c r="B320" s="46"/>
      <c r="C320" s="46"/>
      <c r="D320" s="46"/>
      <c r="E320" s="46"/>
      <c r="F320" s="46"/>
      <c r="G320" s="46"/>
      <c r="H320" s="46"/>
      <c r="I320" s="46"/>
      <c r="J320" s="46"/>
      <c r="K320" s="46"/>
      <c r="L320" s="46"/>
      <c r="M320" s="46"/>
      <c r="N320" s="46"/>
      <c r="O320" s="46"/>
      <c r="P320" s="46"/>
      <c r="Q320" s="46"/>
      <c r="R320" s="46"/>
    </row>
    <row r="321">
      <c r="A321" s="46"/>
      <c r="B321" s="46"/>
      <c r="C321" s="46"/>
      <c r="D321" s="46"/>
      <c r="E321" s="46"/>
      <c r="F321" s="46"/>
      <c r="G321" s="46"/>
      <c r="H321" s="46"/>
      <c r="I321" s="46"/>
      <c r="J321" s="46"/>
      <c r="K321" s="46"/>
      <c r="L321" s="46"/>
      <c r="M321" s="46"/>
      <c r="N321" s="46"/>
      <c r="O321" s="46"/>
      <c r="P321" s="46"/>
      <c r="Q321" s="46"/>
      <c r="R321" s="46"/>
    </row>
    <row r="322">
      <c r="A322" s="46"/>
      <c r="B322" s="46"/>
      <c r="C322" s="46"/>
      <c r="D322" s="46"/>
      <c r="E322" s="46"/>
      <c r="F322" s="46"/>
      <c r="G322" s="46"/>
      <c r="H322" s="46"/>
      <c r="I322" s="46"/>
      <c r="J322" s="46"/>
      <c r="K322" s="46"/>
      <c r="L322" s="46"/>
      <c r="M322" s="46"/>
      <c r="N322" s="46"/>
      <c r="O322" s="46"/>
      <c r="P322" s="46"/>
      <c r="Q322" s="46"/>
      <c r="R322" s="46"/>
    </row>
    <row r="323">
      <c r="A323" s="46"/>
      <c r="B323" s="46"/>
      <c r="C323" s="46"/>
      <c r="D323" s="46"/>
      <c r="E323" s="46"/>
      <c r="F323" s="46"/>
      <c r="G323" s="46"/>
      <c r="H323" s="46"/>
      <c r="I323" s="46"/>
      <c r="J323" s="46"/>
      <c r="K323" s="46"/>
      <c r="L323" s="46"/>
      <c r="M323" s="46"/>
      <c r="N323" s="46"/>
      <c r="O323" s="46"/>
      <c r="P323" s="46"/>
      <c r="Q323" s="46"/>
      <c r="R323" s="46"/>
    </row>
    <row r="324">
      <c r="A324" s="46"/>
      <c r="B324" s="46"/>
      <c r="C324" s="46"/>
      <c r="D324" s="46"/>
      <c r="E324" s="46"/>
      <c r="F324" s="46"/>
      <c r="G324" s="46"/>
      <c r="H324" s="46"/>
      <c r="I324" s="46"/>
      <c r="J324" s="46"/>
      <c r="K324" s="46"/>
      <c r="L324" s="46"/>
      <c r="M324" s="46"/>
      <c r="N324" s="46"/>
      <c r="O324" s="46"/>
      <c r="P324" s="46"/>
      <c r="Q324" s="46"/>
      <c r="R324" s="46"/>
    </row>
    <row r="325">
      <c r="A325" s="46"/>
      <c r="B325" s="46"/>
      <c r="C325" s="46"/>
      <c r="D325" s="46"/>
      <c r="E325" s="46"/>
      <c r="F325" s="46"/>
      <c r="G325" s="46"/>
      <c r="H325" s="46"/>
      <c r="I325" s="46"/>
      <c r="J325" s="46"/>
      <c r="K325" s="46"/>
      <c r="L325" s="46"/>
      <c r="M325" s="46"/>
      <c r="N325" s="46"/>
      <c r="O325" s="46"/>
      <c r="P325" s="46"/>
      <c r="Q325" s="46"/>
      <c r="R325" s="46"/>
    </row>
    <row r="326">
      <c r="A326" s="46"/>
      <c r="B326" s="46"/>
      <c r="C326" s="46"/>
      <c r="D326" s="46"/>
      <c r="E326" s="46"/>
      <c r="F326" s="46"/>
      <c r="G326" s="46"/>
      <c r="H326" s="46"/>
      <c r="I326" s="46"/>
      <c r="J326" s="46"/>
      <c r="K326" s="46"/>
      <c r="L326" s="46"/>
      <c r="M326" s="46"/>
      <c r="N326" s="46"/>
      <c r="O326" s="46"/>
      <c r="P326" s="46"/>
      <c r="Q326" s="46"/>
      <c r="R326" s="46"/>
    </row>
    <row r="327">
      <c r="A327" s="46"/>
      <c r="B327" s="46"/>
      <c r="C327" s="46"/>
      <c r="D327" s="46"/>
      <c r="E327" s="46"/>
      <c r="F327" s="46"/>
      <c r="G327" s="46"/>
      <c r="H327" s="46"/>
      <c r="I327" s="46"/>
      <c r="J327" s="46"/>
      <c r="K327" s="46"/>
      <c r="L327" s="46"/>
      <c r="M327" s="46"/>
      <c r="N327" s="46"/>
      <c r="O327" s="46"/>
      <c r="P327" s="46"/>
      <c r="Q327" s="46"/>
      <c r="R327" s="46"/>
    </row>
    <row r="328">
      <c r="A328" s="46"/>
      <c r="B328" s="46"/>
      <c r="C328" s="46"/>
      <c r="D328" s="46"/>
      <c r="E328" s="46"/>
      <c r="F328" s="46"/>
      <c r="G328" s="46"/>
      <c r="H328" s="46"/>
      <c r="I328" s="46"/>
      <c r="J328" s="46"/>
      <c r="K328" s="46"/>
      <c r="L328" s="46"/>
      <c r="M328" s="46"/>
      <c r="N328" s="46"/>
      <c r="O328" s="46"/>
      <c r="P328" s="46"/>
      <c r="Q328" s="46"/>
      <c r="R328" s="46"/>
    </row>
    <row r="329">
      <c r="A329" s="46"/>
      <c r="B329" s="46"/>
      <c r="C329" s="46"/>
      <c r="D329" s="46"/>
      <c r="E329" s="46"/>
      <c r="F329" s="46"/>
      <c r="G329" s="46"/>
      <c r="H329" s="46"/>
      <c r="I329" s="46"/>
      <c r="J329" s="46"/>
      <c r="K329" s="46"/>
      <c r="L329" s="46"/>
      <c r="M329" s="46"/>
      <c r="N329" s="46"/>
      <c r="O329" s="46"/>
      <c r="P329" s="46"/>
      <c r="Q329" s="46"/>
      <c r="R329" s="46"/>
    </row>
    <row r="330">
      <c r="A330" s="46"/>
      <c r="B330" s="46"/>
      <c r="C330" s="46"/>
      <c r="D330" s="46"/>
      <c r="E330" s="46"/>
      <c r="F330" s="46"/>
      <c r="G330" s="46"/>
      <c r="H330" s="46"/>
      <c r="I330" s="46"/>
      <c r="J330" s="46"/>
      <c r="K330" s="46"/>
      <c r="L330" s="46"/>
      <c r="M330" s="46"/>
      <c r="N330" s="46"/>
      <c r="O330" s="46"/>
      <c r="P330" s="46"/>
      <c r="Q330" s="46"/>
      <c r="R330" s="46"/>
    </row>
    <row r="331">
      <c r="A331" s="46"/>
      <c r="B331" s="46"/>
      <c r="C331" s="46"/>
      <c r="D331" s="46"/>
      <c r="E331" s="46"/>
      <c r="F331" s="46"/>
      <c r="G331" s="46"/>
      <c r="H331" s="46"/>
      <c r="I331" s="46"/>
      <c r="J331" s="46"/>
      <c r="K331" s="46"/>
      <c r="L331" s="46"/>
      <c r="M331" s="46"/>
      <c r="N331" s="46"/>
      <c r="O331" s="46"/>
      <c r="P331" s="46"/>
      <c r="Q331" s="46"/>
      <c r="R331" s="46"/>
    </row>
    <row r="332">
      <c r="A332" s="46"/>
      <c r="B332" s="46"/>
      <c r="C332" s="46"/>
      <c r="D332" s="46"/>
      <c r="E332" s="46"/>
      <c r="F332" s="46"/>
      <c r="G332" s="46"/>
      <c r="H332" s="46"/>
      <c r="I332" s="46"/>
      <c r="J332" s="46"/>
      <c r="K332" s="46"/>
      <c r="L332" s="46"/>
      <c r="M332" s="46"/>
      <c r="N332" s="46"/>
      <c r="O332" s="46"/>
      <c r="P332" s="46"/>
      <c r="Q332" s="46"/>
      <c r="R332" s="46"/>
    </row>
    <row r="333">
      <c r="A333" s="46"/>
      <c r="B333" s="46"/>
      <c r="C333" s="46"/>
      <c r="D333" s="46"/>
      <c r="E333" s="46"/>
      <c r="F333" s="46"/>
      <c r="G333" s="46"/>
      <c r="H333" s="46"/>
      <c r="I333" s="46"/>
      <c r="J333" s="46"/>
      <c r="K333" s="46"/>
      <c r="L333" s="46"/>
      <c r="M333" s="46"/>
      <c r="N333" s="46"/>
      <c r="O333" s="46"/>
      <c r="P333" s="46"/>
      <c r="Q333" s="46"/>
      <c r="R333" s="46"/>
    </row>
    <row r="334">
      <c r="A334" s="46"/>
      <c r="B334" s="46"/>
      <c r="C334" s="46"/>
      <c r="D334" s="46"/>
      <c r="E334" s="46"/>
      <c r="F334" s="46"/>
      <c r="G334" s="46"/>
      <c r="H334" s="46"/>
      <c r="I334" s="46"/>
      <c r="J334" s="46"/>
      <c r="K334" s="46"/>
      <c r="L334" s="46"/>
      <c r="M334" s="46"/>
      <c r="N334" s="46"/>
      <c r="O334" s="46"/>
      <c r="P334" s="46"/>
      <c r="Q334" s="46"/>
      <c r="R334" s="46"/>
    </row>
    <row r="335">
      <c r="A335" s="46"/>
      <c r="B335" s="46"/>
      <c r="C335" s="46"/>
      <c r="D335" s="46"/>
      <c r="E335" s="46"/>
      <c r="F335" s="46"/>
      <c r="G335" s="46"/>
      <c r="H335" s="46"/>
      <c r="I335" s="46"/>
      <c r="J335" s="46"/>
      <c r="K335" s="46"/>
      <c r="L335" s="46"/>
      <c r="M335" s="46"/>
      <c r="N335" s="46"/>
      <c r="O335" s="46"/>
      <c r="P335" s="46"/>
      <c r="Q335" s="46"/>
      <c r="R335" s="46"/>
    </row>
    <row r="336">
      <c r="A336" s="46"/>
      <c r="B336" s="46"/>
      <c r="C336" s="46"/>
      <c r="D336" s="46"/>
      <c r="E336" s="46"/>
      <c r="F336" s="46"/>
      <c r="G336" s="46"/>
      <c r="H336" s="46"/>
      <c r="I336" s="46"/>
      <c r="J336" s="46"/>
      <c r="K336" s="46"/>
      <c r="L336" s="46"/>
      <c r="M336" s="46"/>
      <c r="N336" s="46"/>
      <c r="O336" s="46"/>
      <c r="P336" s="46"/>
      <c r="Q336" s="46"/>
      <c r="R336" s="46"/>
    </row>
    <row r="337">
      <c r="A337" s="46"/>
      <c r="B337" s="46"/>
      <c r="C337" s="46"/>
      <c r="D337" s="46"/>
      <c r="E337" s="46"/>
      <c r="F337" s="46"/>
      <c r="G337" s="46"/>
      <c r="H337" s="46"/>
      <c r="I337" s="46"/>
      <c r="J337" s="46"/>
      <c r="K337" s="46"/>
      <c r="L337" s="46"/>
      <c r="M337" s="46"/>
      <c r="N337" s="46"/>
      <c r="O337" s="46"/>
      <c r="P337" s="46"/>
      <c r="Q337" s="46"/>
      <c r="R337" s="46"/>
    </row>
    <row r="338">
      <c r="A338" s="46"/>
      <c r="B338" s="46"/>
      <c r="C338" s="46"/>
      <c r="D338" s="46"/>
      <c r="E338" s="46"/>
      <c r="F338" s="46"/>
      <c r="G338" s="46"/>
      <c r="H338" s="46"/>
      <c r="I338" s="46"/>
      <c r="J338" s="46"/>
      <c r="K338" s="46"/>
      <c r="L338" s="46"/>
      <c r="M338" s="46"/>
      <c r="N338" s="46"/>
      <c r="O338" s="46"/>
      <c r="P338" s="46"/>
      <c r="Q338" s="46"/>
      <c r="R338" s="46"/>
    </row>
    <row r="339">
      <c r="A339" s="46"/>
      <c r="B339" s="46"/>
      <c r="C339" s="46"/>
      <c r="D339" s="46"/>
      <c r="E339" s="46"/>
      <c r="F339" s="46"/>
      <c r="G339" s="46"/>
      <c r="H339" s="46"/>
      <c r="I339" s="46"/>
      <c r="J339" s="46"/>
      <c r="K339" s="46"/>
      <c r="L339" s="46"/>
      <c r="M339" s="46"/>
      <c r="N339" s="46"/>
      <c r="O339" s="46"/>
      <c r="P339" s="46"/>
      <c r="Q339" s="46"/>
      <c r="R339" s="46"/>
    </row>
    <row r="340">
      <c r="A340" s="46"/>
      <c r="B340" s="46"/>
      <c r="C340" s="46"/>
      <c r="D340" s="46"/>
      <c r="E340" s="46"/>
      <c r="F340" s="46"/>
      <c r="G340" s="46"/>
      <c r="H340" s="46"/>
      <c r="I340" s="46"/>
      <c r="J340" s="46"/>
      <c r="K340" s="46"/>
      <c r="L340" s="46"/>
      <c r="M340" s="46"/>
      <c r="N340" s="46"/>
      <c r="O340" s="46"/>
      <c r="P340" s="46"/>
      <c r="Q340" s="46"/>
      <c r="R340" s="46"/>
    </row>
    <row r="341">
      <c r="A341" s="46"/>
      <c r="B341" s="46"/>
      <c r="C341" s="46"/>
      <c r="D341" s="46"/>
      <c r="E341" s="46"/>
      <c r="F341" s="46"/>
      <c r="G341" s="46"/>
      <c r="H341" s="46"/>
      <c r="I341" s="46"/>
      <c r="J341" s="46"/>
      <c r="K341" s="46"/>
      <c r="L341" s="46"/>
      <c r="M341" s="46"/>
      <c r="N341" s="46"/>
      <c r="O341" s="46"/>
      <c r="P341" s="46"/>
      <c r="Q341" s="46"/>
      <c r="R341" s="46"/>
    </row>
    <row r="342">
      <c r="A342" s="46"/>
      <c r="B342" s="46"/>
      <c r="C342" s="46"/>
      <c r="D342" s="46"/>
      <c r="E342" s="46"/>
      <c r="F342" s="46"/>
      <c r="G342" s="46"/>
      <c r="H342" s="46"/>
      <c r="I342" s="46"/>
      <c r="J342" s="46"/>
      <c r="K342" s="46"/>
      <c r="L342" s="46"/>
      <c r="M342" s="46"/>
      <c r="N342" s="46"/>
      <c r="O342" s="46"/>
      <c r="P342" s="46"/>
      <c r="Q342" s="46"/>
      <c r="R342" s="46"/>
    </row>
    <row r="343">
      <c r="A343" s="46"/>
      <c r="B343" s="46"/>
      <c r="C343" s="46"/>
      <c r="D343" s="46"/>
      <c r="E343" s="46"/>
      <c r="F343" s="46"/>
      <c r="G343" s="46"/>
      <c r="H343" s="46"/>
      <c r="I343" s="46"/>
      <c r="J343" s="46"/>
      <c r="K343" s="46"/>
      <c r="L343" s="46"/>
      <c r="M343" s="46"/>
      <c r="N343" s="46"/>
      <c r="O343" s="46"/>
      <c r="P343" s="46"/>
      <c r="Q343" s="46"/>
      <c r="R343" s="46"/>
    </row>
    <row r="344">
      <c r="A344" s="46"/>
      <c r="B344" s="46"/>
      <c r="C344" s="46"/>
      <c r="D344" s="46"/>
      <c r="E344" s="46"/>
      <c r="F344" s="46"/>
      <c r="G344" s="46"/>
      <c r="H344" s="46"/>
      <c r="I344" s="46"/>
      <c r="J344" s="46"/>
      <c r="K344" s="46"/>
      <c r="L344" s="46"/>
      <c r="M344" s="46"/>
      <c r="N344" s="46"/>
      <c r="O344" s="46"/>
      <c r="P344" s="46"/>
      <c r="Q344" s="46"/>
      <c r="R344" s="46"/>
    </row>
    <row r="345">
      <c r="A345" s="46"/>
      <c r="B345" s="46"/>
      <c r="C345" s="46"/>
      <c r="D345" s="46"/>
      <c r="E345" s="46"/>
      <c r="F345" s="46"/>
      <c r="G345" s="46"/>
      <c r="H345" s="46"/>
      <c r="I345" s="46"/>
      <c r="J345" s="46"/>
      <c r="K345" s="46"/>
      <c r="L345" s="46"/>
      <c r="M345" s="46"/>
      <c r="N345" s="46"/>
      <c r="O345" s="46"/>
      <c r="P345" s="46"/>
      <c r="Q345" s="46"/>
      <c r="R345" s="46"/>
    </row>
    <row r="346">
      <c r="A346" s="46"/>
      <c r="B346" s="46"/>
      <c r="C346" s="46"/>
      <c r="D346" s="46"/>
      <c r="E346" s="46"/>
      <c r="F346" s="46"/>
      <c r="G346" s="46"/>
      <c r="H346" s="46"/>
      <c r="I346" s="46"/>
      <c r="J346" s="46"/>
      <c r="K346" s="46"/>
      <c r="L346" s="46"/>
      <c r="M346" s="46"/>
      <c r="N346" s="46"/>
      <c r="O346" s="46"/>
      <c r="P346" s="46"/>
      <c r="Q346" s="46"/>
      <c r="R346" s="46"/>
    </row>
    <row r="347">
      <c r="A347" s="46"/>
      <c r="B347" s="46"/>
      <c r="C347" s="46"/>
      <c r="D347" s="46"/>
      <c r="E347" s="46"/>
      <c r="F347" s="46"/>
      <c r="G347" s="46"/>
      <c r="H347" s="46"/>
      <c r="I347" s="46"/>
      <c r="J347" s="46"/>
      <c r="K347" s="46"/>
      <c r="L347" s="46"/>
      <c r="M347" s="46"/>
      <c r="N347" s="46"/>
      <c r="O347" s="46"/>
      <c r="P347" s="46"/>
      <c r="Q347" s="46"/>
      <c r="R347" s="46"/>
    </row>
    <row r="348">
      <c r="A348" s="46"/>
      <c r="B348" s="46"/>
      <c r="C348" s="46"/>
      <c r="D348" s="46"/>
      <c r="E348" s="46"/>
      <c r="F348" s="46"/>
      <c r="G348" s="46"/>
      <c r="H348" s="46"/>
      <c r="I348" s="46"/>
      <c r="J348" s="46"/>
      <c r="K348" s="46"/>
      <c r="L348" s="46"/>
      <c r="M348" s="46"/>
      <c r="N348" s="46"/>
      <c r="O348" s="46"/>
      <c r="P348" s="46"/>
      <c r="Q348" s="46"/>
      <c r="R348" s="46"/>
    </row>
    <row r="349">
      <c r="A349" s="46"/>
      <c r="B349" s="46"/>
      <c r="C349" s="46"/>
      <c r="D349" s="46"/>
      <c r="E349" s="46"/>
      <c r="F349" s="46"/>
      <c r="G349" s="46"/>
      <c r="H349" s="46"/>
      <c r="I349" s="46"/>
      <c r="J349" s="46"/>
      <c r="K349" s="46"/>
      <c r="L349" s="46"/>
      <c r="M349" s="46"/>
      <c r="N349" s="46"/>
      <c r="O349" s="46"/>
      <c r="P349" s="46"/>
      <c r="Q349" s="46"/>
      <c r="R349" s="46"/>
    </row>
    <row r="350">
      <c r="A350" s="46"/>
      <c r="B350" s="46"/>
      <c r="C350" s="46"/>
      <c r="D350" s="46"/>
      <c r="E350" s="46"/>
      <c r="F350" s="46"/>
      <c r="G350" s="46"/>
      <c r="H350" s="46"/>
      <c r="I350" s="46"/>
      <c r="J350" s="46"/>
      <c r="K350" s="46"/>
      <c r="L350" s="46"/>
      <c r="M350" s="46"/>
      <c r="N350" s="46"/>
      <c r="O350" s="46"/>
      <c r="P350" s="46"/>
      <c r="Q350" s="46"/>
      <c r="R350" s="46"/>
    </row>
    <row r="351">
      <c r="A351" s="46"/>
      <c r="B351" s="46"/>
      <c r="C351" s="46"/>
      <c r="D351" s="46"/>
      <c r="E351" s="46"/>
      <c r="F351" s="46"/>
      <c r="G351" s="46"/>
      <c r="H351" s="46"/>
      <c r="I351" s="46"/>
      <c r="J351" s="46"/>
      <c r="K351" s="46"/>
      <c r="L351" s="46"/>
      <c r="M351" s="46"/>
      <c r="N351" s="46"/>
      <c r="O351" s="46"/>
      <c r="P351" s="46"/>
      <c r="Q351" s="46"/>
      <c r="R351" s="46"/>
    </row>
    <row r="352">
      <c r="A352" s="46"/>
      <c r="B352" s="46"/>
      <c r="C352" s="46"/>
      <c r="D352" s="46"/>
      <c r="E352" s="46"/>
      <c r="F352" s="46"/>
      <c r="G352" s="46"/>
      <c r="H352" s="46"/>
      <c r="I352" s="46"/>
      <c r="J352" s="46"/>
      <c r="K352" s="46"/>
      <c r="L352" s="46"/>
      <c r="M352" s="46"/>
      <c r="N352" s="46"/>
      <c r="O352" s="46"/>
      <c r="P352" s="46"/>
      <c r="Q352" s="46"/>
      <c r="R352" s="46"/>
    </row>
    <row r="353">
      <c r="A353" s="46"/>
      <c r="B353" s="46"/>
      <c r="C353" s="46"/>
      <c r="D353" s="46"/>
      <c r="E353" s="46"/>
      <c r="F353" s="46"/>
      <c r="G353" s="46"/>
      <c r="H353" s="46"/>
      <c r="I353" s="46"/>
      <c r="J353" s="46"/>
      <c r="K353" s="46"/>
      <c r="L353" s="46"/>
      <c r="M353" s="46"/>
      <c r="N353" s="46"/>
      <c r="O353" s="46"/>
      <c r="P353" s="46"/>
      <c r="Q353" s="46"/>
      <c r="R353" s="46"/>
    </row>
    <row r="354">
      <c r="A354" s="46"/>
      <c r="B354" s="46"/>
      <c r="C354" s="46"/>
      <c r="D354" s="46"/>
      <c r="E354" s="46"/>
      <c r="F354" s="46"/>
      <c r="G354" s="46"/>
      <c r="H354" s="46"/>
      <c r="I354" s="46"/>
      <c r="J354" s="46"/>
      <c r="K354" s="46"/>
      <c r="L354" s="46"/>
      <c r="M354" s="46"/>
      <c r="N354" s="46"/>
      <c r="O354" s="46"/>
      <c r="P354" s="46"/>
      <c r="Q354" s="46"/>
      <c r="R354" s="46"/>
    </row>
    <row r="355">
      <c r="A355" s="46"/>
      <c r="B355" s="46"/>
      <c r="C355" s="46"/>
      <c r="D355" s="46"/>
      <c r="E355" s="46"/>
      <c r="F355" s="46"/>
      <c r="G355" s="46"/>
      <c r="H355" s="46"/>
      <c r="I355" s="46"/>
      <c r="J355" s="46"/>
      <c r="K355" s="46"/>
      <c r="L355" s="46"/>
      <c r="M355" s="46"/>
      <c r="N355" s="46"/>
      <c r="O355" s="46"/>
      <c r="P355" s="46"/>
      <c r="Q355" s="46"/>
      <c r="R355" s="46"/>
    </row>
    <row r="356">
      <c r="A356" s="46"/>
      <c r="B356" s="46"/>
      <c r="C356" s="46"/>
      <c r="D356" s="46"/>
      <c r="E356" s="46"/>
      <c r="F356" s="46"/>
      <c r="G356" s="46"/>
      <c r="H356" s="46"/>
      <c r="I356" s="46"/>
      <c r="J356" s="46"/>
      <c r="K356" s="46"/>
      <c r="L356" s="46"/>
      <c r="M356" s="46"/>
      <c r="N356" s="46"/>
      <c r="O356" s="46"/>
      <c r="P356" s="46"/>
      <c r="Q356" s="46"/>
      <c r="R356" s="46"/>
    </row>
    <row r="357">
      <c r="A357" s="46"/>
      <c r="B357" s="46"/>
      <c r="C357" s="46"/>
      <c r="D357" s="46"/>
      <c r="E357" s="46"/>
      <c r="F357" s="46"/>
      <c r="G357" s="46"/>
      <c r="H357" s="46"/>
      <c r="I357" s="46"/>
      <c r="J357" s="46"/>
      <c r="K357" s="46"/>
      <c r="L357" s="46"/>
      <c r="M357" s="46"/>
      <c r="N357" s="46"/>
      <c r="O357" s="46"/>
      <c r="P357" s="46"/>
      <c r="Q357" s="46"/>
      <c r="R357" s="46"/>
    </row>
    <row r="358">
      <c r="A358" s="46"/>
      <c r="B358" s="46"/>
      <c r="C358" s="46"/>
      <c r="D358" s="46"/>
      <c r="E358" s="46"/>
      <c r="F358" s="46"/>
      <c r="G358" s="46"/>
      <c r="H358" s="46"/>
      <c r="I358" s="46"/>
      <c r="J358" s="46"/>
      <c r="K358" s="46"/>
      <c r="L358" s="46"/>
      <c r="M358" s="46"/>
      <c r="N358" s="46"/>
      <c r="O358" s="46"/>
      <c r="P358" s="46"/>
      <c r="Q358" s="46"/>
      <c r="R358" s="46"/>
    </row>
    <row r="359">
      <c r="A359" s="46"/>
      <c r="B359" s="46"/>
      <c r="C359" s="46"/>
      <c r="D359" s="46"/>
      <c r="E359" s="46"/>
      <c r="F359" s="46"/>
      <c r="G359" s="46"/>
      <c r="H359" s="46"/>
      <c r="I359" s="46"/>
      <c r="J359" s="46"/>
      <c r="K359" s="46"/>
      <c r="L359" s="46"/>
      <c r="M359" s="46"/>
      <c r="N359" s="46"/>
      <c r="O359" s="46"/>
      <c r="P359" s="46"/>
      <c r="Q359" s="46"/>
      <c r="R359" s="46"/>
    </row>
    <row r="360">
      <c r="A360" s="46"/>
      <c r="B360" s="46"/>
      <c r="C360" s="46"/>
      <c r="D360" s="46"/>
      <c r="E360" s="46"/>
      <c r="F360" s="46"/>
      <c r="G360" s="46"/>
      <c r="H360" s="46"/>
      <c r="I360" s="46"/>
      <c r="J360" s="46"/>
      <c r="K360" s="46"/>
      <c r="L360" s="46"/>
      <c r="M360" s="46"/>
      <c r="N360" s="46"/>
      <c r="O360" s="46"/>
      <c r="P360" s="46"/>
      <c r="Q360" s="46"/>
      <c r="R360" s="46"/>
    </row>
    <row r="361">
      <c r="A361" s="46"/>
      <c r="B361" s="46"/>
      <c r="C361" s="46"/>
      <c r="D361" s="46"/>
      <c r="E361" s="46"/>
      <c r="F361" s="46"/>
      <c r="G361" s="46"/>
      <c r="H361" s="46"/>
      <c r="I361" s="46"/>
      <c r="J361" s="46"/>
      <c r="K361" s="46"/>
      <c r="L361" s="46"/>
      <c r="M361" s="46"/>
      <c r="N361" s="46"/>
      <c r="O361" s="46"/>
      <c r="P361" s="46"/>
      <c r="Q361" s="46"/>
      <c r="R361" s="46"/>
    </row>
    <row r="362">
      <c r="A362" s="46"/>
      <c r="B362" s="46"/>
      <c r="C362" s="46"/>
      <c r="D362" s="46"/>
      <c r="E362" s="46"/>
      <c r="F362" s="46"/>
      <c r="G362" s="46"/>
      <c r="H362" s="46"/>
      <c r="I362" s="46"/>
      <c r="J362" s="46"/>
      <c r="K362" s="46"/>
      <c r="L362" s="46"/>
      <c r="M362" s="46"/>
      <c r="N362" s="46"/>
      <c r="O362" s="46"/>
      <c r="P362" s="46"/>
      <c r="Q362" s="46"/>
      <c r="R362" s="46"/>
    </row>
    <row r="363">
      <c r="A363" s="46"/>
      <c r="B363" s="46"/>
      <c r="C363" s="46"/>
      <c r="D363" s="46"/>
      <c r="E363" s="46"/>
      <c r="F363" s="46"/>
      <c r="G363" s="46"/>
      <c r="H363" s="46"/>
      <c r="I363" s="46"/>
      <c r="J363" s="46"/>
      <c r="K363" s="46"/>
      <c r="L363" s="46"/>
      <c r="M363" s="46"/>
      <c r="N363" s="46"/>
      <c r="O363" s="46"/>
      <c r="P363" s="46"/>
      <c r="Q363" s="46"/>
      <c r="R363" s="46"/>
    </row>
    <row r="364">
      <c r="A364" s="46"/>
      <c r="B364" s="46"/>
      <c r="C364" s="46"/>
      <c r="D364" s="46"/>
      <c r="E364" s="46"/>
      <c r="F364" s="46"/>
      <c r="G364" s="46"/>
      <c r="H364" s="46"/>
      <c r="I364" s="46"/>
      <c r="J364" s="46"/>
      <c r="K364" s="46"/>
      <c r="L364" s="46"/>
      <c r="M364" s="46"/>
      <c r="N364" s="46"/>
      <c r="O364" s="46"/>
      <c r="P364" s="46"/>
      <c r="Q364" s="46"/>
      <c r="R364" s="46"/>
    </row>
    <row r="365">
      <c r="A365" s="46"/>
      <c r="B365" s="46"/>
      <c r="C365" s="46"/>
      <c r="D365" s="46"/>
      <c r="E365" s="46"/>
      <c r="F365" s="46"/>
      <c r="G365" s="46"/>
      <c r="H365" s="46"/>
      <c r="I365" s="46"/>
      <c r="J365" s="46"/>
      <c r="K365" s="46"/>
      <c r="L365" s="46"/>
      <c r="M365" s="46"/>
      <c r="N365" s="46"/>
      <c r="O365" s="46"/>
      <c r="P365" s="46"/>
      <c r="Q365" s="46"/>
      <c r="R365" s="46"/>
    </row>
    <row r="366">
      <c r="A366" s="46"/>
      <c r="B366" s="46"/>
      <c r="C366" s="46"/>
      <c r="D366" s="46"/>
      <c r="E366" s="46"/>
      <c r="F366" s="46"/>
      <c r="G366" s="46"/>
      <c r="H366" s="46"/>
      <c r="I366" s="46"/>
      <c r="J366" s="46"/>
      <c r="K366" s="46"/>
      <c r="L366" s="46"/>
      <c r="M366" s="46"/>
      <c r="N366" s="46"/>
      <c r="O366" s="46"/>
      <c r="P366" s="46"/>
      <c r="Q366" s="46"/>
      <c r="R366" s="46"/>
    </row>
    <row r="367">
      <c r="A367" s="46"/>
      <c r="B367" s="46"/>
      <c r="C367" s="46"/>
      <c r="D367" s="46"/>
      <c r="E367" s="46"/>
      <c r="F367" s="46"/>
      <c r="G367" s="46"/>
      <c r="H367" s="46"/>
      <c r="I367" s="46"/>
      <c r="J367" s="46"/>
      <c r="K367" s="46"/>
      <c r="L367" s="46"/>
      <c r="M367" s="46"/>
      <c r="N367" s="46"/>
      <c r="O367" s="46"/>
      <c r="P367" s="46"/>
      <c r="Q367" s="46"/>
      <c r="R367" s="46"/>
    </row>
    <row r="368">
      <c r="A368" s="46"/>
      <c r="B368" s="46"/>
      <c r="C368" s="46"/>
      <c r="D368" s="46"/>
      <c r="E368" s="46"/>
      <c r="F368" s="46"/>
      <c r="G368" s="46"/>
      <c r="H368" s="46"/>
      <c r="I368" s="46"/>
      <c r="J368" s="46"/>
      <c r="K368" s="46"/>
      <c r="L368" s="46"/>
      <c r="M368" s="46"/>
      <c r="N368" s="46"/>
      <c r="O368" s="46"/>
      <c r="P368" s="46"/>
      <c r="Q368" s="46"/>
      <c r="R368" s="46"/>
    </row>
    <row r="369">
      <c r="A369" s="46"/>
      <c r="B369" s="46"/>
      <c r="C369" s="46"/>
      <c r="D369" s="46"/>
      <c r="E369" s="46"/>
      <c r="F369" s="46"/>
      <c r="G369" s="46"/>
      <c r="H369" s="46"/>
      <c r="I369" s="46"/>
      <c r="J369" s="46"/>
      <c r="K369" s="46"/>
      <c r="L369" s="46"/>
      <c r="M369" s="46"/>
      <c r="N369" s="46"/>
      <c r="O369" s="46"/>
      <c r="P369" s="46"/>
      <c r="Q369" s="46"/>
      <c r="R369" s="46"/>
    </row>
    <row r="370">
      <c r="A370" s="46"/>
      <c r="B370" s="46"/>
      <c r="C370" s="46"/>
      <c r="D370" s="46"/>
      <c r="E370" s="46"/>
      <c r="F370" s="46"/>
      <c r="G370" s="46"/>
      <c r="H370" s="46"/>
      <c r="I370" s="46"/>
      <c r="J370" s="46"/>
      <c r="K370" s="46"/>
      <c r="L370" s="46"/>
      <c r="M370" s="46"/>
      <c r="N370" s="46"/>
      <c r="O370" s="46"/>
      <c r="P370" s="46"/>
      <c r="Q370" s="46"/>
      <c r="R370" s="46"/>
    </row>
    <row r="371">
      <c r="A371" s="46"/>
      <c r="B371" s="46"/>
      <c r="C371" s="46"/>
      <c r="D371" s="46"/>
      <c r="E371" s="46"/>
      <c r="F371" s="46"/>
      <c r="G371" s="46"/>
      <c r="H371" s="46"/>
      <c r="I371" s="46"/>
      <c r="J371" s="46"/>
      <c r="K371" s="46"/>
      <c r="L371" s="46"/>
      <c r="M371" s="46"/>
      <c r="N371" s="46"/>
      <c r="O371" s="46"/>
      <c r="P371" s="46"/>
      <c r="Q371" s="46"/>
      <c r="R371" s="46"/>
    </row>
    <row r="372">
      <c r="A372" s="46"/>
      <c r="B372" s="46"/>
      <c r="C372" s="46"/>
      <c r="D372" s="46"/>
      <c r="E372" s="46"/>
      <c r="F372" s="46"/>
      <c r="G372" s="46"/>
      <c r="H372" s="46"/>
      <c r="I372" s="46"/>
      <c r="J372" s="46"/>
      <c r="K372" s="46"/>
      <c r="L372" s="46"/>
      <c r="M372" s="46"/>
      <c r="N372" s="46"/>
      <c r="O372" s="46"/>
      <c r="P372" s="46"/>
      <c r="Q372" s="46"/>
      <c r="R372" s="46"/>
    </row>
    <row r="373">
      <c r="A373" s="46"/>
      <c r="B373" s="46"/>
      <c r="C373" s="46"/>
      <c r="D373" s="46"/>
      <c r="E373" s="46"/>
      <c r="F373" s="46"/>
      <c r="G373" s="46"/>
      <c r="H373" s="46"/>
      <c r="I373" s="46"/>
      <c r="J373" s="46"/>
      <c r="K373" s="46"/>
      <c r="L373" s="46"/>
      <c r="M373" s="46"/>
      <c r="N373" s="46"/>
      <c r="O373" s="46"/>
      <c r="P373" s="46"/>
      <c r="Q373" s="46"/>
      <c r="R373" s="46"/>
    </row>
    <row r="374">
      <c r="A374" s="46"/>
      <c r="B374" s="46"/>
      <c r="C374" s="46"/>
      <c r="D374" s="46"/>
      <c r="E374" s="46"/>
      <c r="F374" s="46"/>
      <c r="G374" s="46"/>
      <c r="H374" s="46"/>
      <c r="I374" s="46"/>
      <c r="J374" s="46"/>
      <c r="K374" s="46"/>
      <c r="L374" s="46"/>
      <c r="M374" s="46"/>
      <c r="N374" s="46"/>
      <c r="O374" s="46"/>
      <c r="P374" s="46"/>
      <c r="Q374" s="46"/>
      <c r="R374" s="46"/>
    </row>
    <row r="375">
      <c r="A375" s="46"/>
      <c r="B375" s="46"/>
      <c r="C375" s="46"/>
      <c r="D375" s="46"/>
      <c r="E375" s="46"/>
      <c r="F375" s="46"/>
      <c r="G375" s="46"/>
      <c r="H375" s="46"/>
      <c r="I375" s="46"/>
      <c r="J375" s="46"/>
      <c r="K375" s="46"/>
      <c r="L375" s="46"/>
      <c r="M375" s="46"/>
      <c r="N375" s="46"/>
      <c r="O375" s="46"/>
      <c r="P375" s="46"/>
      <c r="Q375" s="46"/>
      <c r="R375" s="46"/>
    </row>
    <row r="376">
      <c r="A376" s="46"/>
      <c r="B376" s="46"/>
      <c r="C376" s="46"/>
      <c r="D376" s="46"/>
      <c r="E376" s="46"/>
      <c r="F376" s="46"/>
      <c r="G376" s="46"/>
      <c r="H376" s="46"/>
      <c r="I376" s="46"/>
      <c r="J376" s="46"/>
      <c r="K376" s="46"/>
      <c r="L376" s="46"/>
      <c r="M376" s="46"/>
      <c r="N376" s="46"/>
      <c r="O376" s="46"/>
      <c r="P376" s="46"/>
      <c r="Q376" s="46"/>
      <c r="R376" s="46"/>
    </row>
    <row r="377">
      <c r="A377" s="46"/>
      <c r="B377" s="46"/>
      <c r="C377" s="46"/>
      <c r="D377" s="46"/>
      <c r="E377" s="46"/>
      <c r="F377" s="46"/>
      <c r="G377" s="46"/>
      <c r="H377" s="46"/>
      <c r="I377" s="46"/>
      <c r="J377" s="46"/>
      <c r="K377" s="46"/>
      <c r="L377" s="46"/>
      <c r="M377" s="46"/>
      <c r="N377" s="46"/>
      <c r="O377" s="46"/>
      <c r="P377" s="46"/>
      <c r="Q377" s="46"/>
      <c r="R377" s="46"/>
    </row>
    <row r="378">
      <c r="A378" s="46"/>
      <c r="B378" s="46"/>
      <c r="C378" s="46"/>
      <c r="D378" s="46"/>
      <c r="E378" s="46"/>
      <c r="F378" s="46"/>
      <c r="G378" s="46"/>
      <c r="H378" s="46"/>
      <c r="I378" s="46"/>
      <c r="J378" s="46"/>
      <c r="K378" s="46"/>
      <c r="L378" s="46"/>
      <c r="M378" s="46"/>
      <c r="N378" s="46"/>
      <c r="O378" s="46"/>
      <c r="P378" s="46"/>
      <c r="Q378" s="46"/>
      <c r="R378" s="46"/>
    </row>
    <row r="379">
      <c r="A379" s="46"/>
      <c r="B379" s="46"/>
      <c r="C379" s="46"/>
      <c r="D379" s="46"/>
      <c r="E379" s="46"/>
      <c r="F379" s="46"/>
      <c r="G379" s="46"/>
      <c r="H379" s="46"/>
      <c r="I379" s="46"/>
      <c r="J379" s="46"/>
      <c r="K379" s="46"/>
      <c r="L379" s="46"/>
      <c r="M379" s="46"/>
      <c r="N379" s="46"/>
      <c r="O379" s="46"/>
      <c r="P379" s="46"/>
      <c r="Q379" s="46"/>
      <c r="R379" s="46"/>
    </row>
    <row r="380">
      <c r="A380" s="46"/>
      <c r="B380" s="46"/>
      <c r="C380" s="46"/>
      <c r="D380" s="46"/>
      <c r="E380" s="46"/>
      <c r="F380" s="46"/>
      <c r="G380" s="46"/>
      <c r="H380" s="46"/>
      <c r="I380" s="46"/>
      <c r="J380" s="46"/>
      <c r="K380" s="46"/>
      <c r="L380" s="46"/>
      <c r="M380" s="46"/>
      <c r="N380" s="46"/>
      <c r="O380" s="46"/>
      <c r="P380" s="46"/>
      <c r="Q380" s="46"/>
      <c r="R380" s="46"/>
    </row>
    <row r="381">
      <c r="A381" s="46"/>
      <c r="B381" s="46"/>
      <c r="C381" s="46"/>
      <c r="D381" s="46"/>
      <c r="E381" s="46"/>
      <c r="F381" s="46"/>
      <c r="G381" s="46"/>
      <c r="H381" s="46"/>
      <c r="I381" s="46"/>
      <c r="J381" s="46"/>
      <c r="K381" s="46"/>
      <c r="L381" s="46"/>
      <c r="M381" s="46"/>
      <c r="N381" s="46"/>
      <c r="O381" s="46"/>
      <c r="P381" s="46"/>
      <c r="Q381" s="46"/>
      <c r="R381" s="46"/>
    </row>
    <row r="382">
      <c r="A382" s="46"/>
      <c r="B382" s="46"/>
      <c r="C382" s="46"/>
      <c r="D382" s="46"/>
      <c r="E382" s="46"/>
      <c r="F382" s="46"/>
      <c r="G382" s="46"/>
      <c r="H382" s="46"/>
      <c r="I382" s="46"/>
      <c r="J382" s="46"/>
      <c r="K382" s="46"/>
      <c r="L382" s="46"/>
      <c r="M382" s="46"/>
      <c r="N382" s="46"/>
      <c r="O382" s="46"/>
      <c r="P382" s="46"/>
      <c r="Q382" s="46"/>
      <c r="R382" s="46"/>
    </row>
    <row r="383">
      <c r="A383" s="46"/>
      <c r="B383" s="46"/>
      <c r="C383" s="46"/>
      <c r="D383" s="46"/>
      <c r="E383" s="46"/>
      <c r="F383" s="46"/>
      <c r="G383" s="46"/>
      <c r="H383" s="46"/>
      <c r="I383" s="46"/>
      <c r="J383" s="46"/>
      <c r="K383" s="46"/>
      <c r="L383" s="46"/>
      <c r="M383" s="46"/>
      <c r="N383" s="46"/>
      <c r="O383" s="46"/>
      <c r="P383" s="46"/>
      <c r="Q383" s="46"/>
      <c r="R383" s="46"/>
    </row>
    <row r="384">
      <c r="A384" s="46"/>
      <c r="B384" s="46"/>
      <c r="C384" s="46"/>
      <c r="D384" s="46"/>
      <c r="E384" s="46"/>
      <c r="F384" s="46"/>
      <c r="G384" s="46"/>
      <c r="H384" s="46"/>
      <c r="I384" s="46"/>
      <c r="J384" s="46"/>
      <c r="K384" s="46"/>
      <c r="L384" s="46"/>
      <c r="M384" s="46"/>
      <c r="N384" s="46"/>
      <c r="O384" s="46"/>
      <c r="P384" s="46"/>
      <c r="Q384" s="46"/>
      <c r="R384" s="46"/>
    </row>
    <row r="385">
      <c r="A385" s="46"/>
      <c r="B385" s="46"/>
      <c r="C385" s="46"/>
      <c r="D385" s="46"/>
      <c r="E385" s="46"/>
      <c r="F385" s="46"/>
      <c r="G385" s="46"/>
      <c r="H385" s="46"/>
      <c r="I385" s="46"/>
      <c r="J385" s="46"/>
      <c r="K385" s="46"/>
      <c r="L385" s="46"/>
      <c r="M385" s="46"/>
      <c r="N385" s="46"/>
      <c r="O385" s="46"/>
      <c r="P385" s="46"/>
      <c r="Q385" s="46"/>
      <c r="R385" s="46"/>
    </row>
    <row r="386">
      <c r="A386" s="46"/>
      <c r="B386" s="46"/>
      <c r="C386" s="46"/>
      <c r="D386" s="46"/>
      <c r="E386" s="46"/>
      <c r="F386" s="46"/>
      <c r="G386" s="46"/>
      <c r="H386" s="46"/>
      <c r="I386" s="46"/>
      <c r="J386" s="46"/>
      <c r="K386" s="46"/>
      <c r="L386" s="46"/>
      <c r="M386" s="46"/>
      <c r="N386" s="46"/>
      <c r="O386" s="46"/>
      <c r="P386" s="46"/>
      <c r="Q386" s="46"/>
      <c r="R386" s="46"/>
    </row>
    <row r="387">
      <c r="A387" s="46"/>
      <c r="B387" s="46"/>
      <c r="C387" s="46"/>
      <c r="D387" s="46"/>
      <c r="E387" s="46"/>
      <c r="F387" s="46"/>
      <c r="G387" s="46"/>
      <c r="H387" s="46"/>
      <c r="I387" s="46"/>
      <c r="J387" s="46"/>
      <c r="K387" s="46"/>
      <c r="L387" s="46"/>
      <c r="M387" s="46"/>
      <c r="N387" s="46"/>
      <c r="O387" s="46"/>
      <c r="P387" s="46"/>
      <c r="Q387" s="46"/>
      <c r="R387" s="46"/>
    </row>
    <row r="388">
      <c r="A388" s="46"/>
      <c r="B388" s="46"/>
      <c r="C388" s="46"/>
      <c r="D388" s="46"/>
      <c r="E388" s="46"/>
      <c r="F388" s="46"/>
      <c r="G388" s="46"/>
      <c r="H388" s="46"/>
      <c r="I388" s="46"/>
      <c r="J388" s="46"/>
      <c r="K388" s="46"/>
      <c r="L388" s="46"/>
      <c r="M388" s="46"/>
      <c r="N388" s="46"/>
      <c r="O388" s="46"/>
      <c r="P388" s="46"/>
      <c r="Q388" s="46"/>
      <c r="R388" s="46"/>
    </row>
    <row r="389">
      <c r="A389" s="46"/>
      <c r="B389" s="46"/>
      <c r="C389" s="46"/>
      <c r="D389" s="46"/>
      <c r="E389" s="46"/>
      <c r="F389" s="46"/>
      <c r="G389" s="46"/>
      <c r="H389" s="46"/>
      <c r="I389" s="46"/>
      <c r="J389" s="46"/>
      <c r="K389" s="46"/>
      <c r="L389" s="46"/>
      <c r="M389" s="46"/>
      <c r="N389" s="46"/>
      <c r="O389" s="46"/>
      <c r="P389" s="46"/>
      <c r="Q389" s="46"/>
      <c r="R389" s="46"/>
    </row>
    <row r="390">
      <c r="A390" s="46"/>
      <c r="B390" s="46"/>
      <c r="C390" s="46"/>
      <c r="D390" s="46"/>
      <c r="E390" s="46"/>
      <c r="F390" s="46"/>
      <c r="G390" s="46"/>
      <c r="H390" s="46"/>
      <c r="I390" s="46"/>
      <c r="J390" s="46"/>
      <c r="K390" s="46"/>
      <c r="L390" s="46"/>
      <c r="M390" s="46"/>
      <c r="N390" s="46"/>
      <c r="O390" s="46"/>
      <c r="P390" s="46"/>
      <c r="Q390" s="46"/>
      <c r="R390" s="46"/>
    </row>
    <row r="391">
      <c r="A391" s="46"/>
      <c r="B391" s="46"/>
      <c r="C391" s="46"/>
      <c r="D391" s="46"/>
      <c r="E391" s="46"/>
      <c r="F391" s="46"/>
      <c r="G391" s="46"/>
      <c r="H391" s="46"/>
      <c r="I391" s="46"/>
      <c r="J391" s="46"/>
      <c r="K391" s="46"/>
      <c r="L391" s="46"/>
      <c r="M391" s="46"/>
      <c r="N391" s="46"/>
      <c r="O391" s="46"/>
      <c r="P391" s="46"/>
      <c r="Q391" s="46"/>
      <c r="R391" s="46"/>
    </row>
    <row r="392">
      <c r="A392" s="46"/>
      <c r="B392" s="46"/>
      <c r="C392" s="46"/>
      <c r="D392" s="46"/>
      <c r="E392" s="46"/>
      <c r="F392" s="46"/>
      <c r="G392" s="46"/>
      <c r="H392" s="46"/>
      <c r="I392" s="46"/>
      <c r="J392" s="46"/>
      <c r="K392" s="46"/>
      <c r="L392" s="46"/>
      <c r="M392" s="46"/>
      <c r="N392" s="46"/>
      <c r="O392" s="46"/>
      <c r="P392" s="46"/>
      <c r="Q392" s="46"/>
      <c r="R392" s="46"/>
    </row>
    <row r="393">
      <c r="A393" s="46"/>
      <c r="B393" s="46"/>
      <c r="C393" s="46"/>
      <c r="D393" s="46"/>
      <c r="E393" s="46"/>
      <c r="F393" s="46"/>
      <c r="G393" s="46"/>
      <c r="H393" s="46"/>
      <c r="I393" s="46"/>
      <c r="J393" s="46"/>
      <c r="K393" s="46"/>
      <c r="L393" s="46"/>
      <c r="M393" s="46"/>
      <c r="N393" s="46"/>
      <c r="O393" s="46"/>
      <c r="P393" s="46"/>
      <c r="Q393" s="46"/>
      <c r="R393" s="46"/>
    </row>
    <row r="394">
      <c r="A394" s="46"/>
      <c r="B394" s="46"/>
      <c r="C394" s="46"/>
      <c r="D394" s="46"/>
      <c r="E394" s="46"/>
      <c r="F394" s="46"/>
      <c r="G394" s="46"/>
      <c r="H394" s="46"/>
      <c r="I394" s="46"/>
      <c r="J394" s="46"/>
      <c r="K394" s="46"/>
      <c r="L394" s="46"/>
      <c r="M394" s="46"/>
      <c r="N394" s="46"/>
      <c r="O394" s="46"/>
      <c r="P394" s="46"/>
      <c r="Q394" s="46"/>
      <c r="R394" s="46"/>
    </row>
    <row r="395">
      <c r="A395" s="46"/>
      <c r="B395" s="46"/>
      <c r="C395" s="46"/>
      <c r="D395" s="46"/>
      <c r="E395" s="46"/>
      <c r="F395" s="46"/>
      <c r="G395" s="46"/>
      <c r="H395" s="46"/>
      <c r="I395" s="46"/>
      <c r="J395" s="46"/>
      <c r="K395" s="46"/>
      <c r="L395" s="46"/>
      <c r="M395" s="46"/>
      <c r="N395" s="46"/>
      <c r="O395" s="46"/>
      <c r="P395" s="46"/>
      <c r="Q395" s="46"/>
      <c r="R395" s="46"/>
    </row>
    <row r="396">
      <c r="A396" s="46"/>
      <c r="B396" s="46"/>
      <c r="C396" s="46"/>
      <c r="D396" s="46"/>
      <c r="E396" s="46"/>
      <c r="F396" s="46"/>
      <c r="G396" s="46"/>
      <c r="H396" s="46"/>
      <c r="I396" s="46"/>
      <c r="J396" s="46"/>
      <c r="K396" s="46"/>
      <c r="L396" s="46"/>
      <c r="M396" s="46"/>
      <c r="N396" s="46"/>
      <c r="O396" s="46"/>
      <c r="P396" s="46"/>
      <c r="Q396" s="46"/>
      <c r="R396" s="46"/>
    </row>
    <row r="397">
      <c r="A397" s="46"/>
      <c r="B397" s="46"/>
      <c r="C397" s="46"/>
      <c r="D397" s="46"/>
      <c r="E397" s="46"/>
      <c r="F397" s="46"/>
      <c r="G397" s="46"/>
      <c r="H397" s="46"/>
      <c r="I397" s="46"/>
      <c r="J397" s="46"/>
      <c r="K397" s="46"/>
      <c r="L397" s="46"/>
      <c r="M397" s="46"/>
      <c r="N397" s="46"/>
      <c r="O397" s="46"/>
      <c r="P397" s="46"/>
      <c r="Q397" s="46"/>
      <c r="R397" s="46"/>
    </row>
    <row r="398">
      <c r="A398" s="46"/>
      <c r="B398" s="46"/>
      <c r="C398" s="46"/>
      <c r="D398" s="46"/>
      <c r="E398" s="46"/>
      <c r="F398" s="46"/>
      <c r="G398" s="46"/>
      <c r="H398" s="46"/>
      <c r="I398" s="46"/>
      <c r="J398" s="46"/>
      <c r="K398" s="46"/>
      <c r="L398" s="46"/>
      <c r="M398" s="46"/>
      <c r="N398" s="46"/>
      <c r="O398" s="46"/>
      <c r="P398" s="46"/>
      <c r="Q398" s="46"/>
      <c r="R398" s="46"/>
    </row>
    <row r="399">
      <c r="A399" s="46"/>
      <c r="B399" s="46"/>
      <c r="C399" s="46"/>
      <c r="D399" s="46"/>
      <c r="E399" s="46"/>
      <c r="F399" s="46"/>
      <c r="G399" s="46"/>
      <c r="H399" s="46"/>
      <c r="I399" s="46"/>
      <c r="J399" s="46"/>
      <c r="K399" s="46"/>
      <c r="L399" s="46"/>
      <c r="M399" s="46"/>
      <c r="N399" s="46"/>
      <c r="O399" s="46"/>
      <c r="P399" s="46"/>
      <c r="Q399" s="46"/>
      <c r="R399" s="46"/>
    </row>
    <row r="400">
      <c r="A400" s="46"/>
      <c r="B400" s="46"/>
      <c r="C400" s="46"/>
      <c r="D400" s="46"/>
      <c r="E400" s="46"/>
      <c r="F400" s="46"/>
      <c r="G400" s="46"/>
      <c r="H400" s="46"/>
      <c r="I400" s="46"/>
      <c r="J400" s="46"/>
      <c r="K400" s="46"/>
      <c r="L400" s="46"/>
      <c r="M400" s="46"/>
      <c r="N400" s="46"/>
      <c r="O400" s="46"/>
      <c r="P400" s="46"/>
      <c r="Q400" s="46"/>
      <c r="R400" s="46"/>
    </row>
    <row r="401">
      <c r="A401" s="46"/>
      <c r="B401" s="46"/>
      <c r="C401" s="46"/>
      <c r="D401" s="46"/>
      <c r="E401" s="46"/>
      <c r="F401" s="46"/>
      <c r="G401" s="46"/>
      <c r="H401" s="46"/>
      <c r="I401" s="46"/>
      <c r="J401" s="46"/>
      <c r="K401" s="46"/>
      <c r="L401" s="46"/>
      <c r="M401" s="46"/>
      <c r="N401" s="46"/>
      <c r="O401" s="46"/>
      <c r="P401" s="46"/>
      <c r="Q401" s="46"/>
      <c r="R401" s="46"/>
    </row>
    <row r="402">
      <c r="A402" s="46"/>
      <c r="B402" s="46"/>
      <c r="C402" s="46"/>
      <c r="D402" s="46"/>
      <c r="E402" s="46"/>
      <c r="F402" s="46"/>
      <c r="G402" s="46"/>
      <c r="H402" s="46"/>
      <c r="I402" s="46"/>
      <c r="J402" s="46"/>
      <c r="K402" s="46"/>
      <c r="L402" s="46"/>
      <c r="M402" s="46"/>
      <c r="N402" s="46"/>
      <c r="O402" s="46"/>
      <c r="P402" s="46"/>
      <c r="Q402" s="46"/>
      <c r="R402" s="46"/>
    </row>
    <row r="403">
      <c r="A403" s="46"/>
      <c r="B403" s="46"/>
      <c r="C403" s="46"/>
      <c r="D403" s="46"/>
      <c r="E403" s="46"/>
      <c r="F403" s="46"/>
      <c r="G403" s="46"/>
      <c r="H403" s="46"/>
      <c r="I403" s="46"/>
      <c r="J403" s="46"/>
      <c r="K403" s="46"/>
      <c r="L403" s="46"/>
      <c r="M403" s="46"/>
      <c r="N403" s="46"/>
      <c r="O403" s="46"/>
      <c r="P403" s="46"/>
      <c r="Q403" s="46"/>
      <c r="R403" s="46"/>
    </row>
    <row r="404">
      <c r="A404" s="46"/>
      <c r="B404" s="46"/>
      <c r="C404" s="46"/>
      <c r="D404" s="46"/>
      <c r="E404" s="46"/>
      <c r="F404" s="46"/>
      <c r="G404" s="46"/>
      <c r="H404" s="46"/>
      <c r="I404" s="46"/>
      <c r="J404" s="46"/>
      <c r="K404" s="46"/>
      <c r="L404" s="46"/>
      <c r="M404" s="46"/>
      <c r="N404" s="46"/>
      <c r="O404" s="46"/>
      <c r="P404" s="46"/>
      <c r="Q404" s="46"/>
      <c r="R404" s="46"/>
    </row>
    <row r="405">
      <c r="A405" s="46"/>
      <c r="B405" s="46"/>
      <c r="C405" s="46"/>
      <c r="D405" s="46"/>
      <c r="E405" s="46"/>
      <c r="F405" s="46"/>
      <c r="G405" s="46"/>
      <c r="H405" s="46"/>
      <c r="I405" s="46"/>
      <c r="J405" s="46"/>
      <c r="K405" s="46"/>
      <c r="L405" s="46"/>
      <c r="M405" s="46"/>
      <c r="N405" s="46"/>
      <c r="O405" s="46"/>
      <c r="P405" s="46"/>
      <c r="Q405" s="46"/>
      <c r="R405" s="46"/>
    </row>
    <row r="406">
      <c r="A406" s="46"/>
      <c r="B406" s="46"/>
      <c r="C406" s="46"/>
      <c r="D406" s="46"/>
      <c r="E406" s="46"/>
      <c r="F406" s="46"/>
      <c r="G406" s="46"/>
      <c r="H406" s="46"/>
      <c r="I406" s="46"/>
      <c r="J406" s="46"/>
      <c r="K406" s="46"/>
      <c r="L406" s="46"/>
      <c r="M406" s="46"/>
      <c r="N406" s="46"/>
      <c r="O406" s="46"/>
      <c r="P406" s="46"/>
      <c r="Q406" s="46"/>
      <c r="R406" s="46"/>
    </row>
    <row r="407">
      <c r="A407" s="46"/>
      <c r="B407" s="46"/>
      <c r="C407" s="46"/>
      <c r="D407" s="46"/>
      <c r="E407" s="46"/>
      <c r="F407" s="46"/>
      <c r="G407" s="46"/>
      <c r="H407" s="46"/>
      <c r="I407" s="46"/>
      <c r="J407" s="46"/>
      <c r="K407" s="46"/>
      <c r="L407" s="46"/>
      <c r="M407" s="46"/>
      <c r="N407" s="46"/>
      <c r="O407" s="46"/>
      <c r="P407" s="46"/>
      <c r="Q407" s="46"/>
      <c r="R407" s="46"/>
    </row>
    <row r="408">
      <c r="A408" s="46"/>
      <c r="B408" s="46"/>
      <c r="C408" s="46"/>
      <c r="D408" s="46"/>
      <c r="E408" s="46"/>
      <c r="F408" s="46"/>
      <c r="G408" s="46"/>
      <c r="H408" s="46"/>
      <c r="I408" s="46"/>
      <c r="J408" s="46"/>
      <c r="K408" s="46"/>
      <c r="L408" s="46"/>
      <c r="M408" s="46"/>
      <c r="N408" s="46"/>
      <c r="O408" s="46"/>
      <c r="P408" s="46"/>
      <c r="Q408" s="46"/>
      <c r="R408" s="46"/>
    </row>
    <row r="409">
      <c r="A409" s="46"/>
      <c r="B409" s="46"/>
      <c r="C409" s="46"/>
      <c r="D409" s="46"/>
      <c r="E409" s="46"/>
      <c r="F409" s="46"/>
      <c r="G409" s="46"/>
      <c r="H409" s="46"/>
      <c r="I409" s="46"/>
      <c r="J409" s="46"/>
      <c r="K409" s="46"/>
      <c r="L409" s="46"/>
      <c r="M409" s="46"/>
      <c r="N409" s="46"/>
      <c r="O409" s="46"/>
      <c r="P409" s="46"/>
      <c r="Q409" s="46"/>
      <c r="R409" s="46"/>
    </row>
    <row r="410">
      <c r="A410" s="46"/>
      <c r="B410" s="46"/>
      <c r="C410" s="46"/>
      <c r="D410" s="46"/>
      <c r="E410" s="46"/>
      <c r="F410" s="46"/>
      <c r="G410" s="46"/>
      <c r="H410" s="46"/>
      <c r="I410" s="46"/>
      <c r="J410" s="46"/>
      <c r="K410" s="46"/>
      <c r="L410" s="46"/>
      <c r="M410" s="46"/>
      <c r="N410" s="46"/>
      <c r="O410" s="46"/>
      <c r="P410" s="46"/>
      <c r="Q410" s="46"/>
      <c r="R410" s="46"/>
    </row>
    <row r="411">
      <c r="A411" s="46"/>
      <c r="B411" s="46"/>
      <c r="C411" s="46"/>
      <c r="D411" s="46"/>
      <c r="E411" s="46"/>
      <c r="F411" s="46"/>
      <c r="G411" s="46"/>
      <c r="H411" s="46"/>
      <c r="I411" s="46"/>
      <c r="J411" s="46"/>
      <c r="K411" s="46"/>
      <c r="L411" s="46"/>
      <c r="M411" s="46"/>
      <c r="N411" s="46"/>
      <c r="O411" s="46"/>
      <c r="P411" s="46"/>
      <c r="Q411" s="46"/>
      <c r="R411" s="46"/>
    </row>
    <row r="412">
      <c r="A412" s="46"/>
      <c r="B412" s="46"/>
      <c r="C412" s="46"/>
      <c r="D412" s="46"/>
      <c r="E412" s="46"/>
      <c r="F412" s="46"/>
      <c r="G412" s="46"/>
      <c r="H412" s="46"/>
      <c r="I412" s="46"/>
      <c r="J412" s="46"/>
      <c r="K412" s="46"/>
      <c r="L412" s="46"/>
      <c r="M412" s="46"/>
      <c r="N412" s="46"/>
      <c r="O412" s="46"/>
      <c r="P412" s="46"/>
      <c r="Q412" s="46"/>
      <c r="R412" s="46"/>
    </row>
    <row r="413">
      <c r="A413" s="46"/>
      <c r="B413" s="46"/>
      <c r="C413" s="46"/>
      <c r="D413" s="46"/>
      <c r="E413" s="46"/>
      <c r="F413" s="46"/>
      <c r="G413" s="46"/>
      <c r="H413" s="46"/>
      <c r="I413" s="46"/>
      <c r="J413" s="46"/>
      <c r="K413" s="46"/>
      <c r="L413" s="46"/>
      <c r="M413" s="46"/>
      <c r="N413" s="46"/>
      <c r="O413" s="46"/>
      <c r="P413" s="46"/>
      <c r="Q413" s="46"/>
      <c r="R413" s="46"/>
    </row>
    <row r="414">
      <c r="A414" s="46"/>
      <c r="B414" s="46"/>
      <c r="C414" s="46"/>
      <c r="D414" s="46"/>
      <c r="E414" s="46"/>
      <c r="F414" s="46"/>
      <c r="G414" s="46"/>
      <c r="H414" s="46"/>
      <c r="I414" s="46"/>
      <c r="J414" s="46"/>
      <c r="K414" s="46"/>
      <c r="L414" s="46"/>
      <c r="M414" s="46"/>
      <c r="N414" s="46"/>
      <c r="O414" s="46"/>
      <c r="P414" s="46"/>
      <c r="Q414" s="46"/>
      <c r="R414" s="46"/>
    </row>
    <row r="415">
      <c r="A415" s="46"/>
      <c r="B415" s="46"/>
      <c r="C415" s="46"/>
      <c r="D415" s="46"/>
      <c r="E415" s="46"/>
      <c r="F415" s="46"/>
      <c r="G415" s="46"/>
      <c r="H415" s="46"/>
      <c r="I415" s="46"/>
      <c r="J415" s="46"/>
      <c r="K415" s="46"/>
      <c r="L415" s="46"/>
      <c r="M415" s="46"/>
      <c r="N415" s="46"/>
      <c r="O415" s="46"/>
      <c r="P415" s="46"/>
      <c r="Q415" s="46"/>
      <c r="R415" s="46"/>
    </row>
    <row r="416">
      <c r="A416" s="46"/>
      <c r="B416" s="46"/>
      <c r="C416" s="46"/>
      <c r="D416" s="46"/>
      <c r="E416" s="46"/>
      <c r="F416" s="46"/>
      <c r="G416" s="46"/>
      <c r="H416" s="46"/>
      <c r="I416" s="46"/>
      <c r="J416" s="46"/>
      <c r="K416" s="46"/>
      <c r="L416" s="46"/>
      <c r="M416" s="46"/>
      <c r="N416" s="46"/>
      <c r="O416" s="46"/>
      <c r="P416" s="46"/>
      <c r="Q416" s="46"/>
      <c r="R416" s="46"/>
    </row>
    <row r="417">
      <c r="A417" s="46"/>
      <c r="B417" s="46"/>
      <c r="C417" s="46"/>
      <c r="D417" s="46"/>
      <c r="E417" s="46"/>
      <c r="F417" s="46"/>
      <c r="G417" s="46"/>
      <c r="H417" s="46"/>
      <c r="I417" s="46"/>
      <c r="J417" s="46"/>
      <c r="K417" s="46"/>
      <c r="L417" s="46"/>
      <c r="M417" s="46"/>
      <c r="N417" s="46"/>
      <c r="O417" s="46"/>
      <c r="P417" s="46"/>
      <c r="Q417" s="46"/>
      <c r="R417" s="46"/>
    </row>
    <row r="418">
      <c r="A418" s="46"/>
      <c r="B418" s="46"/>
      <c r="C418" s="46"/>
      <c r="D418" s="46"/>
      <c r="E418" s="46"/>
      <c r="F418" s="46"/>
      <c r="G418" s="46"/>
      <c r="H418" s="46"/>
      <c r="I418" s="46"/>
      <c r="J418" s="46"/>
      <c r="K418" s="46"/>
      <c r="L418" s="46"/>
      <c r="M418" s="46"/>
      <c r="N418" s="46"/>
      <c r="O418" s="46"/>
      <c r="P418" s="46"/>
      <c r="Q418" s="46"/>
      <c r="R418" s="46"/>
    </row>
    <row r="419">
      <c r="A419" s="46"/>
      <c r="B419" s="46"/>
      <c r="C419" s="46"/>
      <c r="D419" s="46"/>
      <c r="E419" s="46"/>
      <c r="F419" s="46"/>
      <c r="G419" s="46"/>
      <c r="H419" s="46"/>
      <c r="I419" s="46"/>
      <c r="J419" s="46"/>
      <c r="K419" s="46"/>
      <c r="L419" s="46"/>
      <c r="M419" s="46"/>
      <c r="N419" s="46"/>
      <c r="O419" s="46"/>
      <c r="P419" s="46"/>
      <c r="Q419" s="46"/>
      <c r="R419" s="46"/>
    </row>
    <row r="420">
      <c r="A420" s="46"/>
      <c r="B420" s="46"/>
      <c r="C420" s="46"/>
      <c r="D420" s="46"/>
      <c r="E420" s="46"/>
      <c r="F420" s="46"/>
      <c r="G420" s="46"/>
      <c r="H420" s="46"/>
      <c r="I420" s="46"/>
      <c r="J420" s="46"/>
      <c r="K420" s="46"/>
      <c r="L420" s="46"/>
      <c r="M420" s="46"/>
      <c r="N420" s="46"/>
      <c r="O420" s="46"/>
      <c r="P420" s="46"/>
      <c r="Q420" s="46"/>
      <c r="R420" s="46"/>
    </row>
    <row r="421">
      <c r="A421" s="46"/>
      <c r="B421" s="46"/>
      <c r="C421" s="46"/>
      <c r="D421" s="46"/>
      <c r="E421" s="46"/>
      <c r="F421" s="46"/>
      <c r="G421" s="46"/>
      <c r="H421" s="46"/>
      <c r="I421" s="46"/>
      <c r="J421" s="46"/>
      <c r="K421" s="46"/>
      <c r="L421" s="46"/>
      <c r="M421" s="46"/>
      <c r="N421" s="46"/>
      <c r="O421" s="46"/>
      <c r="P421" s="46"/>
      <c r="Q421" s="46"/>
      <c r="R421" s="46"/>
    </row>
    <row r="422">
      <c r="A422" s="46"/>
      <c r="B422" s="46"/>
      <c r="C422" s="46"/>
      <c r="D422" s="46"/>
      <c r="E422" s="46"/>
      <c r="F422" s="46"/>
      <c r="G422" s="46"/>
      <c r="H422" s="46"/>
      <c r="I422" s="46"/>
      <c r="J422" s="46"/>
      <c r="K422" s="46"/>
      <c r="L422" s="46"/>
      <c r="M422" s="46"/>
      <c r="N422" s="46"/>
      <c r="O422" s="46"/>
      <c r="P422" s="46"/>
      <c r="Q422" s="46"/>
      <c r="R422" s="46"/>
    </row>
    <row r="423">
      <c r="A423" s="46"/>
      <c r="B423" s="46"/>
      <c r="C423" s="46"/>
      <c r="D423" s="46"/>
      <c r="E423" s="46"/>
      <c r="F423" s="46"/>
      <c r="G423" s="46"/>
      <c r="H423" s="46"/>
      <c r="I423" s="46"/>
      <c r="J423" s="46"/>
      <c r="K423" s="46"/>
      <c r="L423" s="46"/>
      <c r="M423" s="46"/>
      <c r="N423" s="46"/>
      <c r="O423" s="46"/>
      <c r="P423" s="46"/>
      <c r="Q423" s="46"/>
      <c r="R423" s="46"/>
    </row>
    <row r="424">
      <c r="A424" s="46"/>
      <c r="B424" s="46"/>
      <c r="C424" s="46"/>
      <c r="D424" s="46"/>
      <c r="E424" s="46"/>
      <c r="F424" s="46"/>
      <c r="G424" s="46"/>
      <c r="H424" s="46"/>
      <c r="I424" s="46"/>
      <c r="J424" s="46"/>
      <c r="K424" s="46"/>
      <c r="L424" s="46"/>
      <c r="M424" s="46"/>
      <c r="N424" s="46"/>
      <c r="O424" s="46"/>
      <c r="P424" s="46"/>
      <c r="Q424" s="46"/>
      <c r="R424" s="46"/>
    </row>
    <row r="425">
      <c r="A425" s="46"/>
      <c r="B425" s="46"/>
      <c r="C425" s="46"/>
      <c r="D425" s="46"/>
      <c r="E425" s="46"/>
      <c r="F425" s="46"/>
      <c r="G425" s="46"/>
      <c r="H425" s="46"/>
      <c r="I425" s="46"/>
      <c r="J425" s="46"/>
      <c r="K425" s="46"/>
      <c r="L425" s="46"/>
      <c r="M425" s="46"/>
      <c r="N425" s="46"/>
      <c r="O425" s="46"/>
      <c r="P425" s="46"/>
      <c r="Q425" s="46"/>
      <c r="R425" s="46"/>
    </row>
    <row r="426">
      <c r="A426" s="46"/>
      <c r="B426" s="46"/>
      <c r="C426" s="46"/>
      <c r="D426" s="46"/>
      <c r="E426" s="46"/>
      <c r="F426" s="46"/>
      <c r="G426" s="46"/>
      <c r="H426" s="46"/>
      <c r="I426" s="46"/>
      <c r="J426" s="46"/>
      <c r="K426" s="46"/>
      <c r="L426" s="46"/>
      <c r="M426" s="46"/>
      <c r="N426" s="46"/>
      <c r="O426" s="46"/>
      <c r="P426" s="46"/>
      <c r="Q426" s="46"/>
      <c r="R426" s="46"/>
    </row>
    <row r="427">
      <c r="A427" s="46"/>
      <c r="B427" s="46"/>
      <c r="C427" s="46"/>
      <c r="D427" s="46"/>
      <c r="E427" s="46"/>
      <c r="F427" s="46"/>
      <c r="G427" s="46"/>
      <c r="H427" s="46"/>
      <c r="I427" s="46"/>
      <c r="J427" s="46"/>
      <c r="K427" s="46"/>
      <c r="L427" s="46"/>
      <c r="M427" s="46"/>
      <c r="N427" s="46"/>
      <c r="O427" s="46"/>
      <c r="P427" s="46"/>
      <c r="Q427" s="46"/>
      <c r="R427" s="46"/>
    </row>
    <row r="428">
      <c r="A428" s="46"/>
      <c r="B428" s="46"/>
      <c r="C428" s="46"/>
      <c r="D428" s="46"/>
      <c r="E428" s="46"/>
      <c r="F428" s="46"/>
      <c r="G428" s="46"/>
      <c r="H428" s="46"/>
      <c r="I428" s="46"/>
      <c r="J428" s="46"/>
      <c r="K428" s="46"/>
      <c r="L428" s="46"/>
      <c r="M428" s="46"/>
      <c r="N428" s="46"/>
      <c r="O428" s="46"/>
      <c r="P428" s="46"/>
      <c r="Q428" s="46"/>
      <c r="R428" s="46"/>
    </row>
    <row r="429">
      <c r="A429" s="46"/>
      <c r="B429" s="46"/>
      <c r="C429" s="46"/>
      <c r="D429" s="46"/>
      <c r="E429" s="46"/>
      <c r="F429" s="46"/>
      <c r="G429" s="46"/>
      <c r="H429" s="46"/>
      <c r="I429" s="46"/>
      <c r="J429" s="46"/>
      <c r="K429" s="46"/>
      <c r="L429" s="46"/>
      <c r="M429" s="46"/>
      <c r="N429" s="46"/>
      <c r="O429" s="46"/>
      <c r="P429" s="46"/>
      <c r="Q429" s="46"/>
      <c r="R429" s="46"/>
    </row>
    <row r="430">
      <c r="A430" s="46"/>
      <c r="B430" s="46"/>
      <c r="C430" s="46"/>
      <c r="D430" s="46"/>
      <c r="E430" s="46"/>
      <c r="F430" s="46"/>
      <c r="G430" s="46"/>
      <c r="H430" s="46"/>
      <c r="I430" s="46"/>
      <c r="J430" s="46"/>
      <c r="K430" s="46"/>
      <c r="L430" s="46"/>
      <c r="M430" s="46"/>
      <c r="N430" s="46"/>
      <c r="O430" s="46"/>
      <c r="P430" s="46"/>
      <c r="Q430" s="46"/>
      <c r="R430" s="46"/>
    </row>
    <row r="431">
      <c r="A431" s="46"/>
      <c r="B431" s="46"/>
      <c r="C431" s="46"/>
      <c r="D431" s="46"/>
      <c r="E431" s="46"/>
      <c r="F431" s="46"/>
      <c r="G431" s="46"/>
      <c r="H431" s="46"/>
      <c r="I431" s="46"/>
      <c r="J431" s="46"/>
      <c r="K431" s="46"/>
      <c r="L431" s="46"/>
      <c r="M431" s="46"/>
      <c r="N431" s="46"/>
      <c r="O431" s="46"/>
      <c r="P431" s="46"/>
      <c r="Q431" s="46"/>
      <c r="R431" s="46"/>
    </row>
    <row r="432">
      <c r="A432" s="46"/>
      <c r="B432" s="46"/>
      <c r="C432" s="46"/>
      <c r="D432" s="46"/>
      <c r="E432" s="46"/>
      <c r="F432" s="46"/>
      <c r="G432" s="46"/>
      <c r="H432" s="46"/>
      <c r="I432" s="46"/>
      <c r="J432" s="46"/>
      <c r="K432" s="46"/>
      <c r="L432" s="46"/>
      <c r="M432" s="46"/>
      <c r="N432" s="46"/>
      <c r="O432" s="46"/>
      <c r="P432" s="46"/>
      <c r="Q432" s="46"/>
      <c r="R432" s="46"/>
    </row>
    <row r="433">
      <c r="A433" s="46"/>
      <c r="B433" s="46"/>
      <c r="C433" s="46"/>
      <c r="D433" s="46"/>
      <c r="E433" s="46"/>
      <c r="F433" s="46"/>
      <c r="G433" s="46"/>
      <c r="H433" s="46"/>
      <c r="I433" s="46"/>
      <c r="J433" s="46"/>
      <c r="K433" s="46"/>
      <c r="L433" s="46"/>
      <c r="M433" s="46"/>
      <c r="N433" s="46"/>
      <c r="O433" s="46"/>
      <c r="P433" s="46"/>
      <c r="Q433" s="46"/>
      <c r="R433" s="46"/>
    </row>
    <row r="434">
      <c r="A434" s="46"/>
      <c r="B434" s="46"/>
      <c r="C434" s="46"/>
      <c r="D434" s="46"/>
      <c r="E434" s="46"/>
      <c r="F434" s="46"/>
      <c r="G434" s="46"/>
      <c r="H434" s="46"/>
      <c r="I434" s="46"/>
      <c r="J434" s="46"/>
      <c r="K434" s="46"/>
      <c r="L434" s="46"/>
      <c r="M434" s="46"/>
      <c r="N434" s="46"/>
      <c r="O434" s="46"/>
      <c r="P434" s="46"/>
      <c r="Q434" s="46"/>
      <c r="R434" s="46"/>
    </row>
    <row r="435">
      <c r="A435" s="46"/>
      <c r="B435" s="46"/>
      <c r="C435" s="46"/>
      <c r="D435" s="46"/>
      <c r="E435" s="46"/>
      <c r="F435" s="46"/>
      <c r="G435" s="46"/>
      <c r="H435" s="46"/>
      <c r="I435" s="46"/>
      <c r="J435" s="46"/>
      <c r="K435" s="46"/>
      <c r="L435" s="46"/>
      <c r="M435" s="46"/>
      <c r="N435" s="46"/>
      <c r="O435" s="46"/>
      <c r="P435" s="46"/>
      <c r="Q435" s="46"/>
      <c r="R435" s="46"/>
    </row>
    <row r="436">
      <c r="A436" s="46"/>
      <c r="B436" s="46"/>
      <c r="C436" s="46"/>
      <c r="D436" s="46"/>
      <c r="E436" s="46"/>
      <c r="F436" s="46"/>
      <c r="G436" s="46"/>
      <c r="H436" s="46"/>
      <c r="I436" s="46"/>
      <c r="J436" s="46"/>
      <c r="K436" s="46"/>
      <c r="L436" s="46"/>
      <c r="M436" s="46"/>
      <c r="N436" s="46"/>
      <c r="O436" s="46"/>
      <c r="P436" s="46"/>
      <c r="Q436" s="46"/>
      <c r="R436" s="46"/>
    </row>
    <row r="437">
      <c r="A437" s="46"/>
      <c r="B437" s="46"/>
      <c r="C437" s="46"/>
      <c r="D437" s="46"/>
      <c r="E437" s="46"/>
      <c r="F437" s="46"/>
      <c r="G437" s="46"/>
      <c r="H437" s="46"/>
      <c r="I437" s="46"/>
      <c r="J437" s="46"/>
      <c r="K437" s="46"/>
      <c r="L437" s="46"/>
      <c r="M437" s="46"/>
      <c r="N437" s="46"/>
      <c r="O437" s="46"/>
      <c r="P437" s="46"/>
      <c r="Q437" s="46"/>
      <c r="R437" s="46"/>
    </row>
    <row r="438">
      <c r="A438" s="46"/>
      <c r="B438" s="46"/>
      <c r="C438" s="46"/>
      <c r="D438" s="46"/>
      <c r="E438" s="46"/>
      <c r="F438" s="46"/>
      <c r="G438" s="46"/>
      <c r="H438" s="46"/>
      <c r="I438" s="46"/>
      <c r="J438" s="46"/>
      <c r="K438" s="46"/>
      <c r="L438" s="46"/>
      <c r="M438" s="46"/>
      <c r="N438" s="46"/>
      <c r="O438" s="46"/>
      <c r="P438" s="46"/>
      <c r="Q438" s="46"/>
      <c r="R438" s="46"/>
    </row>
    <row r="439">
      <c r="A439" s="46"/>
      <c r="B439" s="46"/>
      <c r="C439" s="46"/>
      <c r="D439" s="46"/>
      <c r="E439" s="46"/>
      <c r="F439" s="46"/>
      <c r="G439" s="46"/>
      <c r="H439" s="46"/>
      <c r="I439" s="46"/>
      <c r="J439" s="46"/>
      <c r="K439" s="46"/>
      <c r="L439" s="46"/>
      <c r="M439" s="46"/>
      <c r="N439" s="46"/>
      <c r="O439" s="46"/>
      <c r="P439" s="46"/>
      <c r="Q439" s="46"/>
      <c r="R439" s="46"/>
    </row>
    <row r="440">
      <c r="A440" s="46"/>
      <c r="B440" s="46"/>
      <c r="C440" s="46"/>
      <c r="D440" s="46"/>
      <c r="E440" s="46"/>
      <c r="F440" s="46"/>
      <c r="G440" s="46"/>
      <c r="H440" s="46"/>
      <c r="I440" s="46"/>
      <c r="J440" s="46"/>
      <c r="K440" s="46"/>
      <c r="L440" s="46"/>
      <c r="M440" s="46"/>
      <c r="N440" s="46"/>
      <c r="O440" s="46"/>
      <c r="P440" s="46"/>
      <c r="Q440" s="46"/>
      <c r="R440" s="46"/>
    </row>
    <row r="441">
      <c r="A441" s="46"/>
      <c r="B441" s="46"/>
      <c r="C441" s="46"/>
      <c r="D441" s="46"/>
      <c r="E441" s="46"/>
      <c r="F441" s="46"/>
      <c r="G441" s="46"/>
      <c r="H441" s="46"/>
      <c r="I441" s="46"/>
      <c r="J441" s="46"/>
      <c r="K441" s="46"/>
      <c r="L441" s="46"/>
      <c r="M441" s="46"/>
      <c r="N441" s="46"/>
      <c r="O441" s="46"/>
      <c r="P441" s="46"/>
      <c r="Q441" s="46"/>
      <c r="R441" s="46"/>
    </row>
    <row r="442">
      <c r="A442" s="46"/>
      <c r="B442" s="46"/>
      <c r="C442" s="46"/>
      <c r="D442" s="46"/>
      <c r="E442" s="46"/>
      <c r="F442" s="46"/>
      <c r="G442" s="46"/>
      <c r="H442" s="46"/>
      <c r="I442" s="46"/>
      <c r="J442" s="46"/>
      <c r="K442" s="46"/>
      <c r="L442" s="46"/>
      <c r="M442" s="46"/>
      <c r="N442" s="46"/>
      <c r="O442" s="46"/>
      <c r="P442" s="46"/>
      <c r="Q442" s="46"/>
      <c r="R442" s="46"/>
    </row>
    <row r="443">
      <c r="A443" s="46"/>
      <c r="B443" s="46"/>
      <c r="C443" s="46"/>
      <c r="D443" s="46"/>
      <c r="E443" s="46"/>
      <c r="F443" s="46"/>
      <c r="G443" s="46"/>
      <c r="H443" s="46"/>
      <c r="I443" s="46"/>
      <c r="J443" s="46"/>
      <c r="K443" s="46"/>
      <c r="L443" s="46"/>
      <c r="M443" s="46"/>
      <c r="N443" s="46"/>
      <c r="O443" s="46"/>
      <c r="P443" s="46"/>
      <c r="Q443" s="46"/>
      <c r="R443" s="46"/>
    </row>
    <row r="444">
      <c r="A444" s="46"/>
      <c r="B444" s="46"/>
      <c r="C444" s="46"/>
      <c r="D444" s="46"/>
      <c r="E444" s="46"/>
      <c r="F444" s="46"/>
      <c r="G444" s="46"/>
      <c r="H444" s="46"/>
      <c r="I444" s="46"/>
      <c r="J444" s="46"/>
      <c r="K444" s="46"/>
      <c r="L444" s="46"/>
      <c r="M444" s="46"/>
      <c r="N444" s="46"/>
      <c r="O444" s="46"/>
      <c r="P444" s="46"/>
      <c r="Q444" s="46"/>
      <c r="R444" s="46"/>
    </row>
    <row r="445">
      <c r="A445" s="46"/>
      <c r="B445" s="46"/>
      <c r="C445" s="46"/>
      <c r="D445" s="46"/>
      <c r="E445" s="46"/>
      <c r="F445" s="46"/>
      <c r="G445" s="46"/>
      <c r="H445" s="46"/>
      <c r="I445" s="46"/>
      <c r="J445" s="46"/>
      <c r="K445" s="46"/>
      <c r="L445" s="46"/>
      <c r="M445" s="46"/>
      <c r="N445" s="46"/>
      <c r="O445" s="46"/>
      <c r="P445" s="46"/>
      <c r="Q445" s="46"/>
      <c r="R445" s="46"/>
    </row>
    <row r="446">
      <c r="A446" s="46"/>
      <c r="B446" s="46"/>
      <c r="C446" s="46"/>
      <c r="D446" s="46"/>
      <c r="E446" s="46"/>
      <c r="F446" s="46"/>
      <c r="G446" s="46"/>
      <c r="H446" s="46"/>
      <c r="I446" s="46"/>
      <c r="J446" s="46"/>
      <c r="K446" s="46"/>
      <c r="L446" s="46"/>
      <c r="M446" s="46"/>
      <c r="N446" s="46"/>
      <c r="O446" s="46"/>
      <c r="P446" s="46"/>
      <c r="Q446" s="46"/>
      <c r="R446" s="46"/>
    </row>
    <row r="447">
      <c r="A447" s="46"/>
      <c r="B447" s="46"/>
      <c r="C447" s="46"/>
      <c r="D447" s="46"/>
      <c r="E447" s="46"/>
      <c r="F447" s="46"/>
      <c r="G447" s="46"/>
      <c r="H447" s="46"/>
      <c r="I447" s="46"/>
      <c r="J447" s="46"/>
      <c r="K447" s="46"/>
      <c r="L447" s="46"/>
      <c r="M447" s="46"/>
      <c r="N447" s="46"/>
      <c r="O447" s="46"/>
      <c r="P447" s="46"/>
      <c r="Q447" s="46"/>
      <c r="R447" s="46"/>
    </row>
    <row r="448">
      <c r="A448" s="46"/>
      <c r="B448" s="46"/>
      <c r="C448" s="46"/>
      <c r="D448" s="46"/>
      <c r="E448" s="46"/>
      <c r="F448" s="46"/>
      <c r="G448" s="46"/>
      <c r="H448" s="46"/>
      <c r="I448" s="46"/>
      <c r="J448" s="46"/>
      <c r="K448" s="46"/>
      <c r="L448" s="46"/>
      <c r="M448" s="46"/>
      <c r="N448" s="46"/>
      <c r="O448" s="46"/>
      <c r="P448" s="46"/>
      <c r="Q448" s="46"/>
      <c r="R448" s="46"/>
    </row>
    <row r="449">
      <c r="A449" s="46"/>
      <c r="B449" s="46"/>
      <c r="C449" s="46"/>
      <c r="D449" s="46"/>
      <c r="E449" s="46"/>
      <c r="F449" s="46"/>
      <c r="G449" s="46"/>
      <c r="H449" s="46"/>
      <c r="I449" s="46"/>
      <c r="J449" s="46"/>
      <c r="K449" s="46"/>
      <c r="L449" s="46"/>
      <c r="M449" s="46"/>
      <c r="N449" s="46"/>
      <c r="O449" s="46"/>
      <c r="P449" s="46"/>
      <c r="Q449" s="46"/>
      <c r="R449" s="46"/>
    </row>
    <row r="450">
      <c r="A450" s="46"/>
      <c r="B450" s="46"/>
      <c r="C450" s="46"/>
      <c r="D450" s="46"/>
      <c r="E450" s="46"/>
      <c r="F450" s="46"/>
      <c r="G450" s="46"/>
      <c r="H450" s="46"/>
      <c r="I450" s="46"/>
      <c r="J450" s="46"/>
      <c r="K450" s="46"/>
      <c r="L450" s="46"/>
      <c r="M450" s="46"/>
      <c r="N450" s="46"/>
      <c r="O450" s="46"/>
      <c r="P450" s="46"/>
      <c r="Q450" s="46"/>
      <c r="R450" s="46"/>
    </row>
    <row r="451">
      <c r="A451" s="46"/>
      <c r="B451" s="46"/>
      <c r="C451" s="46"/>
      <c r="D451" s="46"/>
      <c r="E451" s="46"/>
      <c r="F451" s="46"/>
      <c r="G451" s="46"/>
      <c r="H451" s="46"/>
      <c r="I451" s="46"/>
      <c r="J451" s="46"/>
      <c r="K451" s="46"/>
      <c r="L451" s="46"/>
      <c r="M451" s="46"/>
      <c r="N451" s="46"/>
      <c r="O451" s="46"/>
      <c r="P451" s="46"/>
      <c r="Q451" s="46"/>
      <c r="R451" s="46"/>
    </row>
    <row r="452">
      <c r="A452" s="46"/>
      <c r="B452" s="46"/>
      <c r="C452" s="46"/>
      <c r="D452" s="46"/>
      <c r="E452" s="46"/>
      <c r="F452" s="46"/>
      <c r="G452" s="46"/>
      <c r="H452" s="46"/>
      <c r="I452" s="46"/>
      <c r="J452" s="46"/>
      <c r="K452" s="46"/>
      <c r="L452" s="46"/>
      <c r="M452" s="46"/>
      <c r="N452" s="46"/>
      <c r="O452" s="46"/>
      <c r="P452" s="46"/>
      <c r="Q452" s="46"/>
      <c r="R452" s="46"/>
    </row>
    <row r="453">
      <c r="A453" s="46"/>
      <c r="B453" s="46"/>
      <c r="C453" s="46"/>
      <c r="D453" s="46"/>
      <c r="E453" s="46"/>
      <c r="F453" s="46"/>
      <c r="G453" s="46"/>
      <c r="H453" s="46"/>
      <c r="I453" s="46"/>
      <c r="J453" s="46"/>
      <c r="K453" s="46"/>
      <c r="L453" s="46"/>
      <c r="M453" s="46"/>
      <c r="N453" s="46"/>
      <c r="O453" s="46"/>
      <c r="P453" s="46"/>
      <c r="Q453" s="46"/>
      <c r="R453" s="46"/>
    </row>
    <row r="454">
      <c r="A454" s="46"/>
      <c r="B454" s="46"/>
      <c r="C454" s="46"/>
      <c r="D454" s="46"/>
      <c r="E454" s="46"/>
      <c r="F454" s="46"/>
      <c r="G454" s="46"/>
      <c r="H454" s="46"/>
      <c r="I454" s="46"/>
      <c r="J454" s="46"/>
      <c r="K454" s="46"/>
      <c r="L454" s="46"/>
      <c r="M454" s="46"/>
      <c r="N454" s="46"/>
      <c r="O454" s="46"/>
      <c r="P454" s="46"/>
      <c r="Q454" s="46"/>
      <c r="R454" s="46"/>
    </row>
    <row r="455">
      <c r="A455" s="46"/>
      <c r="B455" s="46"/>
      <c r="C455" s="46"/>
      <c r="D455" s="46"/>
      <c r="E455" s="46"/>
      <c r="F455" s="46"/>
      <c r="G455" s="46"/>
      <c r="H455" s="46"/>
      <c r="I455" s="46"/>
      <c r="J455" s="46"/>
      <c r="K455" s="46"/>
      <c r="L455" s="46"/>
      <c r="M455" s="46"/>
      <c r="N455" s="46"/>
      <c r="O455" s="46"/>
      <c r="P455" s="46"/>
      <c r="Q455" s="46"/>
      <c r="R455" s="46"/>
    </row>
    <row r="456">
      <c r="A456" s="46"/>
      <c r="B456" s="46"/>
      <c r="C456" s="46"/>
      <c r="D456" s="46"/>
      <c r="E456" s="46"/>
      <c r="F456" s="46"/>
      <c r="G456" s="46"/>
      <c r="H456" s="46"/>
      <c r="I456" s="46"/>
      <c r="J456" s="46"/>
      <c r="K456" s="46"/>
      <c r="L456" s="46"/>
      <c r="M456" s="46"/>
      <c r="N456" s="46"/>
      <c r="O456" s="46"/>
      <c r="P456" s="46"/>
      <c r="Q456" s="46"/>
      <c r="R456" s="46"/>
    </row>
    <row r="457">
      <c r="A457" s="46"/>
      <c r="B457" s="46"/>
      <c r="C457" s="46"/>
      <c r="D457" s="46"/>
      <c r="E457" s="46"/>
      <c r="F457" s="46"/>
      <c r="G457" s="46"/>
      <c r="H457" s="46"/>
      <c r="I457" s="46"/>
      <c r="J457" s="46"/>
      <c r="K457" s="46"/>
      <c r="L457" s="46"/>
      <c r="M457" s="46"/>
      <c r="N457" s="46"/>
      <c r="O457" s="46"/>
      <c r="P457" s="46"/>
      <c r="Q457" s="46"/>
      <c r="R457" s="46"/>
    </row>
    <row r="458">
      <c r="A458" s="46"/>
      <c r="B458" s="46"/>
      <c r="C458" s="46"/>
      <c r="D458" s="46"/>
      <c r="E458" s="46"/>
      <c r="F458" s="46"/>
      <c r="G458" s="46"/>
      <c r="H458" s="46"/>
      <c r="I458" s="46"/>
      <c r="J458" s="46"/>
      <c r="K458" s="46"/>
      <c r="L458" s="46"/>
      <c r="M458" s="46"/>
      <c r="N458" s="46"/>
      <c r="O458" s="46"/>
      <c r="P458" s="46"/>
      <c r="Q458" s="46"/>
      <c r="R458" s="46"/>
    </row>
    <row r="459">
      <c r="A459" s="46"/>
      <c r="B459" s="46"/>
      <c r="C459" s="46"/>
      <c r="D459" s="46"/>
      <c r="E459" s="46"/>
      <c r="F459" s="46"/>
      <c r="G459" s="46"/>
      <c r="H459" s="46"/>
      <c r="I459" s="46"/>
      <c r="J459" s="46"/>
      <c r="K459" s="46"/>
      <c r="L459" s="46"/>
      <c r="M459" s="46"/>
      <c r="N459" s="46"/>
      <c r="O459" s="46"/>
      <c r="P459" s="46"/>
      <c r="Q459" s="46"/>
      <c r="R459" s="46"/>
    </row>
    <row r="460">
      <c r="A460" s="46"/>
      <c r="B460" s="46"/>
      <c r="C460" s="46"/>
      <c r="D460" s="46"/>
      <c r="E460" s="46"/>
      <c r="F460" s="46"/>
      <c r="G460" s="46"/>
      <c r="H460" s="46"/>
      <c r="I460" s="46"/>
      <c r="J460" s="46"/>
      <c r="K460" s="46"/>
      <c r="L460" s="46"/>
      <c r="M460" s="46"/>
      <c r="N460" s="46"/>
      <c r="O460" s="46"/>
      <c r="P460" s="46"/>
      <c r="Q460" s="46"/>
      <c r="R460" s="46"/>
    </row>
    <row r="461">
      <c r="A461" s="46"/>
      <c r="B461" s="46"/>
      <c r="C461" s="46"/>
      <c r="D461" s="46"/>
      <c r="E461" s="46"/>
      <c r="F461" s="46"/>
      <c r="G461" s="46"/>
      <c r="H461" s="46"/>
      <c r="I461" s="46"/>
      <c r="J461" s="46"/>
      <c r="K461" s="46"/>
      <c r="L461" s="46"/>
      <c r="M461" s="46"/>
      <c r="N461" s="46"/>
      <c r="O461" s="46"/>
      <c r="P461" s="46"/>
      <c r="Q461" s="46"/>
      <c r="R461" s="46"/>
    </row>
    <row r="462">
      <c r="A462" s="46"/>
      <c r="B462" s="46"/>
      <c r="C462" s="46"/>
      <c r="D462" s="46"/>
      <c r="E462" s="46"/>
      <c r="F462" s="46"/>
      <c r="G462" s="46"/>
      <c r="H462" s="46"/>
      <c r="I462" s="46"/>
      <c r="J462" s="46"/>
      <c r="K462" s="46"/>
      <c r="L462" s="46"/>
      <c r="M462" s="46"/>
      <c r="N462" s="46"/>
      <c r="O462" s="46"/>
      <c r="P462" s="46"/>
      <c r="Q462" s="46"/>
      <c r="R462" s="46"/>
    </row>
    <row r="463">
      <c r="A463" s="46"/>
      <c r="B463" s="46"/>
      <c r="C463" s="46"/>
      <c r="D463" s="46"/>
      <c r="E463" s="46"/>
      <c r="F463" s="46"/>
      <c r="G463" s="46"/>
      <c r="H463" s="46"/>
      <c r="I463" s="46"/>
      <c r="J463" s="46"/>
      <c r="K463" s="46"/>
      <c r="L463" s="46"/>
      <c r="M463" s="46"/>
      <c r="N463" s="46"/>
      <c r="O463" s="46"/>
      <c r="P463" s="46"/>
      <c r="Q463" s="46"/>
      <c r="R463" s="46"/>
    </row>
    <row r="464">
      <c r="A464" s="46"/>
      <c r="B464" s="46"/>
      <c r="C464" s="46"/>
      <c r="D464" s="46"/>
      <c r="E464" s="46"/>
      <c r="F464" s="46"/>
      <c r="G464" s="46"/>
      <c r="H464" s="46"/>
      <c r="I464" s="46"/>
      <c r="J464" s="46"/>
      <c r="K464" s="46"/>
      <c r="L464" s="46"/>
      <c r="M464" s="46"/>
      <c r="N464" s="46"/>
      <c r="O464" s="46"/>
      <c r="P464" s="46"/>
      <c r="Q464" s="46"/>
      <c r="R464" s="46"/>
    </row>
    <row r="465">
      <c r="A465" s="46"/>
      <c r="B465" s="46"/>
      <c r="C465" s="46"/>
      <c r="D465" s="46"/>
      <c r="E465" s="46"/>
      <c r="F465" s="46"/>
      <c r="G465" s="46"/>
      <c r="H465" s="46"/>
      <c r="I465" s="46"/>
      <c r="J465" s="46"/>
      <c r="K465" s="46"/>
      <c r="L465" s="46"/>
      <c r="M465" s="46"/>
      <c r="N465" s="46"/>
      <c r="O465" s="46"/>
      <c r="P465" s="46"/>
      <c r="Q465" s="46"/>
      <c r="R465" s="46"/>
    </row>
    <row r="466">
      <c r="A466" s="46"/>
      <c r="B466" s="46"/>
      <c r="C466" s="46"/>
      <c r="D466" s="46"/>
      <c r="E466" s="46"/>
      <c r="F466" s="46"/>
      <c r="G466" s="46"/>
      <c r="H466" s="46"/>
      <c r="I466" s="46"/>
      <c r="J466" s="46"/>
      <c r="K466" s="46"/>
      <c r="L466" s="46"/>
      <c r="M466" s="46"/>
      <c r="N466" s="46"/>
      <c r="O466" s="46"/>
      <c r="P466" s="46"/>
      <c r="Q466" s="46"/>
      <c r="R466" s="46"/>
    </row>
    <row r="467">
      <c r="A467" s="46"/>
      <c r="B467" s="46"/>
      <c r="C467" s="46"/>
      <c r="D467" s="46"/>
      <c r="E467" s="46"/>
      <c r="F467" s="46"/>
      <c r="G467" s="46"/>
      <c r="H467" s="46"/>
      <c r="I467" s="46"/>
      <c r="J467" s="46"/>
      <c r="K467" s="46"/>
      <c r="L467" s="46"/>
      <c r="M467" s="46"/>
      <c r="N467" s="46"/>
      <c r="O467" s="46"/>
      <c r="P467" s="46"/>
      <c r="Q467" s="46"/>
      <c r="R467" s="46"/>
    </row>
    <row r="468">
      <c r="A468" s="46"/>
      <c r="B468" s="46"/>
      <c r="C468" s="46"/>
      <c r="D468" s="46"/>
      <c r="E468" s="46"/>
      <c r="F468" s="46"/>
      <c r="G468" s="46"/>
      <c r="H468" s="46"/>
      <c r="I468" s="46"/>
      <c r="J468" s="46"/>
      <c r="K468" s="46"/>
      <c r="L468" s="46"/>
      <c r="M468" s="46"/>
      <c r="N468" s="46"/>
      <c r="O468" s="46"/>
      <c r="P468" s="46"/>
      <c r="Q468" s="46"/>
      <c r="R468" s="46"/>
    </row>
    <row r="469">
      <c r="A469" s="46"/>
      <c r="B469" s="46"/>
      <c r="C469" s="46"/>
      <c r="D469" s="46"/>
      <c r="E469" s="46"/>
      <c r="F469" s="46"/>
      <c r="G469" s="46"/>
      <c r="H469" s="46"/>
      <c r="I469" s="46"/>
      <c r="J469" s="46"/>
      <c r="K469" s="46"/>
      <c r="L469" s="46"/>
      <c r="M469" s="46"/>
      <c r="N469" s="46"/>
      <c r="O469" s="46"/>
      <c r="P469" s="46"/>
      <c r="Q469" s="46"/>
      <c r="R469" s="46"/>
    </row>
    <row r="470">
      <c r="A470" s="46"/>
      <c r="B470" s="46"/>
      <c r="C470" s="46"/>
      <c r="D470" s="46"/>
      <c r="E470" s="46"/>
      <c r="F470" s="46"/>
      <c r="G470" s="46"/>
      <c r="H470" s="46"/>
      <c r="I470" s="46"/>
      <c r="J470" s="46"/>
      <c r="K470" s="46"/>
      <c r="L470" s="46"/>
      <c r="M470" s="46"/>
      <c r="N470" s="46"/>
      <c r="O470" s="46"/>
      <c r="P470" s="46"/>
      <c r="Q470" s="46"/>
      <c r="R470" s="46"/>
    </row>
    <row r="471">
      <c r="A471" s="46"/>
      <c r="B471" s="46"/>
      <c r="C471" s="46"/>
      <c r="D471" s="46"/>
      <c r="E471" s="46"/>
      <c r="F471" s="46"/>
      <c r="G471" s="46"/>
      <c r="H471" s="46"/>
      <c r="I471" s="46"/>
      <c r="J471" s="46"/>
      <c r="K471" s="46"/>
      <c r="L471" s="46"/>
      <c r="M471" s="46"/>
      <c r="N471" s="46"/>
      <c r="O471" s="46"/>
      <c r="P471" s="46"/>
      <c r="Q471" s="46"/>
      <c r="R471" s="46"/>
    </row>
    <row r="472">
      <c r="A472" s="46"/>
      <c r="B472" s="46"/>
      <c r="C472" s="46"/>
      <c r="D472" s="46"/>
      <c r="E472" s="46"/>
      <c r="F472" s="46"/>
      <c r="G472" s="46"/>
      <c r="H472" s="46"/>
      <c r="I472" s="46"/>
      <c r="J472" s="46"/>
      <c r="K472" s="46"/>
      <c r="L472" s="46"/>
      <c r="M472" s="46"/>
      <c r="N472" s="46"/>
      <c r="O472" s="46"/>
      <c r="P472" s="46"/>
      <c r="Q472" s="46"/>
      <c r="R472" s="46"/>
    </row>
    <row r="473">
      <c r="A473" s="46"/>
      <c r="B473" s="46"/>
      <c r="C473" s="46"/>
      <c r="D473" s="46"/>
      <c r="E473" s="46"/>
      <c r="F473" s="46"/>
      <c r="G473" s="46"/>
      <c r="H473" s="46"/>
      <c r="I473" s="46"/>
      <c r="J473" s="46"/>
      <c r="K473" s="46"/>
      <c r="L473" s="46"/>
      <c r="M473" s="46"/>
      <c r="N473" s="46"/>
      <c r="O473" s="46"/>
      <c r="P473" s="46"/>
      <c r="Q473" s="46"/>
      <c r="R473" s="46"/>
    </row>
    <row r="474">
      <c r="A474" s="46"/>
      <c r="B474" s="46"/>
      <c r="C474" s="46"/>
      <c r="D474" s="46"/>
      <c r="E474" s="46"/>
      <c r="F474" s="46"/>
      <c r="G474" s="46"/>
      <c r="H474" s="46"/>
      <c r="I474" s="46"/>
      <c r="J474" s="46"/>
      <c r="K474" s="46"/>
      <c r="L474" s="46"/>
      <c r="M474" s="46"/>
      <c r="N474" s="46"/>
      <c r="O474" s="46"/>
      <c r="P474" s="46"/>
      <c r="Q474" s="46"/>
      <c r="R474" s="46"/>
    </row>
    <row r="475">
      <c r="A475" s="46"/>
      <c r="B475" s="46"/>
      <c r="C475" s="46"/>
      <c r="D475" s="46"/>
      <c r="E475" s="46"/>
      <c r="F475" s="46"/>
      <c r="G475" s="46"/>
      <c r="H475" s="46"/>
      <c r="I475" s="46"/>
      <c r="J475" s="46"/>
      <c r="K475" s="46"/>
      <c r="L475" s="46"/>
      <c r="M475" s="46"/>
      <c r="N475" s="46"/>
      <c r="O475" s="46"/>
      <c r="P475" s="46"/>
      <c r="Q475" s="46"/>
      <c r="R475" s="46"/>
    </row>
    <row r="476">
      <c r="A476" s="46"/>
      <c r="B476" s="46"/>
      <c r="C476" s="46"/>
      <c r="D476" s="46"/>
      <c r="E476" s="46"/>
      <c r="F476" s="46"/>
      <c r="G476" s="46"/>
      <c r="H476" s="46"/>
      <c r="I476" s="46"/>
      <c r="J476" s="46"/>
      <c r="K476" s="46"/>
      <c r="L476" s="46"/>
      <c r="M476" s="46"/>
      <c r="N476" s="46"/>
      <c r="O476" s="46"/>
      <c r="P476" s="46"/>
      <c r="Q476" s="46"/>
      <c r="R476" s="46"/>
    </row>
    <row r="477">
      <c r="A477" s="46"/>
      <c r="B477" s="46"/>
      <c r="C477" s="46"/>
      <c r="D477" s="46"/>
      <c r="E477" s="46"/>
      <c r="F477" s="46"/>
      <c r="G477" s="46"/>
      <c r="H477" s="46"/>
      <c r="I477" s="46"/>
      <c r="J477" s="46"/>
      <c r="K477" s="46"/>
      <c r="L477" s="46"/>
      <c r="M477" s="46"/>
      <c r="N477" s="46"/>
      <c r="O477" s="46"/>
      <c r="P477" s="46"/>
      <c r="Q477" s="46"/>
      <c r="R477" s="46"/>
    </row>
    <row r="478">
      <c r="A478" s="46"/>
      <c r="B478" s="46"/>
      <c r="C478" s="46"/>
      <c r="D478" s="46"/>
      <c r="E478" s="46"/>
      <c r="F478" s="46"/>
      <c r="G478" s="46"/>
      <c r="H478" s="46"/>
      <c r="I478" s="46"/>
      <c r="J478" s="46"/>
      <c r="K478" s="46"/>
      <c r="L478" s="46"/>
      <c r="M478" s="46"/>
      <c r="N478" s="46"/>
      <c r="O478" s="46"/>
      <c r="P478" s="46"/>
      <c r="Q478" s="46"/>
      <c r="R478" s="46"/>
    </row>
    <row r="479">
      <c r="A479" s="46"/>
      <c r="B479" s="46"/>
      <c r="C479" s="46"/>
      <c r="D479" s="46"/>
      <c r="E479" s="46"/>
      <c r="F479" s="46"/>
      <c r="G479" s="46"/>
      <c r="H479" s="46"/>
      <c r="I479" s="46"/>
      <c r="J479" s="46"/>
      <c r="K479" s="46"/>
      <c r="L479" s="46"/>
      <c r="M479" s="46"/>
      <c r="N479" s="46"/>
      <c r="O479" s="46"/>
      <c r="P479" s="46"/>
      <c r="Q479" s="46"/>
      <c r="R479" s="46"/>
    </row>
    <row r="480">
      <c r="A480" s="46"/>
      <c r="B480" s="46"/>
      <c r="C480" s="46"/>
      <c r="D480" s="46"/>
      <c r="E480" s="46"/>
      <c r="F480" s="46"/>
      <c r="G480" s="46"/>
      <c r="H480" s="46"/>
      <c r="I480" s="46"/>
      <c r="J480" s="46"/>
      <c r="K480" s="46"/>
      <c r="L480" s="46"/>
      <c r="M480" s="46"/>
      <c r="N480" s="46"/>
      <c r="O480" s="46"/>
      <c r="P480" s="46"/>
      <c r="Q480" s="46"/>
      <c r="R480" s="46"/>
    </row>
    <row r="481">
      <c r="A481" s="46"/>
      <c r="B481" s="46"/>
      <c r="C481" s="46"/>
      <c r="D481" s="46"/>
      <c r="E481" s="46"/>
      <c r="F481" s="46"/>
      <c r="G481" s="46"/>
      <c r="H481" s="46"/>
      <c r="I481" s="46"/>
      <c r="J481" s="46"/>
      <c r="K481" s="46"/>
      <c r="L481" s="46"/>
      <c r="M481" s="46"/>
      <c r="N481" s="46"/>
      <c r="O481" s="46"/>
      <c r="P481" s="46"/>
      <c r="Q481" s="46"/>
      <c r="R481" s="46"/>
    </row>
    <row r="482">
      <c r="A482" s="46"/>
      <c r="B482" s="46"/>
      <c r="C482" s="46"/>
      <c r="D482" s="46"/>
      <c r="E482" s="46"/>
      <c r="F482" s="46"/>
      <c r="G482" s="46"/>
      <c r="H482" s="46"/>
      <c r="I482" s="46"/>
      <c r="J482" s="46"/>
      <c r="K482" s="46"/>
      <c r="L482" s="46"/>
      <c r="M482" s="46"/>
      <c r="N482" s="46"/>
      <c r="O482" s="46"/>
      <c r="P482" s="46"/>
      <c r="Q482" s="46"/>
      <c r="R482" s="46"/>
    </row>
    <row r="483">
      <c r="A483" s="46"/>
      <c r="B483" s="46"/>
      <c r="C483" s="46"/>
      <c r="D483" s="46"/>
      <c r="E483" s="46"/>
      <c r="F483" s="46"/>
      <c r="G483" s="46"/>
      <c r="H483" s="46"/>
      <c r="I483" s="46"/>
      <c r="J483" s="46"/>
      <c r="K483" s="46"/>
      <c r="L483" s="46"/>
      <c r="M483" s="46"/>
      <c r="N483" s="46"/>
      <c r="O483" s="46"/>
      <c r="P483" s="46"/>
      <c r="Q483" s="46"/>
      <c r="R483" s="46"/>
    </row>
    <row r="484">
      <c r="A484" s="46"/>
      <c r="B484" s="46"/>
      <c r="C484" s="46"/>
      <c r="D484" s="46"/>
      <c r="E484" s="46"/>
      <c r="F484" s="46"/>
      <c r="G484" s="46"/>
      <c r="H484" s="46"/>
      <c r="I484" s="46"/>
      <c r="J484" s="46"/>
      <c r="K484" s="46"/>
      <c r="L484" s="46"/>
      <c r="M484" s="46"/>
      <c r="N484" s="46"/>
      <c r="O484" s="46"/>
      <c r="P484" s="46"/>
      <c r="Q484" s="46"/>
      <c r="R484" s="46"/>
    </row>
    <row r="485">
      <c r="A485" s="46"/>
      <c r="B485" s="46"/>
      <c r="C485" s="46"/>
      <c r="D485" s="46"/>
      <c r="E485" s="46"/>
      <c r="F485" s="46"/>
      <c r="G485" s="46"/>
      <c r="H485" s="46"/>
      <c r="I485" s="46"/>
      <c r="J485" s="46"/>
      <c r="K485" s="46"/>
      <c r="L485" s="46"/>
      <c r="M485" s="46"/>
      <c r="N485" s="46"/>
      <c r="O485" s="46"/>
      <c r="P485" s="46"/>
      <c r="Q485" s="46"/>
      <c r="R485" s="46"/>
    </row>
    <row r="486">
      <c r="A486" s="46"/>
      <c r="B486" s="46"/>
      <c r="C486" s="46"/>
      <c r="D486" s="46"/>
      <c r="E486" s="46"/>
      <c r="F486" s="46"/>
      <c r="G486" s="46"/>
      <c r="H486" s="46"/>
      <c r="I486" s="46"/>
      <c r="J486" s="46"/>
      <c r="K486" s="46"/>
      <c r="L486" s="46"/>
      <c r="M486" s="46"/>
      <c r="N486" s="46"/>
      <c r="O486" s="46"/>
      <c r="P486" s="46"/>
      <c r="Q486" s="46"/>
      <c r="R486" s="46"/>
    </row>
    <row r="487">
      <c r="A487" s="46"/>
      <c r="B487" s="46"/>
      <c r="C487" s="46"/>
      <c r="D487" s="46"/>
      <c r="E487" s="46"/>
      <c r="F487" s="46"/>
      <c r="G487" s="46"/>
      <c r="H487" s="46"/>
      <c r="I487" s="46"/>
      <c r="J487" s="46"/>
      <c r="K487" s="46"/>
      <c r="L487" s="46"/>
      <c r="M487" s="46"/>
      <c r="N487" s="46"/>
      <c r="O487" s="46"/>
      <c r="P487" s="46"/>
      <c r="Q487" s="46"/>
      <c r="R487" s="46"/>
    </row>
    <row r="488">
      <c r="A488" s="46"/>
      <c r="B488" s="46"/>
      <c r="C488" s="46"/>
      <c r="D488" s="46"/>
      <c r="E488" s="46"/>
      <c r="F488" s="46"/>
      <c r="G488" s="46"/>
      <c r="H488" s="46"/>
      <c r="I488" s="46"/>
      <c r="J488" s="46"/>
      <c r="K488" s="46"/>
      <c r="L488" s="46"/>
      <c r="M488" s="46"/>
      <c r="N488" s="46"/>
      <c r="O488" s="46"/>
      <c r="P488" s="46"/>
      <c r="Q488" s="46"/>
      <c r="R488" s="46"/>
    </row>
    <row r="489">
      <c r="A489" s="46"/>
      <c r="B489" s="46"/>
      <c r="C489" s="46"/>
      <c r="D489" s="46"/>
      <c r="E489" s="46"/>
      <c r="F489" s="46"/>
      <c r="G489" s="46"/>
      <c r="H489" s="46"/>
      <c r="I489" s="46"/>
      <c r="J489" s="46"/>
      <c r="K489" s="46"/>
      <c r="L489" s="46"/>
      <c r="M489" s="46"/>
      <c r="N489" s="46"/>
      <c r="O489" s="46"/>
      <c r="P489" s="46"/>
      <c r="Q489" s="46"/>
      <c r="R489" s="46"/>
    </row>
    <row r="490">
      <c r="A490" s="46"/>
      <c r="B490" s="46"/>
      <c r="C490" s="46"/>
      <c r="D490" s="46"/>
      <c r="E490" s="46"/>
      <c r="F490" s="46"/>
      <c r="G490" s="46"/>
      <c r="H490" s="46"/>
      <c r="I490" s="46"/>
      <c r="J490" s="46"/>
      <c r="K490" s="46"/>
      <c r="L490" s="46"/>
      <c r="M490" s="46"/>
      <c r="N490" s="46"/>
      <c r="O490" s="46"/>
      <c r="P490" s="46"/>
      <c r="Q490" s="46"/>
      <c r="R490" s="46"/>
    </row>
    <row r="491">
      <c r="A491" s="46"/>
      <c r="B491" s="46"/>
      <c r="C491" s="46"/>
      <c r="D491" s="46"/>
      <c r="E491" s="46"/>
      <c r="F491" s="46"/>
      <c r="G491" s="46"/>
      <c r="H491" s="46"/>
      <c r="I491" s="46"/>
      <c r="J491" s="46"/>
      <c r="K491" s="46"/>
      <c r="L491" s="46"/>
      <c r="M491" s="46"/>
      <c r="N491" s="46"/>
      <c r="O491" s="46"/>
      <c r="P491" s="46"/>
      <c r="Q491" s="46"/>
      <c r="R491" s="46"/>
    </row>
    <row r="492">
      <c r="A492" s="46"/>
      <c r="B492" s="46"/>
      <c r="C492" s="46"/>
      <c r="D492" s="46"/>
      <c r="E492" s="46"/>
      <c r="F492" s="46"/>
      <c r="G492" s="46"/>
      <c r="H492" s="46"/>
      <c r="I492" s="46"/>
      <c r="J492" s="46"/>
      <c r="K492" s="46"/>
      <c r="L492" s="46"/>
      <c r="M492" s="46"/>
      <c r="N492" s="46"/>
      <c r="O492" s="46"/>
      <c r="P492" s="46"/>
      <c r="Q492" s="46"/>
      <c r="R492" s="46"/>
    </row>
    <row r="493">
      <c r="A493" s="46"/>
      <c r="B493" s="46"/>
      <c r="C493" s="46"/>
      <c r="D493" s="46"/>
      <c r="E493" s="46"/>
      <c r="F493" s="46"/>
      <c r="G493" s="46"/>
      <c r="H493" s="46"/>
      <c r="I493" s="46"/>
      <c r="J493" s="46"/>
      <c r="K493" s="46"/>
      <c r="L493" s="46"/>
      <c r="M493" s="46"/>
      <c r="N493" s="46"/>
      <c r="O493" s="46"/>
      <c r="P493" s="46"/>
      <c r="Q493" s="46"/>
      <c r="R493" s="46"/>
    </row>
    <row r="494">
      <c r="A494" s="46"/>
      <c r="B494" s="46"/>
      <c r="C494" s="46"/>
      <c r="D494" s="46"/>
      <c r="E494" s="46"/>
      <c r="F494" s="46"/>
      <c r="G494" s="46"/>
      <c r="H494" s="46"/>
      <c r="I494" s="46"/>
      <c r="J494" s="46"/>
      <c r="K494" s="46"/>
      <c r="L494" s="46"/>
      <c r="M494" s="46"/>
      <c r="N494" s="46"/>
      <c r="O494" s="46"/>
      <c r="P494" s="46"/>
      <c r="Q494" s="46"/>
      <c r="R494" s="46"/>
    </row>
    <row r="495">
      <c r="A495" s="46"/>
      <c r="B495" s="46"/>
      <c r="C495" s="46"/>
      <c r="D495" s="46"/>
      <c r="E495" s="46"/>
      <c r="F495" s="46"/>
      <c r="G495" s="46"/>
      <c r="H495" s="46"/>
      <c r="I495" s="46"/>
      <c r="J495" s="46"/>
      <c r="K495" s="46"/>
      <c r="L495" s="46"/>
      <c r="M495" s="46"/>
      <c r="N495" s="46"/>
      <c r="O495" s="46"/>
      <c r="P495" s="46"/>
      <c r="Q495" s="46"/>
      <c r="R495" s="46"/>
    </row>
    <row r="496">
      <c r="A496" s="46"/>
      <c r="B496" s="46"/>
      <c r="C496" s="46"/>
      <c r="D496" s="46"/>
      <c r="E496" s="46"/>
      <c r="F496" s="46"/>
      <c r="G496" s="46"/>
      <c r="H496" s="46"/>
      <c r="I496" s="46"/>
      <c r="J496" s="46"/>
      <c r="K496" s="46"/>
      <c r="L496" s="46"/>
      <c r="M496" s="46"/>
      <c r="N496" s="46"/>
      <c r="O496" s="46"/>
      <c r="P496" s="46"/>
      <c r="Q496" s="46"/>
      <c r="R496" s="46"/>
    </row>
    <row r="497">
      <c r="A497" s="46"/>
      <c r="B497" s="46"/>
      <c r="C497" s="46"/>
      <c r="D497" s="46"/>
      <c r="E497" s="46"/>
      <c r="F497" s="46"/>
      <c r="G497" s="46"/>
      <c r="H497" s="46"/>
      <c r="I497" s="46"/>
      <c r="J497" s="46"/>
      <c r="K497" s="46"/>
      <c r="L497" s="46"/>
      <c r="M497" s="46"/>
      <c r="N497" s="46"/>
      <c r="O497" s="46"/>
      <c r="P497" s="46"/>
      <c r="Q497" s="46"/>
      <c r="R497" s="46"/>
    </row>
    <row r="498">
      <c r="A498" s="46"/>
      <c r="B498" s="46"/>
      <c r="C498" s="46"/>
      <c r="D498" s="46"/>
      <c r="E498" s="46"/>
      <c r="F498" s="46"/>
      <c r="G498" s="46"/>
      <c r="H498" s="46"/>
      <c r="I498" s="46"/>
      <c r="J498" s="46"/>
      <c r="K498" s="46"/>
      <c r="L498" s="46"/>
      <c r="M498" s="46"/>
      <c r="N498" s="46"/>
      <c r="O498" s="46"/>
      <c r="P498" s="46"/>
      <c r="Q498" s="46"/>
      <c r="R498" s="46"/>
    </row>
    <row r="499">
      <c r="A499" s="46"/>
      <c r="B499" s="46"/>
      <c r="C499" s="46"/>
      <c r="D499" s="46"/>
      <c r="E499" s="46"/>
      <c r="F499" s="46"/>
      <c r="G499" s="46"/>
      <c r="H499" s="46"/>
      <c r="I499" s="46"/>
      <c r="J499" s="46"/>
      <c r="K499" s="46"/>
      <c r="L499" s="46"/>
      <c r="M499" s="46"/>
      <c r="N499" s="46"/>
      <c r="O499" s="46"/>
      <c r="P499" s="46"/>
      <c r="Q499" s="46"/>
      <c r="R499" s="46"/>
    </row>
    <row r="500">
      <c r="A500" s="46"/>
      <c r="B500" s="46"/>
      <c r="C500" s="46"/>
      <c r="D500" s="46"/>
      <c r="E500" s="46"/>
      <c r="F500" s="46"/>
      <c r="G500" s="46"/>
      <c r="H500" s="46"/>
      <c r="I500" s="46"/>
      <c r="J500" s="46"/>
      <c r="K500" s="46"/>
      <c r="L500" s="46"/>
      <c r="M500" s="46"/>
      <c r="N500" s="46"/>
      <c r="O500" s="46"/>
      <c r="P500" s="46"/>
      <c r="Q500" s="46"/>
      <c r="R500" s="46"/>
    </row>
    <row r="501">
      <c r="A501" s="46"/>
      <c r="B501" s="46"/>
      <c r="C501" s="46"/>
      <c r="D501" s="46"/>
      <c r="E501" s="46"/>
      <c r="F501" s="46"/>
      <c r="G501" s="46"/>
      <c r="H501" s="46"/>
      <c r="I501" s="46"/>
      <c r="J501" s="46"/>
      <c r="K501" s="46"/>
      <c r="L501" s="46"/>
      <c r="M501" s="46"/>
      <c r="N501" s="46"/>
      <c r="O501" s="46"/>
      <c r="P501" s="46"/>
      <c r="Q501" s="46"/>
      <c r="R501" s="46"/>
    </row>
    <row r="502">
      <c r="A502" s="46"/>
      <c r="B502" s="46"/>
      <c r="C502" s="46"/>
      <c r="D502" s="46"/>
      <c r="E502" s="46"/>
      <c r="F502" s="46"/>
      <c r="G502" s="46"/>
      <c r="H502" s="46"/>
      <c r="I502" s="46"/>
      <c r="J502" s="46"/>
      <c r="K502" s="46"/>
      <c r="L502" s="46"/>
      <c r="M502" s="46"/>
      <c r="N502" s="46"/>
      <c r="O502" s="46"/>
      <c r="P502" s="46"/>
      <c r="Q502" s="46"/>
      <c r="R502" s="46"/>
    </row>
    <row r="503">
      <c r="A503" s="46"/>
      <c r="B503" s="46"/>
      <c r="C503" s="46"/>
      <c r="D503" s="46"/>
      <c r="E503" s="46"/>
      <c r="F503" s="46"/>
      <c r="G503" s="46"/>
      <c r="H503" s="46"/>
      <c r="I503" s="46"/>
      <c r="J503" s="46"/>
      <c r="K503" s="46"/>
      <c r="L503" s="46"/>
      <c r="M503" s="46"/>
      <c r="N503" s="46"/>
      <c r="O503" s="46"/>
      <c r="P503" s="46"/>
      <c r="Q503" s="46"/>
      <c r="R503" s="46"/>
    </row>
    <row r="504">
      <c r="A504" s="46"/>
      <c r="B504" s="46"/>
      <c r="C504" s="46"/>
      <c r="D504" s="46"/>
      <c r="E504" s="46"/>
      <c r="F504" s="46"/>
      <c r="G504" s="46"/>
      <c r="H504" s="46"/>
      <c r="I504" s="46"/>
      <c r="J504" s="46"/>
      <c r="K504" s="46"/>
      <c r="L504" s="46"/>
      <c r="M504" s="46"/>
      <c r="N504" s="46"/>
      <c r="O504" s="46"/>
      <c r="P504" s="46"/>
      <c r="Q504" s="46"/>
      <c r="R504" s="46"/>
    </row>
    <row r="505">
      <c r="A505" s="46"/>
      <c r="B505" s="46"/>
      <c r="C505" s="46"/>
      <c r="D505" s="46"/>
      <c r="E505" s="46"/>
      <c r="F505" s="46"/>
      <c r="G505" s="46"/>
      <c r="H505" s="46"/>
      <c r="I505" s="46"/>
      <c r="J505" s="46"/>
      <c r="K505" s="46"/>
      <c r="L505" s="46"/>
      <c r="M505" s="46"/>
      <c r="N505" s="46"/>
      <c r="O505" s="46"/>
      <c r="P505" s="46"/>
      <c r="Q505" s="46"/>
      <c r="R505" s="46"/>
    </row>
    <row r="506">
      <c r="A506" s="46"/>
      <c r="B506" s="46"/>
      <c r="C506" s="46"/>
      <c r="D506" s="46"/>
      <c r="E506" s="46"/>
      <c r="F506" s="46"/>
      <c r="G506" s="46"/>
      <c r="H506" s="46"/>
      <c r="I506" s="46"/>
      <c r="J506" s="46"/>
      <c r="K506" s="46"/>
      <c r="L506" s="46"/>
      <c r="M506" s="46"/>
      <c r="N506" s="46"/>
      <c r="O506" s="46"/>
      <c r="P506" s="46"/>
      <c r="Q506" s="46"/>
      <c r="R506" s="46"/>
    </row>
    <row r="507">
      <c r="A507" s="46"/>
      <c r="B507" s="46"/>
      <c r="C507" s="46"/>
      <c r="D507" s="46"/>
      <c r="E507" s="46"/>
      <c r="F507" s="46"/>
      <c r="G507" s="46"/>
      <c r="H507" s="46"/>
      <c r="I507" s="46"/>
      <c r="J507" s="46"/>
      <c r="K507" s="46"/>
      <c r="L507" s="46"/>
      <c r="M507" s="46"/>
      <c r="N507" s="46"/>
      <c r="O507" s="46"/>
      <c r="P507" s="46"/>
      <c r="Q507" s="46"/>
      <c r="R507" s="46"/>
    </row>
    <row r="508">
      <c r="A508" s="46"/>
      <c r="B508" s="46"/>
      <c r="C508" s="46"/>
      <c r="D508" s="46"/>
      <c r="E508" s="46"/>
      <c r="F508" s="46"/>
      <c r="G508" s="46"/>
      <c r="H508" s="46"/>
      <c r="I508" s="46"/>
      <c r="J508" s="46"/>
      <c r="K508" s="46"/>
      <c r="L508" s="46"/>
      <c r="M508" s="46"/>
      <c r="N508" s="46"/>
      <c r="O508" s="46"/>
      <c r="P508" s="46"/>
      <c r="Q508" s="46"/>
      <c r="R508" s="46"/>
    </row>
    <row r="509">
      <c r="A509" s="46"/>
      <c r="B509" s="46"/>
      <c r="C509" s="46"/>
      <c r="D509" s="46"/>
      <c r="E509" s="46"/>
      <c r="F509" s="46"/>
      <c r="G509" s="46"/>
      <c r="H509" s="46"/>
      <c r="I509" s="46"/>
      <c r="J509" s="46"/>
      <c r="K509" s="46"/>
      <c r="L509" s="46"/>
      <c r="M509" s="46"/>
      <c r="N509" s="46"/>
      <c r="O509" s="46"/>
      <c r="P509" s="46"/>
      <c r="Q509" s="46"/>
      <c r="R509" s="46"/>
    </row>
    <row r="510">
      <c r="A510" s="46"/>
      <c r="B510" s="46"/>
      <c r="C510" s="46"/>
      <c r="D510" s="46"/>
      <c r="E510" s="46"/>
      <c r="F510" s="46"/>
      <c r="G510" s="46"/>
      <c r="H510" s="46"/>
      <c r="I510" s="46"/>
      <c r="J510" s="46"/>
      <c r="K510" s="46"/>
      <c r="L510" s="46"/>
      <c r="M510" s="46"/>
      <c r="N510" s="46"/>
      <c r="O510" s="46"/>
      <c r="P510" s="46"/>
      <c r="Q510" s="46"/>
      <c r="R510" s="46"/>
    </row>
    <row r="511">
      <c r="A511" s="46"/>
      <c r="B511" s="46"/>
      <c r="C511" s="46"/>
      <c r="D511" s="46"/>
      <c r="E511" s="46"/>
      <c r="F511" s="46"/>
      <c r="G511" s="46"/>
      <c r="H511" s="46"/>
      <c r="I511" s="46"/>
      <c r="J511" s="46"/>
      <c r="K511" s="46"/>
      <c r="L511" s="46"/>
      <c r="M511" s="46"/>
      <c r="N511" s="46"/>
      <c r="O511" s="46"/>
      <c r="P511" s="46"/>
      <c r="Q511" s="46"/>
      <c r="R511" s="46"/>
    </row>
    <row r="512">
      <c r="A512" s="46"/>
      <c r="B512" s="46"/>
      <c r="C512" s="46"/>
      <c r="D512" s="46"/>
      <c r="E512" s="46"/>
      <c r="F512" s="46"/>
      <c r="G512" s="46"/>
      <c r="H512" s="46"/>
      <c r="I512" s="46"/>
      <c r="J512" s="46"/>
      <c r="K512" s="46"/>
      <c r="L512" s="46"/>
      <c r="M512" s="46"/>
      <c r="N512" s="46"/>
      <c r="O512" s="46"/>
      <c r="P512" s="46"/>
      <c r="Q512" s="46"/>
      <c r="R512" s="46"/>
    </row>
    <row r="513">
      <c r="A513" s="46"/>
      <c r="B513" s="46"/>
      <c r="C513" s="46"/>
      <c r="D513" s="46"/>
      <c r="E513" s="46"/>
      <c r="F513" s="46"/>
      <c r="G513" s="46"/>
      <c r="H513" s="46"/>
      <c r="I513" s="46"/>
      <c r="J513" s="46"/>
      <c r="K513" s="46"/>
      <c r="L513" s="46"/>
      <c r="M513" s="46"/>
      <c r="N513" s="46"/>
      <c r="O513" s="46"/>
      <c r="P513" s="46"/>
      <c r="Q513" s="46"/>
      <c r="R513" s="46"/>
    </row>
    <row r="514">
      <c r="A514" s="46"/>
      <c r="B514" s="46"/>
      <c r="C514" s="46"/>
      <c r="D514" s="46"/>
      <c r="E514" s="46"/>
      <c r="F514" s="46"/>
      <c r="G514" s="46"/>
      <c r="H514" s="46"/>
      <c r="I514" s="46"/>
      <c r="J514" s="46"/>
      <c r="K514" s="46"/>
      <c r="L514" s="46"/>
      <c r="M514" s="46"/>
      <c r="N514" s="46"/>
      <c r="O514" s="46"/>
      <c r="P514" s="46"/>
      <c r="Q514" s="46"/>
      <c r="R514" s="46"/>
    </row>
    <row r="515">
      <c r="A515" s="46"/>
      <c r="B515" s="46"/>
      <c r="C515" s="46"/>
      <c r="D515" s="46"/>
      <c r="E515" s="46"/>
      <c r="F515" s="46"/>
      <c r="G515" s="46"/>
      <c r="H515" s="46"/>
      <c r="I515" s="46"/>
      <c r="J515" s="46"/>
      <c r="K515" s="46"/>
      <c r="L515" s="46"/>
      <c r="M515" s="46"/>
      <c r="N515" s="46"/>
      <c r="O515" s="46"/>
      <c r="P515" s="46"/>
      <c r="Q515" s="46"/>
      <c r="R515" s="46"/>
    </row>
    <row r="516">
      <c r="A516" s="46"/>
      <c r="B516" s="46"/>
      <c r="C516" s="46"/>
      <c r="D516" s="46"/>
      <c r="E516" s="46"/>
      <c r="F516" s="46"/>
      <c r="G516" s="46"/>
      <c r="H516" s="46"/>
      <c r="I516" s="46"/>
      <c r="J516" s="46"/>
      <c r="K516" s="46"/>
      <c r="L516" s="46"/>
      <c r="M516" s="46"/>
      <c r="N516" s="46"/>
      <c r="O516" s="46"/>
      <c r="P516" s="46"/>
      <c r="Q516" s="46"/>
      <c r="R516" s="46"/>
    </row>
    <row r="517">
      <c r="A517" s="46"/>
      <c r="B517" s="46"/>
      <c r="C517" s="46"/>
      <c r="D517" s="46"/>
      <c r="E517" s="46"/>
      <c r="F517" s="46"/>
      <c r="G517" s="46"/>
      <c r="H517" s="46"/>
      <c r="I517" s="46"/>
      <c r="J517" s="46"/>
      <c r="K517" s="46"/>
      <c r="L517" s="46"/>
      <c r="M517" s="46"/>
      <c r="N517" s="46"/>
      <c r="O517" s="46"/>
      <c r="P517" s="46"/>
      <c r="Q517" s="46"/>
      <c r="R517" s="46"/>
    </row>
    <row r="518">
      <c r="A518" s="46"/>
      <c r="B518" s="46"/>
      <c r="C518" s="46"/>
      <c r="D518" s="46"/>
      <c r="E518" s="46"/>
      <c r="F518" s="46"/>
      <c r="G518" s="46"/>
      <c r="H518" s="46"/>
      <c r="I518" s="46"/>
      <c r="J518" s="46"/>
      <c r="K518" s="46"/>
      <c r="L518" s="46"/>
      <c r="M518" s="46"/>
      <c r="N518" s="46"/>
      <c r="O518" s="46"/>
      <c r="P518" s="46"/>
      <c r="Q518" s="46"/>
      <c r="R518" s="46"/>
    </row>
    <row r="519">
      <c r="A519" s="46"/>
      <c r="B519" s="46"/>
      <c r="C519" s="46"/>
      <c r="D519" s="46"/>
      <c r="E519" s="46"/>
      <c r="F519" s="46"/>
      <c r="G519" s="46"/>
      <c r="H519" s="46"/>
      <c r="I519" s="46"/>
      <c r="J519" s="46"/>
      <c r="K519" s="46"/>
      <c r="L519" s="46"/>
      <c r="M519" s="46"/>
      <c r="N519" s="46"/>
      <c r="O519" s="46"/>
      <c r="P519" s="46"/>
      <c r="Q519" s="46"/>
      <c r="R519" s="46"/>
    </row>
    <row r="520">
      <c r="A520" s="46"/>
      <c r="B520" s="46"/>
      <c r="C520" s="46"/>
      <c r="D520" s="46"/>
      <c r="E520" s="46"/>
      <c r="F520" s="46"/>
      <c r="G520" s="46"/>
      <c r="H520" s="46"/>
      <c r="I520" s="46"/>
      <c r="J520" s="46"/>
      <c r="K520" s="46"/>
      <c r="L520" s="46"/>
      <c r="M520" s="46"/>
      <c r="N520" s="46"/>
      <c r="O520" s="46"/>
      <c r="P520" s="46"/>
      <c r="Q520" s="46"/>
      <c r="R520" s="46"/>
    </row>
    <row r="521">
      <c r="A521" s="46"/>
      <c r="B521" s="46"/>
      <c r="C521" s="46"/>
      <c r="D521" s="46"/>
      <c r="E521" s="46"/>
      <c r="F521" s="46"/>
      <c r="G521" s="46"/>
      <c r="H521" s="46"/>
      <c r="I521" s="46"/>
      <c r="J521" s="46"/>
      <c r="K521" s="46"/>
      <c r="L521" s="46"/>
      <c r="M521" s="46"/>
      <c r="N521" s="46"/>
      <c r="O521" s="46"/>
      <c r="P521" s="46"/>
      <c r="Q521" s="46"/>
      <c r="R521" s="46"/>
    </row>
    <row r="522">
      <c r="A522" s="46"/>
      <c r="B522" s="46"/>
      <c r="C522" s="46"/>
      <c r="D522" s="46"/>
      <c r="E522" s="46"/>
      <c r="F522" s="46"/>
      <c r="G522" s="46"/>
      <c r="H522" s="46"/>
      <c r="I522" s="46"/>
      <c r="J522" s="46"/>
      <c r="K522" s="46"/>
      <c r="L522" s="46"/>
      <c r="M522" s="46"/>
      <c r="N522" s="46"/>
      <c r="O522" s="46"/>
      <c r="P522" s="46"/>
      <c r="Q522" s="46"/>
      <c r="R522" s="46"/>
    </row>
    <row r="523">
      <c r="A523" s="46"/>
      <c r="B523" s="46"/>
      <c r="C523" s="46"/>
      <c r="D523" s="46"/>
      <c r="E523" s="46"/>
      <c r="F523" s="46"/>
      <c r="G523" s="46"/>
      <c r="H523" s="46"/>
      <c r="I523" s="46"/>
      <c r="J523" s="46"/>
      <c r="K523" s="46"/>
      <c r="L523" s="46"/>
      <c r="M523" s="46"/>
      <c r="N523" s="46"/>
      <c r="O523" s="46"/>
      <c r="P523" s="46"/>
      <c r="Q523" s="46"/>
      <c r="R523" s="46"/>
    </row>
    <row r="524">
      <c r="A524" s="46"/>
      <c r="B524" s="46"/>
      <c r="C524" s="46"/>
      <c r="D524" s="46"/>
      <c r="E524" s="46"/>
      <c r="F524" s="46"/>
      <c r="G524" s="46"/>
      <c r="H524" s="46"/>
      <c r="I524" s="46"/>
      <c r="J524" s="46"/>
      <c r="K524" s="46"/>
      <c r="L524" s="46"/>
      <c r="M524" s="46"/>
      <c r="N524" s="46"/>
      <c r="O524" s="46"/>
      <c r="P524" s="46"/>
      <c r="Q524" s="46"/>
      <c r="R524" s="46"/>
    </row>
    <row r="525">
      <c r="A525" s="46"/>
      <c r="B525" s="46"/>
      <c r="C525" s="46"/>
      <c r="D525" s="46"/>
      <c r="E525" s="46"/>
      <c r="F525" s="46"/>
      <c r="G525" s="46"/>
      <c r="H525" s="46"/>
      <c r="I525" s="46"/>
      <c r="J525" s="46"/>
      <c r="K525" s="46"/>
      <c r="L525" s="46"/>
      <c r="M525" s="46"/>
      <c r="N525" s="46"/>
      <c r="O525" s="46"/>
      <c r="P525" s="46"/>
      <c r="Q525" s="46"/>
      <c r="R525" s="46"/>
    </row>
    <row r="526">
      <c r="A526" s="46"/>
      <c r="B526" s="46"/>
      <c r="C526" s="46"/>
      <c r="D526" s="46"/>
      <c r="E526" s="46"/>
      <c r="F526" s="46"/>
      <c r="G526" s="46"/>
      <c r="H526" s="46"/>
      <c r="I526" s="46"/>
      <c r="J526" s="46"/>
      <c r="K526" s="46"/>
      <c r="L526" s="46"/>
      <c r="M526" s="46"/>
      <c r="N526" s="46"/>
      <c r="O526" s="46"/>
      <c r="P526" s="46"/>
      <c r="Q526" s="46"/>
      <c r="R526" s="46"/>
    </row>
    <row r="527">
      <c r="A527" s="46"/>
      <c r="B527" s="46"/>
      <c r="C527" s="46"/>
      <c r="D527" s="46"/>
      <c r="E527" s="46"/>
      <c r="F527" s="46"/>
      <c r="G527" s="46"/>
      <c r="H527" s="46"/>
      <c r="I527" s="46"/>
      <c r="J527" s="46"/>
      <c r="K527" s="46"/>
      <c r="L527" s="46"/>
      <c r="M527" s="46"/>
      <c r="N527" s="46"/>
      <c r="O527" s="46"/>
      <c r="P527" s="46"/>
      <c r="Q527" s="46"/>
      <c r="R527" s="46"/>
    </row>
    <row r="528">
      <c r="A528" s="46"/>
      <c r="B528" s="46"/>
      <c r="C528" s="46"/>
      <c r="D528" s="46"/>
      <c r="E528" s="46"/>
      <c r="F528" s="46"/>
      <c r="G528" s="46"/>
      <c r="H528" s="46"/>
      <c r="I528" s="46"/>
      <c r="J528" s="46"/>
      <c r="K528" s="46"/>
      <c r="L528" s="46"/>
      <c r="M528" s="46"/>
      <c r="N528" s="46"/>
      <c r="O528" s="46"/>
      <c r="P528" s="46"/>
      <c r="Q528" s="46"/>
      <c r="R528" s="46"/>
    </row>
    <row r="529">
      <c r="A529" s="46"/>
      <c r="B529" s="46"/>
      <c r="C529" s="46"/>
      <c r="D529" s="46"/>
      <c r="E529" s="46"/>
      <c r="F529" s="46"/>
      <c r="G529" s="46"/>
      <c r="H529" s="46"/>
      <c r="I529" s="46"/>
      <c r="J529" s="46"/>
      <c r="K529" s="46"/>
      <c r="L529" s="46"/>
      <c r="M529" s="46"/>
      <c r="N529" s="46"/>
      <c r="O529" s="46"/>
      <c r="P529" s="46"/>
      <c r="Q529" s="46"/>
      <c r="R529" s="46"/>
    </row>
    <row r="530">
      <c r="A530" s="46"/>
      <c r="B530" s="46"/>
      <c r="C530" s="46"/>
      <c r="D530" s="46"/>
      <c r="E530" s="46"/>
      <c r="F530" s="46"/>
      <c r="G530" s="46"/>
      <c r="H530" s="46"/>
      <c r="I530" s="46"/>
      <c r="J530" s="46"/>
      <c r="K530" s="46"/>
      <c r="L530" s="46"/>
      <c r="M530" s="46"/>
      <c r="N530" s="46"/>
      <c r="O530" s="46"/>
      <c r="P530" s="46"/>
      <c r="Q530" s="46"/>
      <c r="R530" s="46"/>
    </row>
    <row r="531">
      <c r="A531" s="46"/>
      <c r="B531" s="46"/>
      <c r="C531" s="46"/>
      <c r="D531" s="46"/>
      <c r="E531" s="46"/>
      <c r="F531" s="46"/>
      <c r="G531" s="46"/>
      <c r="H531" s="46"/>
      <c r="I531" s="46"/>
      <c r="J531" s="46"/>
      <c r="K531" s="46"/>
      <c r="L531" s="46"/>
      <c r="M531" s="46"/>
      <c r="N531" s="46"/>
      <c r="O531" s="46"/>
      <c r="P531" s="46"/>
      <c r="Q531" s="46"/>
      <c r="R531" s="46"/>
    </row>
    <row r="532">
      <c r="A532" s="46"/>
      <c r="B532" s="46"/>
      <c r="C532" s="46"/>
      <c r="D532" s="46"/>
      <c r="E532" s="46"/>
      <c r="F532" s="46"/>
      <c r="G532" s="46"/>
      <c r="H532" s="46"/>
      <c r="I532" s="46"/>
      <c r="J532" s="46"/>
      <c r="K532" s="46"/>
      <c r="L532" s="46"/>
      <c r="M532" s="46"/>
      <c r="N532" s="46"/>
      <c r="O532" s="46"/>
      <c r="P532" s="46"/>
      <c r="Q532" s="46"/>
      <c r="R532" s="46"/>
    </row>
    <row r="533">
      <c r="A533" s="46"/>
      <c r="B533" s="46"/>
      <c r="C533" s="46"/>
      <c r="D533" s="46"/>
      <c r="E533" s="46"/>
      <c r="F533" s="46"/>
      <c r="G533" s="46"/>
      <c r="H533" s="46"/>
      <c r="I533" s="46"/>
      <c r="J533" s="46"/>
      <c r="K533" s="46"/>
      <c r="L533" s="46"/>
      <c r="M533" s="46"/>
      <c r="N533" s="46"/>
      <c r="O533" s="46"/>
      <c r="P533" s="46"/>
      <c r="Q533" s="46"/>
      <c r="R533" s="46"/>
    </row>
    <row r="534">
      <c r="A534" s="46"/>
      <c r="B534" s="46"/>
      <c r="C534" s="46"/>
      <c r="D534" s="46"/>
      <c r="E534" s="46"/>
      <c r="F534" s="46"/>
      <c r="G534" s="46"/>
      <c r="H534" s="46"/>
      <c r="I534" s="46"/>
      <c r="J534" s="46"/>
      <c r="K534" s="46"/>
      <c r="L534" s="46"/>
      <c r="M534" s="46"/>
      <c r="N534" s="46"/>
      <c r="O534" s="46"/>
      <c r="P534" s="46"/>
      <c r="Q534" s="46"/>
      <c r="R534" s="46"/>
    </row>
    <row r="535">
      <c r="A535" s="46"/>
      <c r="B535" s="46"/>
      <c r="C535" s="46"/>
      <c r="D535" s="46"/>
      <c r="E535" s="46"/>
      <c r="F535" s="46"/>
      <c r="G535" s="46"/>
      <c r="H535" s="46"/>
      <c r="I535" s="46"/>
      <c r="J535" s="46"/>
      <c r="K535" s="46"/>
      <c r="L535" s="46"/>
      <c r="M535" s="46"/>
      <c r="N535" s="46"/>
      <c r="O535" s="46"/>
      <c r="P535" s="46"/>
      <c r="Q535" s="46"/>
      <c r="R535" s="46"/>
    </row>
    <row r="536">
      <c r="A536" s="46"/>
      <c r="B536" s="46"/>
      <c r="C536" s="46"/>
      <c r="D536" s="46"/>
      <c r="E536" s="46"/>
      <c r="F536" s="46"/>
      <c r="G536" s="46"/>
      <c r="H536" s="46"/>
      <c r="I536" s="46"/>
      <c r="J536" s="46"/>
      <c r="K536" s="46"/>
      <c r="L536" s="46"/>
      <c r="M536" s="46"/>
      <c r="N536" s="46"/>
      <c r="O536" s="46"/>
      <c r="P536" s="46"/>
      <c r="Q536" s="46"/>
      <c r="R536" s="46"/>
    </row>
    <row r="537">
      <c r="A537" s="46"/>
      <c r="B537" s="46"/>
      <c r="C537" s="46"/>
      <c r="D537" s="46"/>
      <c r="E537" s="46"/>
      <c r="F537" s="46"/>
      <c r="G537" s="46"/>
      <c r="H537" s="46"/>
      <c r="I537" s="46"/>
      <c r="J537" s="46"/>
      <c r="K537" s="46"/>
      <c r="L537" s="46"/>
      <c r="M537" s="46"/>
      <c r="N537" s="46"/>
      <c r="O537" s="46"/>
      <c r="P537" s="46"/>
      <c r="Q537" s="46"/>
      <c r="R537" s="46"/>
    </row>
    <row r="538">
      <c r="A538" s="46"/>
      <c r="B538" s="46"/>
      <c r="C538" s="46"/>
      <c r="D538" s="46"/>
      <c r="E538" s="46"/>
      <c r="F538" s="46"/>
      <c r="G538" s="46"/>
      <c r="H538" s="46"/>
      <c r="I538" s="46"/>
      <c r="J538" s="46"/>
      <c r="K538" s="46"/>
      <c r="L538" s="46"/>
      <c r="M538" s="46"/>
      <c r="N538" s="46"/>
      <c r="O538" s="46"/>
      <c r="P538" s="46"/>
      <c r="Q538" s="46"/>
      <c r="R538" s="46"/>
    </row>
    <row r="539">
      <c r="A539" s="46"/>
      <c r="B539" s="46"/>
      <c r="C539" s="46"/>
      <c r="D539" s="46"/>
      <c r="E539" s="46"/>
      <c r="F539" s="46"/>
      <c r="G539" s="46"/>
      <c r="H539" s="46"/>
      <c r="I539" s="46"/>
      <c r="J539" s="46"/>
      <c r="K539" s="46"/>
      <c r="L539" s="46"/>
      <c r="M539" s="46"/>
      <c r="N539" s="46"/>
      <c r="O539" s="46"/>
      <c r="P539" s="46"/>
      <c r="Q539" s="46"/>
      <c r="R539" s="46"/>
    </row>
    <row r="540">
      <c r="A540" s="46"/>
      <c r="B540" s="46"/>
      <c r="C540" s="46"/>
      <c r="D540" s="46"/>
      <c r="E540" s="46"/>
      <c r="F540" s="46"/>
      <c r="G540" s="46"/>
      <c r="H540" s="46"/>
      <c r="I540" s="46"/>
      <c r="J540" s="46"/>
      <c r="K540" s="46"/>
      <c r="L540" s="46"/>
      <c r="M540" s="46"/>
      <c r="N540" s="46"/>
      <c r="O540" s="46"/>
      <c r="P540" s="46"/>
      <c r="Q540" s="46"/>
      <c r="R540" s="46"/>
    </row>
    <row r="541">
      <c r="A541" s="46"/>
      <c r="B541" s="46"/>
      <c r="C541" s="46"/>
      <c r="D541" s="46"/>
      <c r="E541" s="46"/>
      <c r="F541" s="46"/>
      <c r="G541" s="46"/>
      <c r="H541" s="46"/>
      <c r="I541" s="46"/>
      <c r="J541" s="46"/>
      <c r="K541" s="46"/>
      <c r="L541" s="46"/>
      <c r="M541" s="46"/>
      <c r="N541" s="46"/>
      <c r="O541" s="46"/>
      <c r="P541" s="46"/>
      <c r="Q541" s="46"/>
      <c r="R541" s="46"/>
    </row>
    <row r="542">
      <c r="A542" s="46"/>
      <c r="B542" s="46"/>
      <c r="C542" s="46"/>
      <c r="D542" s="46"/>
      <c r="E542" s="46"/>
      <c r="F542" s="46"/>
      <c r="G542" s="46"/>
      <c r="H542" s="46"/>
      <c r="I542" s="46"/>
      <c r="J542" s="46"/>
      <c r="K542" s="46"/>
      <c r="L542" s="46"/>
      <c r="M542" s="46"/>
      <c r="N542" s="46"/>
      <c r="O542" s="46"/>
      <c r="P542" s="46"/>
      <c r="Q542" s="46"/>
      <c r="R542" s="46"/>
    </row>
    <row r="543">
      <c r="A543" s="46"/>
      <c r="B543" s="46"/>
      <c r="C543" s="46"/>
      <c r="D543" s="46"/>
      <c r="E543" s="46"/>
      <c r="F543" s="46"/>
      <c r="G543" s="46"/>
      <c r="H543" s="46"/>
      <c r="I543" s="46"/>
      <c r="J543" s="46"/>
      <c r="K543" s="46"/>
      <c r="L543" s="46"/>
      <c r="M543" s="46"/>
      <c r="N543" s="46"/>
      <c r="O543" s="46"/>
      <c r="P543" s="46"/>
      <c r="Q543" s="46"/>
      <c r="R543" s="46"/>
    </row>
    <row r="544">
      <c r="A544" s="46"/>
      <c r="B544" s="46"/>
      <c r="C544" s="46"/>
      <c r="D544" s="46"/>
      <c r="E544" s="46"/>
      <c r="F544" s="46"/>
      <c r="G544" s="46"/>
      <c r="H544" s="46"/>
      <c r="I544" s="46"/>
      <c r="J544" s="46"/>
      <c r="K544" s="46"/>
      <c r="L544" s="46"/>
      <c r="M544" s="46"/>
      <c r="N544" s="46"/>
      <c r="O544" s="46"/>
      <c r="P544" s="46"/>
      <c r="Q544" s="46"/>
      <c r="R544" s="46"/>
    </row>
    <row r="545">
      <c r="A545" s="46"/>
      <c r="B545" s="46"/>
      <c r="C545" s="46"/>
      <c r="D545" s="46"/>
      <c r="E545" s="46"/>
      <c r="F545" s="46"/>
      <c r="G545" s="46"/>
      <c r="H545" s="46"/>
      <c r="I545" s="46"/>
      <c r="J545" s="46"/>
      <c r="K545" s="46"/>
      <c r="L545" s="46"/>
      <c r="M545" s="46"/>
      <c r="N545" s="46"/>
      <c r="O545" s="46"/>
      <c r="P545" s="46"/>
      <c r="Q545" s="46"/>
      <c r="R545" s="46"/>
    </row>
    <row r="546">
      <c r="A546" s="46"/>
      <c r="B546" s="46"/>
      <c r="C546" s="46"/>
      <c r="D546" s="46"/>
      <c r="E546" s="46"/>
      <c r="F546" s="46"/>
      <c r="G546" s="46"/>
      <c r="H546" s="46"/>
      <c r="I546" s="46"/>
      <c r="J546" s="46"/>
      <c r="K546" s="46"/>
      <c r="L546" s="46"/>
      <c r="M546" s="46"/>
      <c r="N546" s="46"/>
      <c r="O546" s="46"/>
      <c r="P546" s="46"/>
      <c r="Q546" s="46"/>
      <c r="R546" s="46"/>
    </row>
    <row r="547">
      <c r="A547" s="46"/>
      <c r="B547" s="46"/>
      <c r="C547" s="46"/>
      <c r="D547" s="46"/>
      <c r="E547" s="46"/>
      <c r="F547" s="46"/>
      <c r="G547" s="46"/>
      <c r="H547" s="46"/>
      <c r="I547" s="46"/>
      <c r="J547" s="46"/>
      <c r="K547" s="46"/>
      <c r="L547" s="46"/>
      <c r="M547" s="46"/>
      <c r="N547" s="46"/>
      <c r="O547" s="46"/>
      <c r="P547" s="46"/>
      <c r="Q547" s="46"/>
      <c r="R547" s="46"/>
    </row>
    <row r="548">
      <c r="A548" s="46"/>
      <c r="B548" s="46"/>
      <c r="C548" s="46"/>
      <c r="D548" s="46"/>
      <c r="E548" s="46"/>
      <c r="F548" s="46"/>
      <c r="G548" s="46"/>
      <c r="H548" s="46"/>
      <c r="I548" s="46"/>
      <c r="J548" s="46"/>
      <c r="K548" s="46"/>
      <c r="L548" s="46"/>
      <c r="M548" s="46"/>
      <c r="N548" s="46"/>
      <c r="O548" s="46"/>
      <c r="P548" s="46"/>
      <c r="Q548" s="46"/>
      <c r="R548" s="46"/>
    </row>
    <row r="549">
      <c r="A549" s="46"/>
      <c r="B549" s="46"/>
      <c r="C549" s="46"/>
      <c r="D549" s="46"/>
      <c r="E549" s="46"/>
      <c r="F549" s="46"/>
      <c r="G549" s="46"/>
      <c r="H549" s="46"/>
      <c r="I549" s="46"/>
      <c r="J549" s="46"/>
      <c r="K549" s="46"/>
      <c r="L549" s="46"/>
      <c r="M549" s="46"/>
      <c r="N549" s="46"/>
      <c r="O549" s="46"/>
      <c r="P549" s="46"/>
      <c r="Q549" s="46"/>
      <c r="R549" s="46"/>
    </row>
    <row r="550">
      <c r="A550" s="46"/>
      <c r="B550" s="46"/>
      <c r="C550" s="46"/>
      <c r="D550" s="46"/>
      <c r="E550" s="46"/>
      <c r="F550" s="46"/>
      <c r="G550" s="46"/>
      <c r="H550" s="46"/>
      <c r="I550" s="46"/>
      <c r="J550" s="46"/>
      <c r="K550" s="46"/>
      <c r="L550" s="46"/>
      <c r="M550" s="46"/>
      <c r="N550" s="46"/>
      <c r="O550" s="46"/>
      <c r="P550" s="46"/>
      <c r="Q550" s="46"/>
      <c r="R550" s="46"/>
    </row>
    <row r="551">
      <c r="A551" s="46"/>
      <c r="B551" s="46"/>
      <c r="C551" s="46"/>
      <c r="D551" s="46"/>
      <c r="E551" s="46"/>
      <c r="F551" s="46"/>
      <c r="G551" s="46"/>
      <c r="H551" s="46"/>
      <c r="I551" s="46"/>
      <c r="J551" s="46"/>
      <c r="K551" s="46"/>
      <c r="L551" s="46"/>
      <c r="M551" s="46"/>
      <c r="N551" s="46"/>
      <c r="O551" s="46"/>
      <c r="P551" s="46"/>
      <c r="Q551" s="46"/>
      <c r="R551" s="46"/>
    </row>
    <row r="552">
      <c r="A552" s="46"/>
      <c r="B552" s="46"/>
      <c r="C552" s="46"/>
      <c r="D552" s="46"/>
      <c r="E552" s="46"/>
      <c r="F552" s="46"/>
      <c r="G552" s="46"/>
      <c r="H552" s="46"/>
      <c r="I552" s="46"/>
      <c r="J552" s="46"/>
      <c r="K552" s="46"/>
      <c r="L552" s="46"/>
      <c r="M552" s="46"/>
      <c r="N552" s="46"/>
      <c r="O552" s="46"/>
      <c r="P552" s="46"/>
      <c r="Q552" s="46"/>
      <c r="R552" s="46"/>
    </row>
    <row r="553">
      <c r="A553" s="46"/>
      <c r="B553" s="46"/>
      <c r="C553" s="46"/>
      <c r="D553" s="46"/>
      <c r="E553" s="46"/>
      <c r="F553" s="46"/>
      <c r="G553" s="46"/>
      <c r="H553" s="46"/>
      <c r="I553" s="46"/>
      <c r="J553" s="46"/>
      <c r="K553" s="46"/>
      <c r="L553" s="46"/>
      <c r="M553" s="46"/>
      <c r="N553" s="46"/>
      <c r="O553" s="46"/>
      <c r="P553" s="46"/>
      <c r="Q553" s="46"/>
      <c r="R553" s="46"/>
    </row>
    <row r="554">
      <c r="A554" s="46"/>
      <c r="B554" s="46"/>
      <c r="C554" s="46"/>
      <c r="D554" s="46"/>
      <c r="E554" s="46"/>
      <c r="F554" s="46"/>
      <c r="G554" s="46"/>
      <c r="H554" s="46"/>
      <c r="I554" s="46"/>
      <c r="J554" s="46"/>
      <c r="K554" s="46"/>
      <c r="L554" s="46"/>
      <c r="M554" s="46"/>
      <c r="N554" s="46"/>
      <c r="O554" s="46"/>
      <c r="P554" s="46"/>
      <c r="Q554" s="46"/>
      <c r="R554" s="46"/>
    </row>
    <row r="555">
      <c r="A555" s="46"/>
      <c r="B555" s="46"/>
      <c r="C555" s="46"/>
      <c r="D555" s="46"/>
      <c r="E555" s="46"/>
      <c r="F555" s="46"/>
      <c r="G555" s="46"/>
      <c r="H555" s="46"/>
      <c r="I555" s="46"/>
      <c r="J555" s="46"/>
      <c r="K555" s="46"/>
      <c r="L555" s="46"/>
      <c r="M555" s="46"/>
      <c r="N555" s="46"/>
      <c r="O555" s="46"/>
      <c r="P555" s="46"/>
      <c r="Q555" s="46"/>
      <c r="R555" s="46"/>
    </row>
    <row r="556">
      <c r="A556" s="46"/>
      <c r="B556" s="46"/>
      <c r="C556" s="46"/>
      <c r="D556" s="46"/>
      <c r="E556" s="46"/>
      <c r="F556" s="46"/>
      <c r="G556" s="46"/>
      <c r="H556" s="46"/>
      <c r="I556" s="46"/>
      <c r="J556" s="46"/>
      <c r="K556" s="46"/>
      <c r="L556" s="46"/>
      <c r="M556" s="46"/>
      <c r="N556" s="46"/>
      <c r="O556" s="46"/>
      <c r="P556" s="46"/>
      <c r="Q556" s="46"/>
      <c r="R556" s="46"/>
    </row>
    <row r="557">
      <c r="A557" s="46"/>
      <c r="B557" s="46"/>
      <c r="C557" s="46"/>
      <c r="D557" s="46"/>
      <c r="E557" s="46"/>
      <c r="F557" s="46"/>
      <c r="G557" s="46"/>
      <c r="H557" s="46"/>
      <c r="I557" s="46"/>
      <c r="J557" s="46"/>
      <c r="K557" s="46"/>
      <c r="L557" s="46"/>
      <c r="M557" s="46"/>
      <c r="N557" s="46"/>
      <c r="O557" s="46"/>
      <c r="P557" s="46"/>
      <c r="Q557" s="46"/>
      <c r="R557" s="46"/>
    </row>
    <row r="558">
      <c r="A558" s="46"/>
      <c r="B558" s="46"/>
      <c r="C558" s="46"/>
      <c r="D558" s="46"/>
      <c r="E558" s="46"/>
      <c r="F558" s="46"/>
      <c r="G558" s="46"/>
      <c r="H558" s="46"/>
      <c r="I558" s="46"/>
      <c r="J558" s="46"/>
      <c r="K558" s="46"/>
      <c r="L558" s="46"/>
      <c r="M558" s="46"/>
      <c r="N558" s="46"/>
      <c r="O558" s="46"/>
      <c r="P558" s="46"/>
      <c r="Q558" s="46"/>
      <c r="R558" s="46"/>
    </row>
    <row r="559">
      <c r="A559" s="46"/>
      <c r="B559" s="46"/>
      <c r="C559" s="46"/>
      <c r="D559" s="46"/>
      <c r="E559" s="46"/>
      <c r="F559" s="46"/>
      <c r="G559" s="46"/>
      <c r="H559" s="46"/>
      <c r="I559" s="46"/>
      <c r="J559" s="46"/>
      <c r="K559" s="46"/>
      <c r="L559" s="46"/>
      <c r="M559" s="46"/>
      <c r="N559" s="46"/>
      <c r="O559" s="46"/>
      <c r="P559" s="46"/>
      <c r="Q559" s="46"/>
      <c r="R559" s="46"/>
    </row>
    <row r="560">
      <c r="A560" s="46"/>
      <c r="B560" s="46"/>
      <c r="C560" s="46"/>
      <c r="D560" s="46"/>
      <c r="E560" s="46"/>
      <c r="F560" s="46"/>
      <c r="G560" s="46"/>
      <c r="H560" s="46"/>
      <c r="I560" s="46"/>
      <c r="J560" s="46"/>
      <c r="K560" s="46"/>
      <c r="L560" s="46"/>
      <c r="M560" s="46"/>
      <c r="N560" s="46"/>
      <c r="O560" s="46"/>
      <c r="P560" s="46"/>
      <c r="Q560" s="46"/>
      <c r="R560" s="46"/>
    </row>
    <row r="561">
      <c r="A561" s="46"/>
      <c r="B561" s="46"/>
      <c r="C561" s="46"/>
      <c r="D561" s="46"/>
      <c r="E561" s="46"/>
      <c r="F561" s="46"/>
      <c r="G561" s="46"/>
      <c r="H561" s="46"/>
      <c r="I561" s="46"/>
      <c r="J561" s="46"/>
      <c r="K561" s="46"/>
      <c r="L561" s="46"/>
      <c r="M561" s="46"/>
      <c r="N561" s="46"/>
      <c r="O561" s="46"/>
      <c r="P561" s="46"/>
      <c r="Q561" s="46"/>
      <c r="R561" s="46"/>
    </row>
    <row r="562">
      <c r="A562" s="46"/>
      <c r="B562" s="46"/>
      <c r="C562" s="46"/>
      <c r="D562" s="46"/>
      <c r="E562" s="46"/>
      <c r="F562" s="46"/>
      <c r="G562" s="46"/>
      <c r="H562" s="46"/>
      <c r="I562" s="46"/>
      <c r="J562" s="46"/>
      <c r="K562" s="46"/>
      <c r="L562" s="46"/>
      <c r="M562" s="46"/>
      <c r="N562" s="46"/>
      <c r="O562" s="46"/>
      <c r="P562" s="46"/>
      <c r="Q562" s="46"/>
      <c r="R562" s="46"/>
    </row>
    <row r="563">
      <c r="A563" s="46"/>
      <c r="B563" s="46"/>
      <c r="C563" s="46"/>
      <c r="D563" s="46"/>
      <c r="E563" s="46"/>
      <c r="F563" s="46"/>
      <c r="G563" s="46"/>
      <c r="H563" s="46"/>
      <c r="I563" s="46"/>
      <c r="J563" s="46"/>
      <c r="K563" s="46"/>
      <c r="L563" s="46"/>
      <c r="M563" s="46"/>
      <c r="N563" s="46"/>
      <c r="O563" s="46"/>
      <c r="P563" s="46"/>
      <c r="Q563" s="46"/>
      <c r="R563" s="46"/>
    </row>
    <row r="564">
      <c r="A564" s="46"/>
      <c r="B564" s="46"/>
      <c r="C564" s="46"/>
      <c r="D564" s="46"/>
      <c r="E564" s="46"/>
      <c r="F564" s="46"/>
      <c r="G564" s="46"/>
      <c r="H564" s="46"/>
      <c r="I564" s="46"/>
      <c r="J564" s="46"/>
      <c r="K564" s="46"/>
      <c r="L564" s="46"/>
      <c r="M564" s="46"/>
      <c r="N564" s="46"/>
      <c r="O564" s="46"/>
      <c r="P564" s="46"/>
      <c r="Q564" s="46"/>
      <c r="R564" s="46"/>
    </row>
    <row r="565">
      <c r="A565" s="46"/>
      <c r="B565" s="46"/>
      <c r="C565" s="46"/>
      <c r="D565" s="46"/>
      <c r="E565" s="46"/>
      <c r="F565" s="46"/>
      <c r="G565" s="46"/>
      <c r="H565" s="46"/>
      <c r="I565" s="46"/>
      <c r="J565" s="46"/>
      <c r="K565" s="46"/>
      <c r="L565" s="46"/>
      <c r="M565" s="46"/>
      <c r="N565" s="46"/>
      <c r="O565" s="46"/>
      <c r="P565" s="46"/>
      <c r="Q565" s="46"/>
      <c r="R565" s="46"/>
    </row>
    <row r="566">
      <c r="A566" s="46"/>
      <c r="B566" s="46"/>
      <c r="C566" s="46"/>
      <c r="D566" s="46"/>
      <c r="E566" s="46"/>
      <c r="F566" s="46"/>
      <c r="G566" s="46"/>
      <c r="H566" s="46"/>
      <c r="I566" s="46"/>
      <c r="J566" s="46"/>
      <c r="K566" s="46"/>
      <c r="L566" s="46"/>
      <c r="M566" s="46"/>
      <c r="N566" s="46"/>
      <c r="O566" s="46"/>
      <c r="P566" s="46"/>
      <c r="Q566" s="46"/>
      <c r="R566" s="46"/>
    </row>
    <row r="567">
      <c r="A567" s="46"/>
      <c r="B567" s="46"/>
      <c r="C567" s="46"/>
      <c r="D567" s="46"/>
      <c r="E567" s="46"/>
      <c r="F567" s="46"/>
      <c r="G567" s="46"/>
      <c r="H567" s="46"/>
      <c r="I567" s="46"/>
      <c r="J567" s="46"/>
      <c r="K567" s="46"/>
      <c r="L567" s="46"/>
      <c r="M567" s="46"/>
      <c r="N567" s="46"/>
      <c r="O567" s="46"/>
      <c r="P567" s="46"/>
      <c r="Q567" s="46"/>
      <c r="R567" s="46"/>
    </row>
    <row r="568">
      <c r="A568" s="46"/>
      <c r="B568" s="46"/>
      <c r="C568" s="46"/>
      <c r="D568" s="46"/>
      <c r="E568" s="46"/>
      <c r="F568" s="46"/>
      <c r="G568" s="46"/>
      <c r="H568" s="46"/>
      <c r="I568" s="46"/>
      <c r="J568" s="46"/>
      <c r="K568" s="46"/>
      <c r="L568" s="46"/>
      <c r="M568" s="46"/>
      <c r="N568" s="46"/>
      <c r="O568" s="46"/>
      <c r="P568" s="46"/>
      <c r="Q568" s="46"/>
      <c r="R568" s="46"/>
    </row>
    <row r="569">
      <c r="A569" s="46"/>
      <c r="B569" s="46"/>
      <c r="C569" s="46"/>
      <c r="D569" s="46"/>
      <c r="E569" s="46"/>
      <c r="F569" s="46"/>
      <c r="G569" s="46"/>
      <c r="H569" s="46"/>
      <c r="I569" s="46"/>
      <c r="J569" s="46"/>
      <c r="K569" s="46"/>
      <c r="L569" s="46"/>
      <c r="M569" s="46"/>
      <c r="N569" s="46"/>
      <c r="O569" s="46"/>
      <c r="P569" s="46"/>
      <c r="Q569" s="46"/>
      <c r="R569" s="46"/>
    </row>
    <row r="570">
      <c r="A570" s="46"/>
      <c r="B570" s="46"/>
      <c r="C570" s="46"/>
      <c r="D570" s="46"/>
      <c r="E570" s="46"/>
      <c r="F570" s="46"/>
      <c r="G570" s="46"/>
      <c r="H570" s="46"/>
      <c r="I570" s="46"/>
      <c r="J570" s="46"/>
      <c r="K570" s="46"/>
      <c r="L570" s="46"/>
      <c r="M570" s="46"/>
      <c r="N570" s="46"/>
      <c r="O570" s="46"/>
      <c r="P570" s="46"/>
      <c r="Q570" s="46"/>
      <c r="R570" s="46"/>
    </row>
    <row r="571">
      <c r="A571" s="46"/>
      <c r="B571" s="46"/>
      <c r="C571" s="46"/>
      <c r="D571" s="46"/>
      <c r="E571" s="46"/>
      <c r="F571" s="46"/>
      <c r="G571" s="46"/>
      <c r="H571" s="46"/>
      <c r="I571" s="46"/>
      <c r="J571" s="46"/>
      <c r="K571" s="46"/>
      <c r="L571" s="46"/>
      <c r="M571" s="46"/>
      <c r="N571" s="46"/>
      <c r="O571" s="46"/>
      <c r="P571" s="46"/>
      <c r="Q571" s="46"/>
      <c r="R571" s="46"/>
    </row>
    <row r="572">
      <c r="A572" s="46"/>
      <c r="B572" s="46"/>
      <c r="C572" s="46"/>
      <c r="D572" s="46"/>
      <c r="E572" s="46"/>
      <c r="F572" s="46"/>
      <c r="G572" s="46"/>
      <c r="H572" s="46"/>
      <c r="I572" s="46"/>
      <c r="J572" s="46"/>
      <c r="K572" s="46"/>
      <c r="L572" s="46"/>
      <c r="M572" s="46"/>
      <c r="N572" s="46"/>
      <c r="O572" s="46"/>
      <c r="P572" s="46"/>
      <c r="Q572" s="46"/>
      <c r="R572" s="46"/>
    </row>
    <row r="573">
      <c r="A573" s="46"/>
      <c r="B573" s="46"/>
      <c r="C573" s="46"/>
      <c r="D573" s="46"/>
      <c r="E573" s="46"/>
      <c r="F573" s="46"/>
      <c r="G573" s="46"/>
      <c r="H573" s="46"/>
      <c r="I573" s="46"/>
      <c r="J573" s="46"/>
      <c r="K573" s="46"/>
      <c r="L573" s="46"/>
      <c r="M573" s="46"/>
      <c r="N573" s="46"/>
      <c r="O573" s="46"/>
      <c r="P573" s="46"/>
      <c r="Q573" s="46"/>
      <c r="R573" s="46"/>
    </row>
    <row r="574">
      <c r="A574" s="46"/>
      <c r="B574" s="46"/>
      <c r="C574" s="46"/>
      <c r="D574" s="46"/>
      <c r="E574" s="46"/>
      <c r="F574" s="46"/>
      <c r="G574" s="46"/>
      <c r="H574" s="46"/>
      <c r="I574" s="46"/>
      <c r="J574" s="46"/>
      <c r="K574" s="46"/>
      <c r="L574" s="46"/>
      <c r="M574" s="46"/>
      <c r="N574" s="46"/>
      <c r="O574" s="46"/>
      <c r="P574" s="46"/>
      <c r="Q574" s="46"/>
      <c r="R574" s="46"/>
    </row>
    <row r="575">
      <c r="A575" s="46"/>
      <c r="B575" s="46"/>
      <c r="C575" s="46"/>
      <c r="D575" s="46"/>
      <c r="E575" s="46"/>
      <c r="F575" s="46"/>
      <c r="G575" s="46"/>
      <c r="H575" s="46"/>
      <c r="I575" s="46"/>
      <c r="J575" s="46"/>
      <c r="K575" s="46"/>
      <c r="L575" s="46"/>
      <c r="M575" s="46"/>
      <c r="N575" s="46"/>
      <c r="O575" s="46"/>
      <c r="P575" s="46"/>
      <c r="Q575" s="46"/>
      <c r="R575" s="46"/>
    </row>
    <row r="576">
      <c r="A576" s="46"/>
      <c r="B576" s="46"/>
      <c r="C576" s="46"/>
      <c r="D576" s="46"/>
      <c r="E576" s="46"/>
      <c r="F576" s="46"/>
      <c r="G576" s="46"/>
      <c r="H576" s="46"/>
      <c r="I576" s="46"/>
      <c r="J576" s="46"/>
      <c r="K576" s="46"/>
      <c r="L576" s="46"/>
      <c r="M576" s="46"/>
      <c r="N576" s="46"/>
      <c r="O576" s="46"/>
      <c r="P576" s="46"/>
      <c r="Q576" s="46"/>
      <c r="R576" s="46"/>
    </row>
    <row r="577">
      <c r="A577" s="46"/>
      <c r="B577" s="46"/>
      <c r="C577" s="46"/>
      <c r="D577" s="46"/>
      <c r="E577" s="46"/>
      <c r="F577" s="46"/>
      <c r="G577" s="46"/>
      <c r="H577" s="46"/>
      <c r="I577" s="46"/>
      <c r="J577" s="46"/>
      <c r="K577" s="46"/>
      <c r="L577" s="46"/>
      <c r="M577" s="46"/>
      <c r="N577" s="46"/>
      <c r="O577" s="46"/>
      <c r="P577" s="46"/>
      <c r="Q577" s="46"/>
      <c r="R577" s="46"/>
    </row>
    <row r="578">
      <c r="A578" s="46"/>
      <c r="B578" s="46"/>
      <c r="C578" s="46"/>
      <c r="D578" s="46"/>
      <c r="E578" s="46"/>
      <c r="F578" s="46"/>
      <c r="G578" s="46"/>
      <c r="H578" s="46"/>
      <c r="I578" s="46"/>
      <c r="J578" s="46"/>
      <c r="K578" s="46"/>
      <c r="L578" s="46"/>
      <c r="M578" s="46"/>
      <c r="N578" s="46"/>
      <c r="O578" s="46"/>
      <c r="P578" s="46"/>
      <c r="Q578" s="46"/>
      <c r="R578" s="46"/>
    </row>
    <row r="579">
      <c r="A579" s="46"/>
      <c r="B579" s="46"/>
      <c r="C579" s="46"/>
      <c r="D579" s="46"/>
      <c r="E579" s="46"/>
      <c r="F579" s="46"/>
      <c r="G579" s="46"/>
      <c r="H579" s="46"/>
      <c r="I579" s="46"/>
      <c r="J579" s="46"/>
      <c r="K579" s="46"/>
      <c r="L579" s="46"/>
      <c r="M579" s="46"/>
      <c r="N579" s="46"/>
      <c r="O579" s="46"/>
      <c r="P579" s="46"/>
      <c r="Q579" s="46"/>
      <c r="R579" s="46"/>
    </row>
    <row r="580">
      <c r="A580" s="46"/>
      <c r="B580" s="46"/>
      <c r="C580" s="46"/>
      <c r="D580" s="46"/>
      <c r="E580" s="46"/>
      <c r="F580" s="46"/>
      <c r="G580" s="46"/>
      <c r="H580" s="46"/>
      <c r="I580" s="46"/>
      <c r="J580" s="46"/>
      <c r="K580" s="46"/>
      <c r="L580" s="46"/>
      <c r="M580" s="46"/>
      <c r="N580" s="46"/>
      <c r="O580" s="46"/>
      <c r="P580" s="46"/>
      <c r="Q580" s="46"/>
      <c r="R580" s="46"/>
    </row>
    <row r="581">
      <c r="A581" s="46"/>
      <c r="B581" s="46"/>
      <c r="C581" s="46"/>
      <c r="D581" s="46"/>
      <c r="E581" s="46"/>
      <c r="F581" s="46"/>
      <c r="G581" s="46"/>
      <c r="H581" s="46"/>
      <c r="I581" s="46"/>
      <c r="J581" s="46"/>
      <c r="K581" s="46"/>
      <c r="L581" s="46"/>
      <c r="M581" s="46"/>
      <c r="N581" s="46"/>
      <c r="O581" s="46"/>
      <c r="P581" s="46"/>
      <c r="Q581" s="46"/>
      <c r="R581" s="46"/>
    </row>
    <row r="582">
      <c r="A582" s="46"/>
      <c r="B582" s="46"/>
      <c r="C582" s="46"/>
      <c r="D582" s="46"/>
      <c r="E582" s="46"/>
      <c r="F582" s="46"/>
      <c r="G582" s="46"/>
      <c r="H582" s="46"/>
      <c r="I582" s="46"/>
      <c r="J582" s="46"/>
      <c r="K582" s="46"/>
      <c r="L582" s="46"/>
      <c r="M582" s="46"/>
      <c r="N582" s="46"/>
      <c r="O582" s="46"/>
      <c r="P582" s="46"/>
      <c r="Q582" s="46"/>
      <c r="R582" s="46"/>
    </row>
    <row r="583">
      <c r="A583" s="46"/>
      <c r="B583" s="46"/>
      <c r="C583" s="46"/>
      <c r="D583" s="46"/>
      <c r="E583" s="46"/>
      <c r="F583" s="46"/>
      <c r="G583" s="46"/>
      <c r="H583" s="46"/>
      <c r="I583" s="46"/>
      <c r="J583" s="46"/>
      <c r="K583" s="46"/>
      <c r="L583" s="46"/>
      <c r="M583" s="46"/>
      <c r="N583" s="46"/>
      <c r="O583" s="46"/>
      <c r="P583" s="46"/>
      <c r="Q583" s="46"/>
      <c r="R583" s="46"/>
    </row>
    <row r="584">
      <c r="A584" s="46"/>
      <c r="B584" s="46"/>
      <c r="C584" s="46"/>
      <c r="D584" s="46"/>
      <c r="E584" s="46"/>
      <c r="F584" s="46"/>
      <c r="G584" s="46"/>
      <c r="H584" s="46"/>
      <c r="I584" s="46"/>
      <c r="J584" s="46"/>
      <c r="K584" s="46"/>
      <c r="L584" s="46"/>
      <c r="M584" s="46"/>
      <c r="N584" s="46"/>
      <c r="O584" s="46"/>
      <c r="P584" s="46"/>
      <c r="Q584" s="46"/>
      <c r="R584" s="46"/>
    </row>
    <row r="585">
      <c r="A585" s="46"/>
      <c r="B585" s="46"/>
      <c r="C585" s="46"/>
      <c r="D585" s="46"/>
      <c r="E585" s="46"/>
      <c r="F585" s="46"/>
      <c r="G585" s="46"/>
      <c r="H585" s="46"/>
      <c r="I585" s="46"/>
      <c r="J585" s="46"/>
      <c r="K585" s="46"/>
      <c r="L585" s="46"/>
      <c r="M585" s="46"/>
      <c r="N585" s="46"/>
      <c r="O585" s="46"/>
      <c r="P585" s="46"/>
      <c r="Q585" s="46"/>
      <c r="R585" s="46"/>
    </row>
    <row r="586">
      <c r="A586" s="46"/>
      <c r="B586" s="46"/>
      <c r="C586" s="46"/>
      <c r="D586" s="46"/>
      <c r="E586" s="46"/>
      <c r="F586" s="46"/>
      <c r="G586" s="46"/>
      <c r="H586" s="46"/>
      <c r="I586" s="46"/>
      <c r="J586" s="46"/>
      <c r="K586" s="46"/>
      <c r="L586" s="46"/>
      <c r="M586" s="46"/>
      <c r="N586" s="46"/>
      <c r="O586" s="46"/>
      <c r="P586" s="46"/>
      <c r="Q586" s="46"/>
      <c r="R586" s="46"/>
    </row>
    <row r="587">
      <c r="A587" s="46"/>
      <c r="B587" s="46"/>
      <c r="C587" s="46"/>
      <c r="D587" s="46"/>
      <c r="E587" s="46"/>
      <c r="F587" s="46"/>
      <c r="G587" s="46"/>
      <c r="H587" s="46"/>
      <c r="I587" s="46"/>
      <c r="J587" s="46"/>
      <c r="K587" s="46"/>
      <c r="L587" s="46"/>
      <c r="M587" s="46"/>
      <c r="N587" s="46"/>
      <c r="O587" s="46"/>
      <c r="P587" s="46"/>
      <c r="Q587" s="46"/>
      <c r="R587" s="46"/>
    </row>
    <row r="588">
      <c r="A588" s="46"/>
      <c r="B588" s="46"/>
      <c r="C588" s="46"/>
      <c r="D588" s="46"/>
      <c r="E588" s="46"/>
      <c r="F588" s="46"/>
      <c r="G588" s="46"/>
      <c r="H588" s="46"/>
      <c r="I588" s="46"/>
      <c r="J588" s="46"/>
      <c r="K588" s="46"/>
      <c r="L588" s="46"/>
      <c r="M588" s="46"/>
      <c r="N588" s="46"/>
      <c r="O588" s="46"/>
      <c r="P588" s="46"/>
      <c r="Q588" s="46"/>
      <c r="R588" s="46"/>
    </row>
    <row r="589">
      <c r="A589" s="46"/>
      <c r="B589" s="46"/>
      <c r="C589" s="46"/>
      <c r="D589" s="46"/>
      <c r="E589" s="46"/>
      <c r="F589" s="46"/>
      <c r="G589" s="46"/>
      <c r="H589" s="46"/>
      <c r="I589" s="46"/>
      <c r="J589" s="46"/>
      <c r="K589" s="46"/>
      <c r="L589" s="46"/>
      <c r="M589" s="46"/>
      <c r="N589" s="46"/>
      <c r="O589" s="46"/>
      <c r="P589" s="46"/>
      <c r="Q589" s="46"/>
      <c r="R589" s="46"/>
    </row>
    <row r="590">
      <c r="A590" s="46"/>
      <c r="B590" s="46"/>
      <c r="C590" s="46"/>
      <c r="D590" s="46"/>
      <c r="E590" s="46"/>
      <c r="F590" s="46"/>
      <c r="G590" s="46"/>
      <c r="H590" s="46"/>
      <c r="I590" s="46"/>
      <c r="J590" s="46"/>
      <c r="K590" s="46"/>
      <c r="L590" s="46"/>
      <c r="M590" s="46"/>
      <c r="N590" s="46"/>
      <c r="O590" s="46"/>
      <c r="P590" s="46"/>
      <c r="Q590" s="46"/>
      <c r="R590" s="46"/>
    </row>
    <row r="591">
      <c r="A591" s="46"/>
      <c r="B591" s="46"/>
      <c r="C591" s="46"/>
      <c r="D591" s="46"/>
      <c r="E591" s="46"/>
      <c r="F591" s="46"/>
      <c r="G591" s="46"/>
      <c r="H591" s="46"/>
      <c r="I591" s="46"/>
      <c r="J591" s="46"/>
      <c r="K591" s="46"/>
      <c r="L591" s="46"/>
      <c r="M591" s="46"/>
      <c r="N591" s="46"/>
      <c r="O591" s="46"/>
      <c r="P591" s="46"/>
      <c r="Q591" s="46"/>
      <c r="R591" s="46"/>
    </row>
    <row r="592">
      <c r="A592" s="46"/>
      <c r="B592" s="46"/>
      <c r="C592" s="46"/>
      <c r="D592" s="46"/>
      <c r="E592" s="46"/>
      <c r="F592" s="46"/>
      <c r="G592" s="46"/>
      <c r="H592" s="46"/>
      <c r="I592" s="46"/>
      <c r="J592" s="46"/>
      <c r="K592" s="46"/>
      <c r="L592" s="46"/>
      <c r="M592" s="46"/>
      <c r="N592" s="46"/>
      <c r="O592" s="46"/>
      <c r="P592" s="46"/>
      <c r="Q592" s="46"/>
      <c r="R592" s="46"/>
    </row>
    <row r="593">
      <c r="A593" s="46"/>
      <c r="B593" s="46"/>
      <c r="C593" s="46"/>
      <c r="D593" s="46"/>
      <c r="E593" s="46"/>
      <c r="F593" s="46"/>
      <c r="G593" s="46"/>
      <c r="H593" s="46"/>
      <c r="I593" s="46"/>
      <c r="J593" s="46"/>
      <c r="K593" s="46"/>
      <c r="L593" s="46"/>
      <c r="M593" s="46"/>
      <c r="N593" s="46"/>
      <c r="O593" s="46"/>
      <c r="P593" s="46"/>
      <c r="Q593" s="46"/>
      <c r="R593" s="46"/>
    </row>
    <row r="594">
      <c r="A594" s="46"/>
      <c r="B594" s="46"/>
      <c r="C594" s="46"/>
      <c r="D594" s="46"/>
      <c r="E594" s="46"/>
      <c r="F594" s="46"/>
      <c r="G594" s="46"/>
      <c r="H594" s="46"/>
      <c r="I594" s="46"/>
      <c r="J594" s="46"/>
      <c r="K594" s="46"/>
      <c r="L594" s="46"/>
      <c r="M594" s="46"/>
      <c r="N594" s="46"/>
      <c r="O594" s="46"/>
      <c r="P594" s="46"/>
      <c r="Q594" s="46"/>
      <c r="R594" s="46"/>
    </row>
    <row r="595">
      <c r="A595" s="46"/>
      <c r="B595" s="46"/>
      <c r="C595" s="46"/>
      <c r="D595" s="46"/>
      <c r="E595" s="46"/>
      <c r="F595" s="46"/>
      <c r="G595" s="46"/>
      <c r="H595" s="46"/>
      <c r="I595" s="46"/>
      <c r="J595" s="46"/>
      <c r="K595" s="46"/>
      <c r="L595" s="46"/>
      <c r="M595" s="46"/>
      <c r="N595" s="46"/>
      <c r="O595" s="46"/>
      <c r="P595" s="46"/>
      <c r="Q595" s="46"/>
      <c r="R595" s="46"/>
    </row>
    <row r="596">
      <c r="A596" s="46"/>
      <c r="B596" s="46"/>
      <c r="C596" s="46"/>
      <c r="D596" s="46"/>
      <c r="E596" s="46"/>
      <c r="F596" s="46"/>
      <c r="G596" s="46"/>
      <c r="H596" s="46"/>
      <c r="I596" s="46"/>
      <c r="J596" s="46"/>
      <c r="K596" s="46"/>
      <c r="L596" s="46"/>
      <c r="M596" s="46"/>
      <c r="N596" s="46"/>
      <c r="O596" s="46"/>
      <c r="P596" s="46"/>
      <c r="Q596" s="46"/>
      <c r="R596" s="46"/>
    </row>
    <row r="597">
      <c r="A597" s="46"/>
      <c r="B597" s="46"/>
      <c r="C597" s="46"/>
      <c r="D597" s="46"/>
      <c r="E597" s="46"/>
      <c r="F597" s="46"/>
      <c r="G597" s="46"/>
      <c r="H597" s="46"/>
      <c r="I597" s="46"/>
      <c r="J597" s="46"/>
      <c r="K597" s="46"/>
      <c r="L597" s="46"/>
      <c r="M597" s="46"/>
      <c r="N597" s="46"/>
      <c r="O597" s="46"/>
      <c r="P597" s="46"/>
      <c r="Q597" s="46"/>
      <c r="R597" s="46"/>
    </row>
    <row r="598">
      <c r="A598" s="46"/>
      <c r="B598" s="46"/>
      <c r="C598" s="46"/>
      <c r="D598" s="46"/>
      <c r="E598" s="46"/>
      <c r="F598" s="46"/>
      <c r="G598" s="46"/>
      <c r="H598" s="46"/>
      <c r="I598" s="46"/>
      <c r="J598" s="46"/>
      <c r="K598" s="46"/>
      <c r="L598" s="46"/>
      <c r="M598" s="46"/>
      <c r="N598" s="46"/>
      <c r="O598" s="46"/>
      <c r="P598" s="46"/>
      <c r="Q598" s="46"/>
      <c r="R598" s="46"/>
    </row>
    <row r="599">
      <c r="A599" s="46"/>
      <c r="B599" s="46"/>
      <c r="C599" s="46"/>
      <c r="D599" s="46"/>
      <c r="E599" s="46"/>
      <c r="F599" s="46"/>
      <c r="G599" s="46"/>
      <c r="H599" s="46"/>
      <c r="I599" s="46"/>
      <c r="J599" s="46"/>
      <c r="K599" s="46"/>
      <c r="L599" s="46"/>
      <c r="M599" s="46"/>
      <c r="N599" s="46"/>
      <c r="O599" s="46"/>
      <c r="P599" s="46"/>
      <c r="Q599" s="46"/>
      <c r="R599" s="46"/>
    </row>
    <row r="600">
      <c r="A600" s="46"/>
      <c r="B600" s="46"/>
      <c r="C600" s="46"/>
      <c r="D600" s="46"/>
      <c r="E600" s="46"/>
      <c r="F600" s="46"/>
      <c r="G600" s="46"/>
      <c r="H600" s="46"/>
      <c r="I600" s="46"/>
      <c r="J600" s="46"/>
      <c r="K600" s="46"/>
      <c r="L600" s="46"/>
      <c r="M600" s="46"/>
      <c r="N600" s="46"/>
      <c r="O600" s="46"/>
      <c r="P600" s="46"/>
      <c r="Q600" s="46"/>
      <c r="R600" s="46"/>
    </row>
    <row r="601">
      <c r="A601" s="46"/>
      <c r="B601" s="46"/>
      <c r="C601" s="46"/>
      <c r="D601" s="46"/>
      <c r="E601" s="46"/>
      <c r="F601" s="46"/>
      <c r="G601" s="46"/>
      <c r="H601" s="46"/>
      <c r="I601" s="46"/>
      <c r="J601" s="46"/>
      <c r="K601" s="46"/>
      <c r="L601" s="46"/>
      <c r="M601" s="46"/>
      <c r="N601" s="46"/>
      <c r="O601" s="46"/>
      <c r="P601" s="46"/>
      <c r="Q601" s="46"/>
      <c r="R601" s="46"/>
    </row>
    <row r="602">
      <c r="A602" s="46"/>
      <c r="B602" s="46"/>
      <c r="C602" s="46"/>
      <c r="D602" s="46"/>
      <c r="E602" s="46"/>
      <c r="F602" s="46"/>
      <c r="G602" s="46"/>
      <c r="H602" s="46"/>
      <c r="I602" s="46"/>
      <c r="J602" s="46"/>
      <c r="K602" s="46"/>
      <c r="L602" s="46"/>
      <c r="M602" s="46"/>
      <c r="N602" s="46"/>
      <c r="O602" s="46"/>
      <c r="P602" s="46"/>
      <c r="Q602" s="46"/>
      <c r="R602" s="46"/>
    </row>
    <row r="603">
      <c r="A603" s="46"/>
      <c r="B603" s="46"/>
      <c r="C603" s="46"/>
      <c r="D603" s="46"/>
      <c r="E603" s="46"/>
      <c r="F603" s="46"/>
      <c r="G603" s="46"/>
      <c r="H603" s="46"/>
      <c r="I603" s="46"/>
      <c r="J603" s="46"/>
      <c r="K603" s="46"/>
      <c r="L603" s="46"/>
      <c r="M603" s="46"/>
      <c r="N603" s="46"/>
      <c r="O603" s="46"/>
      <c r="P603" s="46"/>
      <c r="Q603" s="46"/>
      <c r="R603" s="46"/>
    </row>
    <row r="604">
      <c r="A604" s="46"/>
      <c r="B604" s="46"/>
      <c r="C604" s="46"/>
      <c r="D604" s="46"/>
      <c r="E604" s="46"/>
      <c r="F604" s="46"/>
      <c r="G604" s="46"/>
      <c r="H604" s="46"/>
      <c r="I604" s="46"/>
      <c r="J604" s="46"/>
      <c r="K604" s="46"/>
      <c r="L604" s="46"/>
      <c r="M604" s="46"/>
      <c r="N604" s="46"/>
      <c r="O604" s="46"/>
      <c r="P604" s="46"/>
      <c r="Q604" s="46"/>
      <c r="R604" s="46"/>
    </row>
    <row r="605">
      <c r="A605" s="46"/>
      <c r="B605" s="46"/>
      <c r="C605" s="46"/>
      <c r="D605" s="46"/>
      <c r="E605" s="46"/>
      <c r="F605" s="46"/>
      <c r="G605" s="46"/>
      <c r="H605" s="46"/>
      <c r="I605" s="46"/>
      <c r="J605" s="46"/>
      <c r="K605" s="46"/>
      <c r="L605" s="46"/>
      <c r="M605" s="46"/>
      <c r="N605" s="46"/>
      <c r="O605" s="46"/>
      <c r="P605" s="46"/>
      <c r="Q605" s="46"/>
      <c r="R605" s="46"/>
    </row>
    <row r="606">
      <c r="A606" s="46"/>
      <c r="B606" s="46"/>
      <c r="C606" s="46"/>
      <c r="D606" s="46"/>
      <c r="E606" s="46"/>
      <c r="F606" s="46"/>
      <c r="G606" s="46"/>
      <c r="H606" s="46"/>
      <c r="I606" s="46"/>
      <c r="J606" s="46"/>
      <c r="K606" s="46"/>
      <c r="L606" s="46"/>
      <c r="M606" s="46"/>
      <c r="N606" s="46"/>
      <c r="O606" s="46"/>
      <c r="P606" s="46"/>
      <c r="Q606" s="46"/>
      <c r="R606" s="46"/>
    </row>
    <row r="607">
      <c r="A607" s="46"/>
      <c r="B607" s="46"/>
      <c r="C607" s="46"/>
      <c r="D607" s="46"/>
      <c r="E607" s="46"/>
      <c r="F607" s="46"/>
      <c r="G607" s="46"/>
      <c r="H607" s="46"/>
      <c r="I607" s="46"/>
      <c r="J607" s="46"/>
      <c r="K607" s="46"/>
      <c r="L607" s="46"/>
      <c r="M607" s="46"/>
      <c r="N607" s="46"/>
      <c r="O607" s="46"/>
      <c r="P607" s="46"/>
      <c r="Q607" s="46"/>
      <c r="R607" s="46"/>
    </row>
    <row r="608">
      <c r="A608" s="46"/>
      <c r="B608" s="46"/>
      <c r="C608" s="46"/>
      <c r="D608" s="46"/>
      <c r="E608" s="46"/>
      <c r="F608" s="46"/>
      <c r="G608" s="46"/>
      <c r="H608" s="46"/>
      <c r="I608" s="46"/>
      <c r="J608" s="46"/>
      <c r="K608" s="46"/>
      <c r="L608" s="46"/>
      <c r="M608" s="46"/>
      <c r="N608" s="46"/>
      <c r="O608" s="46"/>
      <c r="P608" s="46"/>
      <c r="Q608" s="46"/>
      <c r="R608" s="46"/>
    </row>
    <row r="609">
      <c r="A609" s="46"/>
      <c r="B609" s="46"/>
      <c r="C609" s="46"/>
      <c r="D609" s="46"/>
      <c r="E609" s="46"/>
      <c r="F609" s="46"/>
      <c r="G609" s="46"/>
      <c r="H609" s="46"/>
      <c r="I609" s="46"/>
      <c r="J609" s="46"/>
      <c r="K609" s="46"/>
      <c r="L609" s="46"/>
      <c r="M609" s="46"/>
      <c r="N609" s="46"/>
      <c r="O609" s="46"/>
      <c r="P609" s="46"/>
      <c r="Q609" s="46"/>
      <c r="R609" s="46"/>
    </row>
    <row r="610">
      <c r="A610" s="46"/>
      <c r="B610" s="46"/>
      <c r="C610" s="46"/>
      <c r="D610" s="46"/>
      <c r="E610" s="46"/>
      <c r="F610" s="46"/>
      <c r="G610" s="46"/>
      <c r="H610" s="46"/>
      <c r="I610" s="46"/>
      <c r="J610" s="46"/>
      <c r="K610" s="46"/>
      <c r="L610" s="46"/>
      <c r="M610" s="46"/>
      <c r="N610" s="46"/>
      <c r="O610" s="46"/>
      <c r="P610" s="46"/>
      <c r="Q610" s="46"/>
      <c r="R610" s="46"/>
    </row>
    <row r="611">
      <c r="A611" s="46"/>
      <c r="B611" s="46"/>
      <c r="C611" s="46"/>
      <c r="D611" s="46"/>
      <c r="E611" s="46"/>
      <c r="F611" s="46"/>
      <c r="G611" s="46"/>
      <c r="H611" s="46"/>
      <c r="I611" s="46"/>
      <c r="J611" s="46"/>
      <c r="K611" s="46"/>
      <c r="L611" s="46"/>
      <c r="M611" s="46"/>
      <c r="N611" s="46"/>
      <c r="O611" s="46"/>
      <c r="P611" s="46"/>
      <c r="Q611" s="46"/>
      <c r="R611" s="46"/>
    </row>
    <row r="612">
      <c r="A612" s="46"/>
      <c r="B612" s="46"/>
      <c r="C612" s="46"/>
      <c r="D612" s="46"/>
      <c r="E612" s="46"/>
      <c r="F612" s="46"/>
      <c r="G612" s="46"/>
      <c r="H612" s="46"/>
      <c r="I612" s="46"/>
      <c r="J612" s="46"/>
      <c r="K612" s="46"/>
      <c r="L612" s="46"/>
      <c r="M612" s="46"/>
      <c r="N612" s="46"/>
      <c r="O612" s="46"/>
      <c r="P612" s="46"/>
      <c r="Q612" s="46"/>
      <c r="R612" s="46"/>
    </row>
    <row r="613">
      <c r="A613" s="46"/>
      <c r="B613" s="46"/>
      <c r="C613" s="46"/>
      <c r="D613" s="46"/>
      <c r="E613" s="46"/>
      <c r="F613" s="46"/>
      <c r="G613" s="46"/>
      <c r="H613" s="46"/>
      <c r="I613" s="46"/>
      <c r="J613" s="46"/>
      <c r="K613" s="46"/>
      <c r="L613" s="46"/>
      <c r="M613" s="46"/>
      <c r="N613" s="46"/>
      <c r="O613" s="46"/>
      <c r="P613" s="46"/>
      <c r="Q613" s="46"/>
      <c r="R613" s="46"/>
    </row>
    <row r="614">
      <c r="A614" s="46"/>
      <c r="B614" s="46"/>
      <c r="C614" s="46"/>
      <c r="D614" s="46"/>
      <c r="E614" s="46"/>
      <c r="F614" s="46"/>
      <c r="G614" s="46"/>
      <c r="H614" s="46"/>
      <c r="I614" s="46"/>
      <c r="J614" s="46"/>
      <c r="K614" s="46"/>
      <c r="L614" s="46"/>
      <c r="M614" s="46"/>
      <c r="N614" s="46"/>
      <c r="O614" s="46"/>
      <c r="P614" s="46"/>
      <c r="Q614" s="46"/>
      <c r="R614" s="46"/>
    </row>
    <row r="615">
      <c r="A615" s="46"/>
      <c r="B615" s="46"/>
      <c r="C615" s="46"/>
      <c r="D615" s="46"/>
      <c r="E615" s="46"/>
      <c r="F615" s="46"/>
      <c r="G615" s="46"/>
      <c r="H615" s="46"/>
      <c r="I615" s="46"/>
      <c r="J615" s="46"/>
      <c r="K615" s="46"/>
      <c r="L615" s="46"/>
      <c r="M615" s="46"/>
      <c r="N615" s="46"/>
      <c r="O615" s="46"/>
      <c r="P615" s="46"/>
      <c r="Q615" s="46"/>
      <c r="R615" s="46"/>
    </row>
    <row r="616">
      <c r="A616" s="46"/>
      <c r="B616" s="46"/>
      <c r="C616" s="46"/>
      <c r="D616" s="46"/>
      <c r="E616" s="46"/>
      <c r="F616" s="46"/>
      <c r="G616" s="46"/>
      <c r="H616" s="46"/>
      <c r="I616" s="46"/>
      <c r="J616" s="46"/>
      <c r="K616" s="46"/>
      <c r="L616" s="46"/>
      <c r="M616" s="46"/>
      <c r="N616" s="46"/>
      <c r="O616" s="46"/>
      <c r="P616" s="46"/>
      <c r="Q616" s="46"/>
      <c r="R616" s="46"/>
    </row>
    <row r="617">
      <c r="A617" s="46"/>
      <c r="B617" s="46"/>
      <c r="C617" s="46"/>
      <c r="D617" s="46"/>
      <c r="E617" s="46"/>
      <c r="F617" s="46"/>
      <c r="G617" s="46"/>
      <c r="H617" s="46"/>
      <c r="I617" s="46"/>
      <c r="J617" s="46"/>
      <c r="K617" s="46"/>
      <c r="L617" s="46"/>
      <c r="M617" s="46"/>
      <c r="N617" s="46"/>
      <c r="O617" s="46"/>
      <c r="P617" s="46"/>
      <c r="Q617" s="46"/>
      <c r="R617" s="46"/>
    </row>
    <row r="618">
      <c r="A618" s="46"/>
      <c r="B618" s="46"/>
      <c r="C618" s="46"/>
      <c r="D618" s="46"/>
      <c r="E618" s="46"/>
      <c r="F618" s="46"/>
      <c r="G618" s="46"/>
      <c r="H618" s="46"/>
      <c r="I618" s="46"/>
      <c r="J618" s="46"/>
      <c r="K618" s="46"/>
      <c r="L618" s="46"/>
      <c r="M618" s="46"/>
      <c r="N618" s="46"/>
      <c r="O618" s="46"/>
      <c r="P618" s="46"/>
      <c r="Q618" s="46"/>
      <c r="R618" s="46"/>
    </row>
    <row r="619">
      <c r="A619" s="46"/>
      <c r="B619" s="46"/>
      <c r="C619" s="46"/>
      <c r="D619" s="46"/>
      <c r="E619" s="46"/>
      <c r="F619" s="46"/>
      <c r="G619" s="46"/>
      <c r="H619" s="46"/>
      <c r="I619" s="46"/>
      <c r="J619" s="46"/>
      <c r="K619" s="46"/>
      <c r="L619" s="46"/>
      <c r="M619" s="46"/>
      <c r="N619" s="46"/>
      <c r="O619" s="46"/>
      <c r="P619" s="46"/>
      <c r="Q619" s="46"/>
      <c r="R619" s="46"/>
    </row>
    <row r="620">
      <c r="A620" s="46"/>
      <c r="B620" s="46"/>
      <c r="C620" s="46"/>
      <c r="D620" s="46"/>
      <c r="E620" s="46"/>
      <c r="F620" s="46"/>
      <c r="G620" s="46"/>
      <c r="H620" s="46"/>
      <c r="I620" s="46"/>
      <c r="J620" s="46"/>
      <c r="K620" s="46"/>
      <c r="L620" s="46"/>
      <c r="M620" s="46"/>
      <c r="N620" s="46"/>
      <c r="O620" s="46"/>
      <c r="P620" s="46"/>
      <c r="Q620" s="46"/>
      <c r="R620" s="46"/>
    </row>
    <row r="621">
      <c r="A621" s="46"/>
      <c r="B621" s="46"/>
      <c r="C621" s="46"/>
      <c r="D621" s="46"/>
      <c r="E621" s="46"/>
      <c r="F621" s="46"/>
      <c r="G621" s="46"/>
      <c r="H621" s="46"/>
      <c r="I621" s="46"/>
      <c r="J621" s="46"/>
      <c r="K621" s="46"/>
      <c r="L621" s="46"/>
      <c r="M621" s="46"/>
      <c r="N621" s="46"/>
      <c r="O621" s="46"/>
      <c r="P621" s="46"/>
      <c r="Q621" s="46"/>
      <c r="R621" s="46"/>
    </row>
    <row r="622">
      <c r="A622" s="46"/>
      <c r="B622" s="46"/>
      <c r="C622" s="46"/>
      <c r="D622" s="46"/>
      <c r="E622" s="46"/>
      <c r="F622" s="46"/>
      <c r="G622" s="46"/>
      <c r="H622" s="46"/>
      <c r="I622" s="46"/>
      <c r="J622" s="46"/>
      <c r="K622" s="46"/>
      <c r="L622" s="46"/>
      <c r="M622" s="46"/>
      <c r="N622" s="46"/>
      <c r="O622" s="46"/>
      <c r="P622" s="46"/>
      <c r="Q622" s="46"/>
      <c r="R622" s="46"/>
    </row>
    <row r="623">
      <c r="A623" s="46"/>
      <c r="B623" s="46"/>
      <c r="C623" s="46"/>
      <c r="D623" s="46"/>
      <c r="E623" s="46"/>
      <c r="F623" s="46"/>
      <c r="G623" s="46"/>
      <c r="H623" s="46"/>
      <c r="I623" s="46"/>
      <c r="J623" s="46"/>
      <c r="K623" s="46"/>
      <c r="L623" s="46"/>
      <c r="M623" s="46"/>
      <c r="N623" s="46"/>
      <c r="O623" s="46"/>
      <c r="P623" s="46"/>
      <c r="Q623" s="46"/>
      <c r="R623" s="46"/>
    </row>
    <row r="624">
      <c r="A624" s="46"/>
      <c r="B624" s="46"/>
      <c r="C624" s="46"/>
      <c r="D624" s="46"/>
      <c r="E624" s="46"/>
      <c r="F624" s="46"/>
      <c r="G624" s="46"/>
      <c r="H624" s="46"/>
      <c r="I624" s="46"/>
      <c r="J624" s="46"/>
      <c r="K624" s="46"/>
      <c r="L624" s="46"/>
      <c r="M624" s="46"/>
      <c r="N624" s="46"/>
      <c r="O624" s="46"/>
      <c r="P624" s="46"/>
      <c r="Q624" s="46"/>
      <c r="R624" s="46"/>
    </row>
    <row r="625">
      <c r="A625" s="46"/>
      <c r="B625" s="46"/>
      <c r="C625" s="46"/>
      <c r="D625" s="46"/>
      <c r="E625" s="46"/>
      <c r="F625" s="46"/>
      <c r="G625" s="46"/>
      <c r="H625" s="46"/>
      <c r="I625" s="46"/>
      <c r="J625" s="46"/>
      <c r="K625" s="46"/>
      <c r="L625" s="46"/>
      <c r="M625" s="46"/>
      <c r="N625" s="46"/>
      <c r="O625" s="46"/>
      <c r="P625" s="46"/>
      <c r="Q625" s="46"/>
      <c r="R625" s="46"/>
    </row>
    <row r="626">
      <c r="A626" s="46"/>
      <c r="B626" s="46"/>
      <c r="C626" s="46"/>
      <c r="D626" s="46"/>
      <c r="E626" s="46"/>
      <c r="F626" s="46"/>
      <c r="G626" s="46"/>
      <c r="H626" s="46"/>
      <c r="I626" s="46"/>
      <c r="J626" s="46"/>
      <c r="K626" s="46"/>
      <c r="L626" s="46"/>
      <c r="M626" s="46"/>
      <c r="N626" s="46"/>
      <c r="O626" s="46"/>
      <c r="P626" s="46"/>
      <c r="Q626" s="46"/>
      <c r="R626" s="46"/>
    </row>
    <row r="627">
      <c r="A627" s="46"/>
      <c r="B627" s="46"/>
      <c r="C627" s="46"/>
      <c r="D627" s="46"/>
      <c r="E627" s="46"/>
      <c r="F627" s="46"/>
      <c r="G627" s="46"/>
      <c r="H627" s="46"/>
      <c r="I627" s="46"/>
      <c r="J627" s="46"/>
      <c r="K627" s="46"/>
      <c r="L627" s="46"/>
      <c r="M627" s="46"/>
      <c r="N627" s="46"/>
      <c r="O627" s="46"/>
      <c r="P627" s="46"/>
      <c r="Q627" s="46"/>
      <c r="R627" s="46"/>
    </row>
    <row r="628">
      <c r="A628" s="46"/>
      <c r="B628" s="46"/>
      <c r="C628" s="46"/>
      <c r="D628" s="46"/>
      <c r="E628" s="46"/>
      <c r="F628" s="46"/>
      <c r="G628" s="46"/>
      <c r="H628" s="46"/>
      <c r="I628" s="46"/>
      <c r="J628" s="46"/>
      <c r="K628" s="46"/>
      <c r="L628" s="46"/>
      <c r="M628" s="46"/>
      <c r="N628" s="46"/>
      <c r="O628" s="46"/>
      <c r="P628" s="46"/>
      <c r="Q628" s="46"/>
      <c r="R628" s="46"/>
    </row>
    <row r="629">
      <c r="A629" s="46"/>
      <c r="B629" s="46"/>
      <c r="C629" s="46"/>
      <c r="D629" s="46"/>
      <c r="E629" s="46"/>
      <c r="F629" s="46"/>
      <c r="G629" s="46"/>
      <c r="H629" s="46"/>
      <c r="I629" s="46"/>
      <c r="J629" s="46"/>
      <c r="K629" s="46"/>
      <c r="L629" s="46"/>
      <c r="M629" s="46"/>
      <c r="N629" s="46"/>
      <c r="O629" s="46"/>
      <c r="P629" s="46"/>
      <c r="Q629" s="46"/>
      <c r="R629" s="46"/>
    </row>
    <row r="630">
      <c r="A630" s="46"/>
      <c r="B630" s="46"/>
      <c r="C630" s="46"/>
      <c r="D630" s="46"/>
      <c r="E630" s="46"/>
      <c r="F630" s="46"/>
      <c r="G630" s="46"/>
      <c r="H630" s="46"/>
      <c r="I630" s="46"/>
      <c r="J630" s="46"/>
      <c r="K630" s="46"/>
      <c r="L630" s="46"/>
      <c r="M630" s="46"/>
      <c r="N630" s="46"/>
      <c r="O630" s="46"/>
      <c r="P630" s="46"/>
      <c r="Q630" s="46"/>
      <c r="R630" s="46"/>
    </row>
    <row r="631">
      <c r="A631" s="46"/>
      <c r="B631" s="46"/>
      <c r="C631" s="46"/>
      <c r="D631" s="46"/>
      <c r="E631" s="46"/>
      <c r="F631" s="46"/>
      <c r="G631" s="46"/>
      <c r="H631" s="46"/>
      <c r="I631" s="46"/>
      <c r="J631" s="46"/>
      <c r="K631" s="46"/>
      <c r="L631" s="46"/>
      <c r="M631" s="46"/>
      <c r="N631" s="46"/>
      <c r="O631" s="46"/>
      <c r="P631" s="46"/>
      <c r="Q631" s="46"/>
      <c r="R631" s="46"/>
    </row>
    <row r="632">
      <c r="A632" s="46"/>
      <c r="B632" s="46"/>
      <c r="C632" s="46"/>
      <c r="D632" s="46"/>
      <c r="E632" s="46"/>
      <c r="F632" s="46"/>
      <c r="G632" s="46"/>
      <c r="H632" s="46"/>
      <c r="I632" s="46"/>
      <c r="J632" s="46"/>
      <c r="K632" s="46"/>
      <c r="L632" s="46"/>
      <c r="M632" s="46"/>
      <c r="N632" s="46"/>
      <c r="O632" s="46"/>
      <c r="P632" s="46"/>
      <c r="Q632" s="46"/>
      <c r="R632" s="46"/>
    </row>
    <row r="633">
      <c r="A633" s="46"/>
      <c r="B633" s="46"/>
      <c r="C633" s="46"/>
      <c r="D633" s="46"/>
      <c r="E633" s="46"/>
      <c r="F633" s="46"/>
      <c r="G633" s="46"/>
      <c r="H633" s="46"/>
      <c r="I633" s="46"/>
      <c r="J633" s="46"/>
      <c r="K633" s="46"/>
      <c r="L633" s="46"/>
      <c r="M633" s="46"/>
      <c r="N633" s="46"/>
      <c r="O633" s="46"/>
      <c r="P633" s="46"/>
      <c r="Q633" s="46"/>
      <c r="R633" s="46"/>
    </row>
    <row r="634">
      <c r="A634" s="46"/>
      <c r="B634" s="46"/>
      <c r="C634" s="46"/>
      <c r="D634" s="46"/>
      <c r="E634" s="46"/>
      <c r="F634" s="46"/>
      <c r="G634" s="46"/>
      <c r="H634" s="46"/>
      <c r="I634" s="46"/>
      <c r="J634" s="46"/>
      <c r="K634" s="46"/>
      <c r="L634" s="46"/>
      <c r="M634" s="46"/>
      <c r="N634" s="46"/>
      <c r="O634" s="46"/>
      <c r="P634" s="46"/>
      <c r="Q634" s="46"/>
      <c r="R634" s="46"/>
    </row>
    <row r="635">
      <c r="A635" s="46"/>
      <c r="B635" s="46"/>
      <c r="C635" s="46"/>
      <c r="D635" s="46"/>
      <c r="E635" s="46"/>
      <c r="F635" s="46"/>
      <c r="G635" s="46"/>
      <c r="H635" s="46"/>
      <c r="I635" s="46"/>
      <c r="J635" s="46"/>
      <c r="K635" s="46"/>
      <c r="L635" s="46"/>
      <c r="M635" s="46"/>
      <c r="N635" s="46"/>
      <c r="O635" s="46"/>
      <c r="P635" s="46"/>
      <c r="Q635" s="46"/>
      <c r="R635" s="46"/>
    </row>
    <row r="636">
      <c r="A636" s="46"/>
      <c r="B636" s="46"/>
      <c r="C636" s="46"/>
      <c r="D636" s="46"/>
      <c r="E636" s="46"/>
      <c r="F636" s="46"/>
      <c r="G636" s="46"/>
      <c r="H636" s="46"/>
      <c r="I636" s="46"/>
      <c r="J636" s="46"/>
      <c r="K636" s="46"/>
      <c r="L636" s="46"/>
      <c r="M636" s="46"/>
      <c r="N636" s="46"/>
      <c r="O636" s="46"/>
      <c r="P636" s="46"/>
      <c r="Q636" s="46"/>
      <c r="R636" s="46"/>
    </row>
    <row r="637">
      <c r="A637" s="46"/>
      <c r="B637" s="46"/>
      <c r="C637" s="46"/>
      <c r="D637" s="46"/>
      <c r="E637" s="46"/>
      <c r="F637" s="46"/>
      <c r="G637" s="46"/>
      <c r="H637" s="46"/>
      <c r="I637" s="46"/>
      <c r="J637" s="46"/>
      <c r="K637" s="46"/>
      <c r="L637" s="46"/>
      <c r="M637" s="46"/>
      <c r="N637" s="46"/>
      <c r="O637" s="46"/>
      <c r="P637" s="46"/>
      <c r="Q637" s="46"/>
      <c r="R637" s="46"/>
    </row>
    <row r="638">
      <c r="A638" s="46"/>
      <c r="B638" s="46"/>
      <c r="C638" s="46"/>
      <c r="D638" s="46"/>
      <c r="E638" s="46"/>
      <c r="F638" s="46"/>
      <c r="G638" s="46"/>
      <c r="H638" s="46"/>
      <c r="I638" s="46"/>
      <c r="J638" s="46"/>
      <c r="K638" s="46"/>
      <c r="L638" s="46"/>
      <c r="M638" s="46"/>
      <c r="N638" s="46"/>
      <c r="O638" s="46"/>
      <c r="P638" s="46"/>
      <c r="Q638" s="46"/>
      <c r="R638" s="46"/>
    </row>
    <row r="639">
      <c r="A639" s="46"/>
      <c r="B639" s="46"/>
      <c r="C639" s="46"/>
      <c r="D639" s="46"/>
      <c r="E639" s="46"/>
      <c r="F639" s="46"/>
      <c r="G639" s="46"/>
      <c r="H639" s="46"/>
      <c r="I639" s="46"/>
      <c r="J639" s="46"/>
      <c r="K639" s="46"/>
      <c r="L639" s="46"/>
      <c r="M639" s="46"/>
      <c r="N639" s="46"/>
      <c r="O639" s="46"/>
      <c r="P639" s="46"/>
      <c r="Q639" s="46"/>
      <c r="R639" s="46"/>
    </row>
    <row r="640">
      <c r="A640" s="46"/>
      <c r="B640" s="46"/>
      <c r="C640" s="46"/>
      <c r="D640" s="46"/>
      <c r="E640" s="46"/>
      <c r="F640" s="46"/>
      <c r="G640" s="46"/>
      <c r="H640" s="46"/>
      <c r="I640" s="46"/>
      <c r="J640" s="46"/>
      <c r="K640" s="46"/>
      <c r="L640" s="46"/>
      <c r="M640" s="46"/>
      <c r="N640" s="46"/>
      <c r="O640" s="46"/>
      <c r="P640" s="46"/>
      <c r="Q640" s="46"/>
      <c r="R640" s="46"/>
    </row>
    <row r="641">
      <c r="A641" s="46"/>
      <c r="B641" s="46"/>
      <c r="C641" s="46"/>
      <c r="D641" s="46"/>
      <c r="E641" s="46"/>
      <c r="F641" s="46"/>
      <c r="G641" s="46"/>
      <c r="H641" s="46"/>
      <c r="I641" s="46"/>
      <c r="J641" s="46"/>
      <c r="K641" s="46"/>
      <c r="L641" s="46"/>
      <c r="M641" s="46"/>
      <c r="N641" s="46"/>
      <c r="O641" s="46"/>
      <c r="P641" s="46"/>
      <c r="Q641" s="46"/>
      <c r="R641" s="46"/>
    </row>
    <row r="642">
      <c r="A642" s="46"/>
      <c r="B642" s="46"/>
      <c r="C642" s="46"/>
      <c r="D642" s="46"/>
      <c r="E642" s="46"/>
      <c r="F642" s="46"/>
      <c r="G642" s="46"/>
      <c r="H642" s="46"/>
      <c r="I642" s="46"/>
      <c r="J642" s="46"/>
      <c r="K642" s="46"/>
      <c r="L642" s="46"/>
      <c r="M642" s="46"/>
      <c r="N642" s="46"/>
      <c r="O642" s="46"/>
      <c r="P642" s="46"/>
      <c r="Q642" s="46"/>
      <c r="R642" s="46"/>
    </row>
    <row r="643">
      <c r="A643" s="46"/>
      <c r="B643" s="46"/>
      <c r="C643" s="46"/>
      <c r="D643" s="46"/>
      <c r="E643" s="46"/>
      <c r="F643" s="46"/>
      <c r="G643" s="46"/>
      <c r="H643" s="46"/>
      <c r="I643" s="46"/>
      <c r="J643" s="46"/>
      <c r="K643" s="46"/>
      <c r="L643" s="46"/>
      <c r="M643" s="46"/>
      <c r="N643" s="46"/>
      <c r="O643" s="46"/>
      <c r="P643" s="46"/>
      <c r="Q643" s="46"/>
      <c r="R643" s="46"/>
    </row>
    <row r="644">
      <c r="A644" s="46"/>
      <c r="B644" s="46"/>
      <c r="C644" s="46"/>
      <c r="D644" s="46"/>
      <c r="E644" s="46"/>
      <c r="F644" s="46"/>
      <c r="G644" s="46"/>
      <c r="H644" s="46"/>
      <c r="I644" s="46"/>
      <c r="J644" s="46"/>
      <c r="K644" s="46"/>
      <c r="L644" s="46"/>
      <c r="M644" s="46"/>
      <c r="N644" s="46"/>
      <c r="O644" s="46"/>
      <c r="P644" s="46"/>
      <c r="Q644" s="46"/>
      <c r="R644" s="46"/>
    </row>
    <row r="645">
      <c r="A645" s="46"/>
      <c r="B645" s="46"/>
      <c r="C645" s="46"/>
      <c r="D645" s="46"/>
      <c r="E645" s="46"/>
      <c r="F645" s="46"/>
      <c r="G645" s="46"/>
      <c r="H645" s="46"/>
      <c r="I645" s="46"/>
      <c r="J645" s="46"/>
      <c r="K645" s="46"/>
      <c r="L645" s="46"/>
      <c r="M645" s="46"/>
      <c r="N645" s="46"/>
      <c r="O645" s="46"/>
      <c r="P645" s="46"/>
      <c r="Q645" s="46"/>
      <c r="R645" s="46"/>
    </row>
    <row r="646">
      <c r="A646" s="46"/>
      <c r="B646" s="46"/>
      <c r="C646" s="46"/>
      <c r="D646" s="46"/>
      <c r="E646" s="46"/>
      <c r="F646" s="46"/>
      <c r="G646" s="46"/>
      <c r="H646" s="46"/>
      <c r="I646" s="46"/>
      <c r="J646" s="46"/>
      <c r="K646" s="46"/>
      <c r="L646" s="46"/>
      <c r="M646" s="46"/>
      <c r="N646" s="46"/>
      <c r="O646" s="46"/>
      <c r="P646" s="46"/>
      <c r="Q646" s="46"/>
      <c r="R646" s="46"/>
    </row>
    <row r="647">
      <c r="A647" s="46"/>
      <c r="B647" s="46"/>
      <c r="C647" s="46"/>
      <c r="D647" s="46"/>
      <c r="E647" s="46"/>
      <c r="F647" s="46"/>
      <c r="G647" s="46"/>
      <c r="H647" s="46"/>
      <c r="I647" s="46"/>
      <c r="J647" s="46"/>
      <c r="K647" s="46"/>
      <c r="L647" s="46"/>
      <c r="M647" s="46"/>
      <c r="N647" s="46"/>
      <c r="O647" s="46"/>
      <c r="P647" s="46"/>
      <c r="Q647" s="46"/>
      <c r="R647" s="46"/>
    </row>
    <row r="648">
      <c r="A648" s="46"/>
      <c r="B648" s="46"/>
      <c r="C648" s="46"/>
      <c r="D648" s="46"/>
      <c r="E648" s="46"/>
      <c r="F648" s="46"/>
      <c r="G648" s="46"/>
      <c r="H648" s="46"/>
      <c r="I648" s="46"/>
      <c r="J648" s="46"/>
      <c r="K648" s="46"/>
      <c r="L648" s="46"/>
      <c r="M648" s="46"/>
      <c r="N648" s="46"/>
      <c r="O648" s="46"/>
      <c r="P648" s="46"/>
      <c r="Q648" s="46"/>
      <c r="R648" s="46"/>
    </row>
    <row r="649">
      <c r="A649" s="46"/>
      <c r="B649" s="46"/>
      <c r="C649" s="46"/>
      <c r="D649" s="46"/>
      <c r="E649" s="46"/>
      <c r="F649" s="46"/>
      <c r="G649" s="46"/>
      <c r="H649" s="46"/>
      <c r="I649" s="46"/>
      <c r="J649" s="46"/>
      <c r="K649" s="46"/>
      <c r="L649" s="46"/>
      <c r="M649" s="46"/>
      <c r="N649" s="46"/>
      <c r="O649" s="46"/>
      <c r="P649" s="46"/>
      <c r="Q649" s="46"/>
      <c r="R649" s="46"/>
    </row>
    <row r="650">
      <c r="A650" s="46"/>
      <c r="B650" s="46"/>
      <c r="C650" s="46"/>
      <c r="D650" s="46"/>
      <c r="E650" s="46"/>
      <c r="F650" s="46"/>
      <c r="G650" s="46"/>
      <c r="H650" s="46"/>
      <c r="I650" s="46"/>
      <c r="J650" s="46"/>
      <c r="K650" s="46"/>
      <c r="L650" s="46"/>
      <c r="M650" s="46"/>
      <c r="N650" s="46"/>
      <c r="O650" s="46"/>
      <c r="P650" s="46"/>
      <c r="Q650" s="46"/>
      <c r="R650" s="46"/>
    </row>
    <row r="651">
      <c r="A651" s="46"/>
      <c r="B651" s="46"/>
      <c r="C651" s="46"/>
      <c r="D651" s="46"/>
      <c r="E651" s="46"/>
      <c r="F651" s="46"/>
      <c r="G651" s="46"/>
      <c r="H651" s="46"/>
      <c r="I651" s="46"/>
      <c r="J651" s="46"/>
      <c r="K651" s="46"/>
      <c r="L651" s="46"/>
      <c r="M651" s="46"/>
      <c r="N651" s="46"/>
      <c r="O651" s="46"/>
      <c r="P651" s="46"/>
      <c r="Q651" s="46"/>
      <c r="R651" s="46"/>
    </row>
    <row r="652">
      <c r="A652" s="46"/>
      <c r="B652" s="46"/>
      <c r="C652" s="46"/>
      <c r="D652" s="46"/>
      <c r="E652" s="46"/>
      <c r="F652" s="46"/>
      <c r="G652" s="46"/>
      <c r="H652" s="46"/>
      <c r="I652" s="46"/>
      <c r="J652" s="46"/>
      <c r="K652" s="46"/>
      <c r="L652" s="46"/>
      <c r="M652" s="46"/>
      <c r="N652" s="46"/>
      <c r="O652" s="46"/>
      <c r="P652" s="46"/>
      <c r="Q652" s="46"/>
      <c r="R652" s="46"/>
    </row>
    <row r="653">
      <c r="A653" s="46"/>
      <c r="B653" s="46"/>
      <c r="C653" s="46"/>
      <c r="D653" s="46"/>
      <c r="E653" s="46"/>
      <c r="F653" s="46"/>
      <c r="G653" s="46"/>
      <c r="H653" s="46"/>
      <c r="I653" s="46"/>
      <c r="J653" s="46"/>
      <c r="K653" s="46"/>
      <c r="L653" s="46"/>
      <c r="M653" s="46"/>
      <c r="N653" s="46"/>
      <c r="O653" s="46"/>
      <c r="P653" s="46"/>
      <c r="Q653" s="46"/>
      <c r="R653" s="46"/>
    </row>
    <row r="654">
      <c r="A654" s="46"/>
      <c r="B654" s="46"/>
      <c r="C654" s="46"/>
      <c r="D654" s="46"/>
      <c r="E654" s="46"/>
      <c r="F654" s="46"/>
      <c r="G654" s="46"/>
      <c r="H654" s="46"/>
      <c r="I654" s="46"/>
      <c r="J654" s="46"/>
      <c r="K654" s="46"/>
      <c r="L654" s="46"/>
      <c r="M654" s="46"/>
      <c r="N654" s="46"/>
      <c r="O654" s="46"/>
      <c r="P654" s="46"/>
      <c r="Q654" s="46"/>
      <c r="R654" s="46"/>
    </row>
    <row r="655">
      <c r="A655" s="46"/>
      <c r="B655" s="46"/>
      <c r="C655" s="46"/>
      <c r="D655" s="46"/>
      <c r="E655" s="46"/>
      <c r="F655" s="46"/>
      <c r="G655" s="46"/>
      <c r="H655" s="46"/>
      <c r="I655" s="46"/>
      <c r="J655" s="46"/>
      <c r="K655" s="46"/>
      <c r="L655" s="46"/>
      <c r="M655" s="46"/>
      <c r="N655" s="46"/>
      <c r="O655" s="46"/>
      <c r="P655" s="46"/>
      <c r="Q655" s="46"/>
      <c r="R655" s="46"/>
    </row>
    <row r="656">
      <c r="A656" s="46"/>
      <c r="B656" s="46"/>
      <c r="C656" s="46"/>
      <c r="D656" s="46"/>
      <c r="E656" s="46"/>
      <c r="F656" s="46"/>
      <c r="G656" s="46"/>
      <c r="H656" s="46"/>
      <c r="I656" s="46"/>
      <c r="J656" s="46"/>
      <c r="K656" s="46"/>
      <c r="L656" s="46"/>
      <c r="M656" s="46"/>
      <c r="N656" s="46"/>
      <c r="O656" s="46"/>
      <c r="P656" s="46"/>
      <c r="Q656" s="46"/>
      <c r="R656" s="46"/>
    </row>
    <row r="657">
      <c r="A657" s="46"/>
      <c r="B657" s="46"/>
      <c r="C657" s="46"/>
      <c r="D657" s="46"/>
      <c r="E657" s="46"/>
      <c r="F657" s="46"/>
      <c r="G657" s="46"/>
      <c r="H657" s="46"/>
      <c r="I657" s="46"/>
      <c r="J657" s="46"/>
      <c r="K657" s="46"/>
      <c r="L657" s="46"/>
      <c r="M657" s="46"/>
      <c r="N657" s="46"/>
      <c r="O657" s="46"/>
      <c r="P657" s="46"/>
      <c r="Q657" s="46"/>
      <c r="R657" s="46"/>
    </row>
    <row r="658">
      <c r="A658" s="46"/>
      <c r="B658" s="46"/>
      <c r="C658" s="46"/>
      <c r="D658" s="46"/>
      <c r="E658" s="46"/>
      <c r="F658" s="46"/>
      <c r="G658" s="46"/>
      <c r="H658" s="46"/>
      <c r="I658" s="46"/>
      <c r="J658" s="46"/>
      <c r="K658" s="46"/>
      <c r="L658" s="46"/>
      <c r="M658" s="46"/>
      <c r="N658" s="46"/>
      <c r="O658" s="46"/>
      <c r="P658" s="46"/>
      <c r="Q658" s="46"/>
      <c r="R658" s="46"/>
    </row>
    <row r="659">
      <c r="A659" s="46"/>
      <c r="B659" s="46"/>
      <c r="C659" s="46"/>
      <c r="D659" s="46"/>
      <c r="E659" s="46"/>
      <c r="F659" s="46"/>
      <c r="G659" s="46"/>
      <c r="H659" s="46"/>
      <c r="I659" s="46"/>
      <c r="J659" s="46"/>
      <c r="K659" s="46"/>
      <c r="L659" s="46"/>
      <c r="M659" s="46"/>
      <c r="N659" s="46"/>
      <c r="O659" s="46"/>
      <c r="P659" s="46"/>
      <c r="Q659" s="46"/>
      <c r="R659" s="46"/>
    </row>
    <row r="660">
      <c r="A660" s="46"/>
      <c r="B660" s="46"/>
      <c r="C660" s="46"/>
      <c r="D660" s="46"/>
      <c r="E660" s="46"/>
      <c r="F660" s="46"/>
      <c r="G660" s="46"/>
      <c r="H660" s="46"/>
      <c r="I660" s="46"/>
      <c r="J660" s="46"/>
      <c r="K660" s="46"/>
      <c r="L660" s="46"/>
      <c r="M660" s="46"/>
      <c r="N660" s="46"/>
      <c r="O660" s="46"/>
      <c r="P660" s="46"/>
      <c r="Q660" s="46"/>
      <c r="R660" s="46"/>
    </row>
    <row r="661">
      <c r="A661" s="46"/>
      <c r="B661" s="46"/>
      <c r="C661" s="46"/>
      <c r="D661" s="46"/>
      <c r="E661" s="46"/>
      <c r="F661" s="46"/>
      <c r="G661" s="46"/>
      <c r="H661" s="46"/>
      <c r="I661" s="46"/>
      <c r="J661" s="46"/>
      <c r="K661" s="46"/>
      <c r="L661" s="46"/>
      <c r="M661" s="46"/>
      <c r="N661" s="46"/>
      <c r="O661" s="46"/>
      <c r="P661" s="46"/>
      <c r="Q661" s="46"/>
      <c r="R661" s="46"/>
    </row>
    <row r="662">
      <c r="A662" s="46"/>
      <c r="B662" s="46"/>
      <c r="C662" s="46"/>
      <c r="D662" s="46"/>
      <c r="E662" s="46"/>
      <c r="F662" s="46"/>
      <c r="G662" s="46"/>
      <c r="H662" s="46"/>
      <c r="I662" s="46"/>
      <c r="J662" s="46"/>
      <c r="K662" s="46"/>
      <c r="L662" s="46"/>
      <c r="M662" s="46"/>
      <c r="N662" s="46"/>
      <c r="O662" s="46"/>
      <c r="P662" s="46"/>
      <c r="Q662" s="46"/>
      <c r="R662" s="46"/>
    </row>
    <row r="663">
      <c r="A663" s="46"/>
      <c r="B663" s="46"/>
      <c r="C663" s="46"/>
      <c r="D663" s="46"/>
      <c r="E663" s="46"/>
      <c r="F663" s="46"/>
      <c r="G663" s="46"/>
      <c r="H663" s="46"/>
      <c r="I663" s="46"/>
      <c r="J663" s="46"/>
      <c r="K663" s="46"/>
      <c r="L663" s="46"/>
      <c r="M663" s="46"/>
      <c r="N663" s="46"/>
      <c r="O663" s="46"/>
      <c r="P663" s="46"/>
      <c r="Q663" s="46"/>
      <c r="R663" s="46"/>
    </row>
    <row r="664">
      <c r="A664" s="46"/>
      <c r="B664" s="46"/>
      <c r="C664" s="46"/>
      <c r="D664" s="46"/>
      <c r="E664" s="46"/>
      <c r="F664" s="46"/>
      <c r="G664" s="46"/>
      <c r="H664" s="46"/>
      <c r="I664" s="46"/>
      <c r="J664" s="46"/>
      <c r="K664" s="46"/>
      <c r="L664" s="46"/>
      <c r="M664" s="46"/>
      <c r="N664" s="46"/>
      <c r="O664" s="46"/>
      <c r="P664" s="46"/>
      <c r="Q664" s="46"/>
      <c r="R664" s="46"/>
    </row>
    <row r="665">
      <c r="A665" s="46"/>
      <c r="B665" s="46"/>
      <c r="C665" s="46"/>
      <c r="D665" s="46"/>
      <c r="E665" s="46"/>
      <c r="F665" s="46"/>
      <c r="G665" s="46"/>
      <c r="H665" s="46"/>
      <c r="I665" s="46"/>
      <c r="J665" s="46"/>
      <c r="K665" s="46"/>
      <c r="L665" s="46"/>
      <c r="M665" s="46"/>
      <c r="N665" s="46"/>
      <c r="O665" s="46"/>
      <c r="P665" s="46"/>
      <c r="Q665" s="46"/>
      <c r="R665" s="46"/>
    </row>
    <row r="666">
      <c r="A666" s="46"/>
      <c r="B666" s="46"/>
      <c r="C666" s="46"/>
      <c r="D666" s="46"/>
      <c r="E666" s="46"/>
      <c r="F666" s="46"/>
      <c r="G666" s="46"/>
      <c r="H666" s="46"/>
      <c r="I666" s="46"/>
      <c r="J666" s="46"/>
      <c r="K666" s="46"/>
      <c r="L666" s="46"/>
      <c r="M666" s="46"/>
      <c r="N666" s="46"/>
      <c r="O666" s="46"/>
      <c r="P666" s="46"/>
      <c r="Q666" s="46"/>
      <c r="R666" s="46"/>
    </row>
    <row r="667">
      <c r="A667" s="46"/>
      <c r="B667" s="46"/>
      <c r="C667" s="46"/>
      <c r="D667" s="46"/>
      <c r="E667" s="46"/>
      <c r="F667" s="46"/>
      <c r="G667" s="46"/>
      <c r="H667" s="46"/>
      <c r="I667" s="46"/>
      <c r="J667" s="46"/>
      <c r="K667" s="46"/>
      <c r="L667" s="46"/>
      <c r="M667" s="46"/>
      <c r="N667" s="46"/>
      <c r="O667" s="46"/>
      <c r="P667" s="46"/>
      <c r="Q667" s="46"/>
      <c r="R667" s="46"/>
    </row>
    <row r="668">
      <c r="A668" s="46"/>
      <c r="B668" s="46"/>
      <c r="C668" s="46"/>
      <c r="D668" s="46"/>
      <c r="E668" s="46"/>
      <c r="F668" s="46"/>
      <c r="G668" s="46"/>
      <c r="H668" s="46"/>
      <c r="I668" s="46"/>
      <c r="J668" s="46"/>
      <c r="K668" s="46"/>
      <c r="L668" s="46"/>
      <c r="M668" s="46"/>
      <c r="N668" s="46"/>
      <c r="O668" s="46"/>
      <c r="P668" s="46"/>
      <c r="Q668" s="46"/>
      <c r="R668" s="46"/>
    </row>
    <row r="669">
      <c r="A669" s="46"/>
      <c r="B669" s="46"/>
      <c r="C669" s="46"/>
      <c r="D669" s="46"/>
      <c r="E669" s="46"/>
      <c r="F669" s="46"/>
      <c r="G669" s="46"/>
      <c r="H669" s="46"/>
      <c r="I669" s="46"/>
      <c r="J669" s="46"/>
      <c r="K669" s="46"/>
      <c r="L669" s="46"/>
      <c r="M669" s="46"/>
      <c r="N669" s="46"/>
      <c r="O669" s="46"/>
      <c r="P669" s="46"/>
      <c r="Q669" s="46"/>
      <c r="R669" s="46"/>
    </row>
    <row r="670">
      <c r="A670" s="46"/>
      <c r="B670" s="46"/>
      <c r="C670" s="46"/>
      <c r="D670" s="46"/>
      <c r="E670" s="46"/>
      <c r="F670" s="46"/>
      <c r="G670" s="46"/>
      <c r="H670" s="46"/>
      <c r="I670" s="46"/>
      <c r="J670" s="46"/>
      <c r="K670" s="46"/>
      <c r="L670" s="46"/>
      <c r="M670" s="46"/>
      <c r="N670" s="46"/>
      <c r="O670" s="46"/>
      <c r="P670" s="46"/>
      <c r="Q670" s="46"/>
      <c r="R670" s="46"/>
    </row>
    <row r="671">
      <c r="A671" s="46"/>
      <c r="B671" s="46"/>
      <c r="C671" s="46"/>
      <c r="D671" s="46"/>
      <c r="E671" s="46"/>
      <c r="F671" s="46"/>
      <c r="G671" s="46"/>
      <c r="H671" s="46"/>
      <c r="I671" s="46"/>
      <c r="J671" s="46"/>
      <c r="K671" s="46"/>
      <c r="L671" s="46"/>
      <c r="M671" s="46"/>
      <c r="N671" s="46"/>
      <c r="O671" s="46"/>
      <c r="P671" s="46"/>
      <c r="Q671" s="46"/>
      <c r="R671" s="46"/>
    </row>
    <row r="672">
      <c r="A672" s="46"/>
      <c r="B672" s="46"/>
      <c r="C672" s="46"/>
      <c r="D672" s="46"/>
      <c r="E672" s="46"/>
      <c r="F672" s="46"/>
      <c r="G672" s="46"/>
      <c r="H672" s="46"/>
      <c r="I672" s="46"/>
      <c r="J672" s="46"/>
      <c r="K672" s="46"/>
      <c r="L672" s="46"/>
      <c r="M672" s="46"/>
      <c r="N672" s="46"/>
      <c r="O672" s="46"/>
      <c r="P672" s="46"/>
      <c r="Q672" s="46"/>
      <c r="R672" s="46"/>
    </row>
    <row r="673">
      <c r="A673" s="46"/>
      <c r="B673" s="46"/>
      <c r="C673" s="46"/>
      <c r="D673" s="46"/>
      <c r="E673" s="46"/>
      <c r="F673" s="46"/>
      <c r="G673" s="46"/>
      <c r="H673" s="46"/>
      <c r="I673" s="46"/>
      <c r="J673" s="46"/>
      <c r="K673" s="46"/>
      <c r="L673" s="46"/>
      <c r="M673" s="46"/>
      <c r="N673" s="46"/>
      <c r="O673" s="46"/>
      <c r="P673" s="46"/>
      <c r="Q673" s="46"/>
      <c r="R673" s="46"/>
    </row>
    <row r="674">
      <c r="A674" s="46"/>
      <c r="B674" s="46"/>
      <c r="C674" s="46"/>
      <c r="D674" s="46"/>
      <c r="E674" s="46"/>
      <c r="F674" s="46"/>
      <c r="G674" s="46"/>
      <c r="H674" s="46"/>
      <c r="I674" s="46"/>
      <c r="J674" s="46"/>
      <c r="K674" s="46"/>
      <c r="L674" s="46"/>
      <c r="M674" s="46"/>
      <c r="N674" s="46"/>
      <c r="O674" s="46"/>
      <c r="P674" s="46"/>
      <c r="Q674" s="46"/>
      <c r="R674" s="46"/>
    </row>
    <row r="675">
      <c r="A675" s="46"/>
      <c r="B675" s="46"/>
      <c r="C675" s="46"/>
      <c r="D675" s="46"/>
      <c r="E675" s="46"/>
      <c r="F675" s="46"/>
      <c r="G675" s="46"/>
      <c r="H675" s="46"/>
      <c r="I675" s="46"/>
      <c r="J675" s="46"/>
      <c r="K675" s="46"/>
      <c r="L675" s="46"/>
      <c r="M675" s="46"/>
      <c r="N675" s="46"/>
      <c r="O675" s="46"/>
      <c r="P675" s="46"/>
      <c r="Q675" s="46"/>
      <c r="R675" s="46"/>
    </row>
    <row r="676">
      <c r="A676" s="46"/>
      <c r="B676" s="46"/>
      <c r="C676" s="46"/>
      <c r="D676" s="46"/>
      <c r="E676" s="46"/>
      <c r="F676" s="46"/>
      <c r="G676" s="46"/>
      <c r="H676" s="46"/>
      <c r="I676" s="46"/>
      <c r="J676" s="46"/>
      <c r="K676" s="46"/>
      <c r="L676" s="46"/>
      <c r="M676" s="46"/>
      <c r="N676" s="46"/>
      <c r="O676" s="46"/>
      <c r="P676" s="46"/>
      <c r="Q676" s="46"/>
      <c r="R676" s="46"/>
    </row>
    <row r="677">
      <c r="A677" s="46"/>
      <c r="B677" s="46"/>
      <c r="C677" s="46"/>
      <c r="D677" s="46"/>
      <c r="E677" s="46"/>
      <c r="F677" s="46"/>
      <c r="G677" s="46"/>
      <c r="H677" s="46"/>
      <c r="I677" s="46"/>
      <c r="J677" s="46"/>
      <c r="K677" s="46"/>
      <c r="L677" s="46"/>
      <c r="M677" s="46"/>
      <c r="N677" s="46"/>
      <c r="O677" s="46"/>
      <c r="P677" s="46"/>
      <c r="Q677" s="46"/>
      <c r="R677" s="46"/>
    </row>
    <row r="678">
      <c r="A678" s="46"/>
      <c r="B678" s="46"/>
      <c r="C678" s="46"/>
      <c r="D678" s="46"/>
      <c r="E678" s="46"/>
      <c r="F678" s="46"/>
      <c r="G678" s="46"/>
      <c r="H678" s="46"/>
      <c r="I678" s="46"/>
      <c r="J678" s="46"/>
      <c r="K678" s="46"/>
      <c r="L678" s="46"/>
      <c r="M678" s="46"/>
      <c r="N678" s="46"/>
      <c r="O678" s="46"/>
      <c r="P678" s="46"/>
      <c r="Q678" s="46"/>
      <c r="R678" s="46"/>
    </row>
    <row r="679">
      <c r="A679" s="46"/>
      <c r="B679" s="46"/>
      <c r="C679" s="46"/>
      <c r="D679" s="46"/>
      <c r="E679" s="46"/>
      <c r="F679" s="46"/>
      <c r="G679" s="46"/>
      <c r="H679" s="46"/>
      <c r="I679" s="46"/>
      <c r="J679" s="46"/>
      <c r="K679" s="46"/>
      <c r="L679" s="46"/>
      <c r="M679" s="46"/>
      <c r="N679" s="46"/>
      <c r="O679" s="46"/>
      <c r="P679" s="46"/>
      <c r="Q679" s="46"/>
      <c r="R679" s="46"/>
    </row>
    <row r="680">
      <c r="A680" s="46"/>
      <c r="B680" s="46"/>
      <c r="C680" s="46"/>
      <c r="D680" s="46"/>
      <c r="E680" s="46"/>
      <c r="F680" s="46"/>
      <c r="G680" s="46"/>
      <c r="H680" s="46"/>
      <c r="I680" s="46"/>
      <c r="J680" s="46"/>
      <c r="K680" s="46"/>
      <c r="L680" s="46"/>
      <c r="M680" s="46"/>
      <c r="N680" s="46"/>
      <c r="O680" s="46"/>
      <c r="P680" s="46"/>
      <c r="Q680" s="46"/>
      <c r="R680" s="46"/>
    </row>
    <row r="681">
      <c r="A681" s="46"/>
      <c r="B681" s="46"/>
      <c r="C681" s="46"/>
      <c r="D681" s="46"/>
      <c r="E681" s="46"/>
      <c r="F681" s="46"/>
      <c r="G681" s="46"/>
      <c r="H681" s="46"/>
      <c r="I681" s="46"/>
      <c r="J681" s="46"/>
      <c r="K681" s="46"/>
      <c r="L681" s="46"/>
      <c r="M681" s="46"/>
      <c r="N681" s="46"/>
      <c r="O681" s="46"/>
      <c r="P681" s="46"/>
      <c r="Q681" s="46"/>
      <c r="R681" s="46"/>
    </row>
    <row r="682">
      <c r="A682" s="46"/>
      <c r="B682" s="46"/>
      <c r="C682" s="46"/>
      <c r="D682" s="46"/>
      <c r="E682" s="46"/>
      <c r="F682" s="46"/>
      <c r="G682" s="46"/>
      <c r="H682" s="46"/>
      <c r="I682" s="46"/>
      <c r="J682" s="46"/>
      <c r="K682" s="46"/>
      <c r="L682" s="46"/>
      <c r="M682" s="46"/>
      <c r="N682" s="46"/>
      <c r="O682" s="46"/>
      <c r="P682" s="46"/>
      <c r="Q682" s="46"/>
      <c r="R682" s="46"/>
    </row>
    <row r="683">
      <c r="A683" s="46"/>
      <c r="B683" s="46"/>
      <c r="C683" s="46"/>
      <c r="D683" s="46"/>
      <c r="E683" s="46"/>
      <c r="F683" s="46"/>
      <c r="G683" s="46"/>
      <c r="H683" s="46"/>
      <c r="I683" s="46"/>
      <c r="J683" s="46"/>
      <c r="K683" s="46"/>
      <c r="L683" s="46"/>
      <c r="M683" s="46"/>
      <c r="N683" s="46"/>
      <c r="O683" s="46"/>
      <c r="P683" s="46"/>
      <c r="Q683" s="46"/>
      <c r="R683" s="46"/>
    </row>
    <row r="684">
      <c r="A684" s="46"/>
      <c r="B684" s="46"/>
      <c r="C684" s="46"/>
      <c r="D684" s="46"/>
      <c r="E684" s="46"/>
      <c r="F684" s="46"/>
      <c r="G684" s="46"/>
      <c r="H684" s="46"/>
      <c r="I684" s="46"/>
      <c r="J684" s="46"/>
      <c r="K684" s="46"/>
      <c r="L684" s="46"/>
      <c r="M684" s="46"/>
      <c r="N684" s="46"/>
      <c r="O684" s="46"/>
      <c r="P684" s="46"/>
      <c r="Q684" s="46"/>
      <c r="R684" s="46"/>
    </row>
    <row r="685">
      <c r="A685" s="46"/>
      <c r="B685" s="46"/>
      <c r="C685" s="46"/>
      <c r="D685" s="46"/>
      <c r="E685" s="46"/>
      <c r="F685" s="46"/>
      <c r="G685" s="46"/>
      <c r="H685" s="46"/>
      <c r="I685" s="46"/>
      <c r="J685" s="46"/>
      <c r="K685" s="46"/>
      <c r="L685" s="46"/>
      <c r="M685" s="46"/>
      <c r="N685" s="46"/>
      <c r="O685" s="46"/>
      <c r="P685" s="46"/>
      <c r="Q685" s="46"/>
      <c r="R685" s="46"/>
    </row>
    <row r="686">
      <c r="A686" s="46"/>
      <c r="B686" s="46"/>
      <c r="C686" s="46"/>
      <c r="D686" s="46"/>
      <c r="E686" s="46"/>
      <c r="F686" s="46"/>
      <c r="G686" s="46"/>
      <c r="H686" s="46"/>
      <c r="I686" s="46"/>
      <c r="J686" s="46"/>
      <c r="K686" s="46"/>
      <c r="L686" s="46"/>
      <c r="M686" s="46"/>
      <c r="N686" s="46"/>
      <c r="O686" s="46"/>
      <c r="P686" s="46"/>
      <c r="Q686" s="46"/>
      <c r="R686" s="46"/>
    </row>
    <row r="687">
      <c r="A687" s="46"/>
      <c r="B687" s="46"/>
      <c r="C687" s="46"/>
      <c r="D687" s="46"/>
      <c r="E687" s="46"/>
      <c r="F687" s="46"/>
      <c r="G687" s="46"/>
      <c r="H687" s="46"/>
      <c r="I687" s="46"/>
      <c r="J687" s="46"/>
      <c r="K687" s="46"/>
      <c r="L687" s="46"/>
      <c r="M687" s="46"/>
      <c r="N687" s="46"/>
      <c r="O687" s="46"/>
      <c r="P687" s="46"/>
      <c r="Q687" s="46"/>
      <c r="R687" s="46"/>
    </row>
    <row r="688">
      <c r="A688" s="46"/>
      <c r="B688" s="46"/>
      <c r="C688" s="46"/>
      <c r="D688" s="46"/>
      <c r="E688" s="46"/>
      <c r="F688" s="46"/>
      <c r="G688" s="46"/>
      <c r="H688" s="46"/>
      <c r="I688" s="46"/>
      <c r="J688" s="46"/>
      <c r="K688" s="46"/>
      <c r="L688" s="46"/>
      <c r="M688" s="46"/>
      <c r="N688" s="46"/>
      <c r="O688" s="46"/>
      <c r="P688" s="46"/>
      <c r="Q688" s="46"/>
      <c r="R688" s="46"/>
    </row>
    <row r="689">
      <c r="A689" s="46"/>
      <c r="B689" s="46"/>
      <c r="C689" s="46"/>
      <c r="D689" s="46"/>
      <c r="E689" s="46"/>
      <c r="F689" s="46"/>
      <c r="G689" s="46"/>
      <c r="H689" s="46"/>
      <c r="I689" s="46"/>
      <c r="J689" s="46"/>
      <c r="K689" s="46"/>
      <c r="L689" s="46"/>
      <c r="M689" s="46"/>
      <c r="N689" s="46"/>
      <c r="O689" s="46"/>
      <c r="P689" s="46"/>
      <c r="Q689" s="46"/>
      <c r="R689" s="46"/>
    </row>
    <row r="690">
      <c r="A690" s="46"/>
      <c r="B690" s="46"/>
      <c r="C690" s="46"/>
      <c r="D690" s="46"/>
      <c r="E690" s="46"/>
      <c r="F690" s="46"/>
      <c r="G690" s="46"/>
      <c r="H690" s="46"/>
      <c r="I690" s="46"/>
      <c r="J690" s="46"/>
      <c r="K690" s="46"/>
      <c r="L690" s="46"/>
      <c r="M690" s="46"/>
      <c r="N690" s="46"/>
      <c r="O690" s="46"/>
      <c r="P690" s="46"/>
      <c r="Q690" s="46"/>
      <c r="R690" s="46"/>
    </row>
    <row r="691">
      <c r="A691" s="46"/>
      <c r="B691" s="46"/>
      <c r="C691" s="46"/>
      <c r="D691" s="46"/>
      <c r="E691" s="46"/>
      <c r="F691" s="46"/>
      <c r="G691" s="46"/>
      <c r="H691" s="46"/>
      <c r="I691" s="46"/>
      <c r="J691" s="46"/>
      <c r="K691" s="46"/>
      <c r="L691" s="46"/>
      <c r="M691" s="46"/>
      <c r="N691" s="46"/>
      <c r="O691" s="46"/>
      <c r="P691" s="46"/>
      <c r="Q691" s="46"/>
      <c r="R691" s="46"/>
    </row>
    <row r="692">
      <c r="A692" s="46"/>
      <c r="B692" s="46"/>
      <c r="C692" s="46"/>
      <c r="D692" s="46"/>
      <c r="E692" s="46"/>
      <c r="F692" s="46"/>
      <c r="G692" s="46"/>
      <c r="H692" s="46"/>
      <c r="I692" s="46"/>
      <c r="J692" s="46"/>
      <c r="K692" s="46"/>
      <c r="L692" s="46"/>
      <c r="M692" s="46"/>
      <c r="N692" s="46"/>
      <c r="O692" s="46"/>
      <c r="P692" s="46"/>
      <c r="Q692" s="46"/>
      <c r="R692" s="46"/>
    </row>
    <row r="693">
      <c r="A693" s="46"/>
      <c r="B693" s="46"/>
      <c r="C693" s="46"/>
      <c r="D693" s="46"/>
      <c r="E693" s="46"/>
      <c r="F693" s="46"/>
      <c r="G693" s="46"/>
      <c r="H693" s="46"/>
      <c r="I693" s="46"/>
      <c r="J693" s="46"/>
      <c r="K693" s="46"/>
      <c r="L693" s="46"/>
      <c r="M693" s="46"/>
      <c r="N693" s="46"/>
      <c r="O693" s="46"/>
      <c r="P693" s="46"/>
      <c r="Q693" s="46"/>
      <c r="R693" s="46"/>
    </row>
    <row r="694">
      <c r="A694" s="46"/>
      <c r="B694" s="46"/>
      <c r="C694" s="46"/>
      <c r="D694" s="46"/>
      <c r="E694" s="46"/>
      <c r="F694" s="46"/>
      <c r="G694" s="46"/>
      <c r="H694" s="46"/>
      <c r="I694" s="46"/>
      <c r="J694" s="46"/>
      <c r="K694" s="46"/>
      <c r="L694" s="46"/>
      <c r="M694" s="46"/>
      <c r="N694" s="46"/>
      <c r="O694" s="46"/>
      <c r="P694" s="46"/>
      <c r="Q694" s="46"/>
      <c r="R694" s="46"/>
    </row>
    <row r="695">
      <c r="A695" s="46"/>
      <c r="B695" s="46"/>
      <c r="C695" s="46"/>
      <c r="D695" s="46"/>
      <c r="E695" s="46"/>
      <c r="F695" s="46"/>
      <c r="G695" s="46"/>
      <c r="H695" s="46"/>
      <c r="I695" s="46"/>
      <c r="J695" s="46"/>
      <c r="K695" s="46"/>
      <c r="L695" s="46"/>
      <c r="M695" s="46"/>
      <c r="N695" s="46"/>
      <c r="O695" s="46"/>
      <c r="P695" s="46"/>
      <c r="Q695" s="46"/>
      <c r="R695" s="46"/>
    </row>
    <row r="696">
      <c r="A696" s="46"/>
      <c r="B696" s="46"/>
      <c r="C696" s="46"/>
      <c r="D696" s="46"/>
      <c r="E696" s="46"/>
      <c r="F696" s="46"/>
      <c r="G696" s="46"/>
      <c r="H696" s="46"/>
      <c r="I696" s="46"/>
      <c r="J696" s="46"/>
      <c r="K696" s="46"/>
      <c r="L696" s="46"/>
      <c r="M696" s="46"/>
      <c r="N696" s="46"/>
      <c r="O696" s="46"/>
      <c r="P696" s="46"/>
      <c r="Q696" s="46"/>
      <c r="R696" s="46"/>
    </row>
    <row r="697">
      <c r="A697" s="46"/>
      <c r="B697" s="46"/>
      <c r="C697" s="46"/>
      <c r="D697" s="46"/>
      <c r="E697" s="46"/>
      <c r="F697" s="46"/>
      <c r="G697" s="46"/>
      <c r="H697" s="46"/>
      <c r="I697" s="46"/>
      <c r="J697" s="46"/>
      <c r="K697" s="46"/>
      <c r="L697" s="46"/>
      <c r="M697" s="46"/>
      <c r="N697" s="46"/>
      <c r="O697" s="46"/>
      <c r="P697" s="46"/>
      <c r="Q697" s="46"/>
      <c r="R697" s="46"/>
    </row>
    <row r="698">
      <c r="A698" s="46"/>
      <c r="B698" s="46"/>
      <c r="C698" s="46"/>
      <c r="D698" s="46"/>
      <c r="E698" s="46"/>
      <c r="F698" s="46"/>
      <c r="G698" s="46"/>
      <c r="H698" s="46"/>
      <c r="I698" s="46"/>
      <c r="J698" s="46"/>
      <c r="K698" s="46"/>
      <c r="L698" s="46"/>
      <c r="M698" s="46"/>
      <c r="N698" s="46"/>
      <c r="O698" s="46"/>
      <c r="P698" s="46"/>
      <c r="Q698" s="46"/>
      <c r="R698" s="46"/>
    </row>
    <row r="699">
      <c r="A699" s="46"/>
      <c r="B699" s="46"/>
      <c r="C699" s="46"/>
      <c r="D699" s="46"/>
      <c r="E699" s="46"/>
      <c r="F699" s="46"/>
      <c r="G699" s="46"/>
      <c r="H699" s="46"/>
      <c r="I699" s="46"/>
      <c r="J699" s="46"/>
      <c r="K699" s="46"/>
      <c r="L699" s="46"/>
      <c r="M699" s="46"/>
      <c r="N699" s="46"/>
      <c r="O699" s="46"/>
      <c r="P699" s="46"/>
      <c r="Q699" s="46"/>
      <c r="R699" s="46"/>
    </row>
    <row r="700">
      <c r="A700" s="46"/>
      <c r="B700" s="46"/>
      <c r="C700" s="46"/>
      <c r="D700" s="46"/>
      <c r="E700" s="46"/>
      <c r="F700" s="46"/>
      <c r="G700" s="46"/>
      <c r="H700" s="46"/>
      <c r="I700" s="46"/>
      <c r="J700" s="46"/>
      <c r="K700" s="46"/>
      <c r="L700" s="46"/>
      <c r="M700" s="46"/>
      <c r="N700" s="46"/>
      <c r="O700" s="46"/>
      <c r="P700" s="46"/>
      <c r="Q700" s="46"/>
      <c r="R700" s="46"/>
    </row>
    <row r="701">
      <c r="A701" s="46"/>
      <c r="B701" s="46"/>
      <c r="C701" s="46"/>
      <c r="D701" s="46"/>
      <c r="E701" s="46"/>
      <c r="F701" s="46"/>
      <c r="G701" s="46"/>
      <c r="H701" s="46"/>
      <c r="I701" s="46"/>
      <c r="J701" s="46"/>
      <c r="K701" s="46"/>
      <c r="L701" s="46"/>
      <c r="M701" s="46"/>
      <c r="N701" s="46"/>
      <c r="O701" s="46"/>
      <c r="P701" s="46"/>
      <c r="Q701" s="46"/>
      <c r="R701" s="46"/>
    </row>
    <row r="702">
      <c r="A702" s="46"/>
      <c r="B702" s="46"/>
      <c r="C702" s="46"/>
      <c r="D702" s="46"/>
      <c r="E702" s="46"/>
      <c r="F702" s="46"/>
      <c r="G702" s="46"/>
      <c r="H702" s="46"/>
      <c r="I702" s="46"/>
      <c r="J702" s="46"/>
      <c r="K702" s="46"/>
      <c r="L702" s="46"/>
      <c r="M702" s="46"/>
      <c r="N702" s="46"/>
      <c r="O702" s="46"/>
      <c r="P702" s="46"/>
      <c r="Q702" s="46"/>
      <c r="R702" s="46"/>
    </row>
    <row r="703">
      <c r="A703" s="46"/>
      <c r="B703" s="46"/>
      <c r="C703" s="46"/>
      <c r="D703" s="46"/>
      <c r="E703" s="46"/>
      <c r="F703" s="46"/>
      <c r="G703" s="46"/>
      <c r="H703" s="46"/>
      <c r="I703" s="46"/>
      <c r="J703" s="46"/>
      <c r="K703" s="46"/>
      <c r="L703" s="46"/>
      <c r="M703" s="46"/>
      <c r="N703" s="46"/>
      <c r="O703" s="46"/>
      <c r="P703" s="46"/>
      <c r="Q703" s="46"/>
      <c r="R703" s="46"/>
    </row>
    <row r="704">
      <c r="A704" s="46"/>
      <c r="B704" s="46"/>
      <c r="C704" s="46"/>
      <c r="D704" s="46"/>
      <c r="E704" s="46"/>
      <c r="F704" s="46"/>
      <c r="G704" s="46"/>
      <c r="H704" s="46"/>
      <c r="I704" s="46"/>
      <c r="J704" s="46"/>
      <c r="K704" s="46"/>
      <c r="L704" s="46"/>
      <c r="M704" s="46"/>
      <c r="N704" s="46"/>
      <c r="O704" s="46"/>
      <c r="P704" s="46"/>
      <c r="Q704" s="46"/>
      <c r="R704" s="46"/>
    </row>
    <row r="705">
      <c r="A705" s="46"/>
      <c r="B705" s="46"/>
      <c r="C705" s="46"/>
      <c r="D705" s="46"/>
      <c r="E705" s="46"/>
      <c r="F705" s="46"/>
      <c r="G705" s="46"/>
      <c r="H705" s="46"/>
      <c r="I705" s="46"/>
      <c r="J705" s="46"/>
      <c r="K705" s="46"/>
      <c r="L705" s="46"/>
      <c r="M705" s="46"/>
      <c r="N705" s="46"/>
      <c r="O705" s="46"/>
      <c r="P705" s="46"/>
      <c r="Q705" s="46"/>
      <c r="R705" s="46"/>
    </row>
    <row r="706">
      <c r="A706" s="46"/>
      <c r="B706" s="46"/>
      <c r="C706" s="46"/>
      <c r="D706" s="46"/>
      <c r="E706" s="46"/>
      <c r="F706" s="46"/>
      <c r="G706" s="46"/>
      <c r="H706" s="46"/>
      <c r="I706" s="46"/>
      <c r="J706" s="46"/>
      <c r="K706" s="46"/>
      <c r="L706" s="46"/>
      <c r="M706" s="46"/>
      <c r="N706" s="46"/>
      <c r="O706" s="46"/>
      <c r="P706" s="46"/>
      <c r="Q706" s="46"/>
      <c r="R706" s="46"/>
    </row>
    <row r="707">
      <c r="A707" s="46"/>
      <c r="B707" s="46"/>
      <c r="C707" s="46"/>
      <c r="D707" s="46"/>
      <c r="E707" s="46"/>
      <c r="F707" s="46"/>
      <c r="G707" s="46"/>
      <c r="H707" s="46"/>
      <c r="I707" s="46"/>
      <c r="J707" s="46"/>
      <c r="K707" s="46"/>
      <c r="L707" s="46"/>
      <c r="M707" s="46"/>
      <c r="N707" s="46"/>
      <c r="O707" s="46"/>
      <c r="P707" s="46"/>
      <c r="Q707" s="46"/>
      <c r="R707" s="46"/>
    </row>
    <row r="708">
      <c r="A708" s="46"/>
      <c r="B708" s="46"/>
      <c r="C708" s="46"/>
      <c r="D708" s="46"/>
      <c r="E708" s="46"/>
      <c r="F708" s="46"/>
      <c r="G708" s="46"/>
      <c r="H708" s="46"/>
      <c r="I708" s="46"/>
      <c r="J708" s="46"/>
      <c r="K708" s="46"/>
      <c r="L708" s="46"/>
      <c r="M708" s="46"/>
      <c r="N708" s="46"/>
      <c r="O708" s="46"/>
      <c r="P708" s="46"/>
      <c r="Q708" s="46"/>
      <c r="R708" s="46"/>
    </row>
    <row r="709">
      <c r="A709" s="46"/>
      <c r="B709" s="46"/>
      <c r="C709" s="46"/>
      <c r="D709" s="46"/>
      <c r="E709" s="46"/>
      <c r="F709" s="46"/>
      <c r="G709" s="46"/>
      <c r="H709" s="46"/>
      <c r="I709" s="46"/>
      <c r="J709" s="46"/>
      <c r="K709" s="46"/>
      <c r="L709" s="46"/>
      <c r="M709" s="46"/>
      <c r="N709" s="46"/>
      <c r="O709" s="46"/>
      <c r="P709" s="46"/>
      <c r="Q709" s="46"/>
      <c r="R709" s="46"/>
    </row>
    <row r="710">
      <c r="A710" s="46"/>
      <c r="B710" s="46"/>
      <c r="C710" s="46"/>
      <c r="D710" s="46"/>
      <c r="E710" s="46"/>
      <c r="F710" s="46"/>
      <c r="G710" s="46"/>
      <c r="H710" s="46"/>
      <c r="I710" s="46"/>
      <c r="J710" s="46"/>
      <c r="K710" s="46"/>
      <c r="L710" s="46"/>
      <c r="M710" s="46"/>
      <c r="N710" s="46"/>
      <c r="O710" s="46"/>
      <c r="P710" s="46"/>
      <c r="Q710" s="46"/>
      <c r="R710" s="46"/>
    </row>
    <row r="711">
      <c r="A711" s="46"/>
      <c r="B711" s="46"/>
      <c r="C711" s="46"/>
      <c r="D711" s="46"/>
      <c r="E711" s="46"/>
      <c r="F711" s="46"/>
      <c r="G711" s="46"/>
      <c r="H711" s="46"/>
      <c r="I711" s="46"/>
      <c r="J711" s="46"/>
      <c r="K711" s="46"/>
      <c r="L711" s="46"/>
      <c r="M711" s="46"/>
      <c r="N711" s="46"/>
      <c r="O711" s="46"/>
      <c r="P711" s="46"/>
      <c r="Q711" s="46"/>
      <c r="R711" s="46"/>
    </row>
    <row r="712">
      <c r="A712" s="46"/>
      <c r="B712" s="46"/>
      <c r="C712" s="46"/>
      <c r="D712" s="46"/>
      <c r="E712" s="46"/>
      <c r="F712" s="46"/>
      <c r="G712" s="46"/>
      <c r="H712" s="46"/>
      <c r="I712" s="46"/>
      <c r="J712" s="46"/>
      <c r="K712" s="46"/>
      <c r="L712" s="46"/>
      <c r="M712" s="46"/>
      <c r="N712" s="46"/>
      <c r="O712" s="46"/>
      <c r="P712" s="46"/>
      <c r="Q712" s="46"/>
      <c r="R712" s="46"/>
    </row>
    <row r="713">
      <c r="A713" s="46"/>
      <c r="B713" s="46"/>
      <c r="C713" s="46"/>
      <c r="D713" s="46"/>
      <c r="E713" s="46"/>
      <c r="F713" s="46"/>
      <c r="G713" s="46"/>
      <c r="H713" s="46"/>
      <c r="I713" s="46"/>
      <c r="J713" s="46"/>
      <c r="K713" s="46"/>
      <c r="L713" s="46"/>
      <c r="M713" s="46"/>
      <c r="N713" s="46"/>
      <c r="O713" s="46"/>
      <c r="P713" s="46"/>
      <c r="Q713" s="46"/>
      <c r="R713" s="46"/>
    </row>
    <row r="714">
      <c r="A714" s="46"/>
      <c r="B714" s="46"/>
      <c r="C714" s="46"/>
      <c r="D714" s="46"/>
      <c r="E714" s="46"/>
      <c r="F714" s="46"/>
      <c r="G714" s="46"/>
      <c r="H714" s="46"/>
      <c r="I714" s="46"/>
      <c r="J714" s="46"/>
      <c r="K714" s="46"/>
      <c r="L714" s="46"/>
      <c r="M714" s="46"/>
      <c r="N714" s="46"/>
      <c r="O714" s="46"/>
      <c r="P714" s="46"/>
      <c r="Q714" s="46"/>
      <c r="R714" s="46"/>
    </row>
    <row r="715">
      <c r="A715" s="46"/>
      <c r="B715" s="46"/>
      <c r="C715" s="46"/>
      <c r="D715" s="46"/>
      <c r="E715" s="46"/>
      <c r="F715" s="46"/>
      <c r="G715" s="46"/>
      <c r="H715" s="46"/>
      <c r="I715" s="46"/>
      <c r="J715" s="46"/>
      <c r="K715" s="46"/>
      <c r="L715" s="46"/>
      <c r="M715" s="46"/>
      <c r="N715" s="46"/>
      <c r="O715" s="46"/>
      <c r="P715" s="46"/>
      <c r="Q715" s="46"/>
      <c r="R715" s="46"/>
    </row>
    <row r="716">
      <c r="A716" s="46"/>
      <c r="B716" s="46"/>
      <c r="C716" s="46"/>
      <c r="D716" s="46"/>
      <c r="E716" s="46"/>
      <c r="F716" s="46"/>
      <c r="G716" s="46"/>
      <c r="H716" s="46"/>
      <c r="I716" s="46"/>
      <c r="J716" s="46"/>
      <c r="K716" s="46"/>
      <c r="L716" s="46"/>
      <c r="M716" s="46"/>
      <c r="N716" s="46"/>
      <c r="O716" s="46"/>
      <c r="P716" s="46"/>
      <c r="Q716" s="46"/>
      <c r="R716" s="46"/>
    </row>
    <row r="717">
      <c r="A717" s="46"/>
      <c r="B717" s="46"/>
      <c r="C717" s="46"/>
      <c r="D717" s="46"/>
      <c r="E717" s="46"/>
      <c r="F717" s="46"/>
      <c r="G717" s="46"/>
      <c r="H717" s="46"/>
      <c r="I717" s="46"/>
      <c r="J717" s="46"/>
      <c r="K717" s="46"/>
      <c r="L717" s="46"/>
      <c r="M717" s="46"/>
      <c r="N717" s="46"/>
      <c r="O717" s="46"/>
      <c r="P717" s="46"/>
      <c r="Q717" s="46"/>
      <c r="R717" s="46"/>
    </row>
    <row r="718">
      <c r="A718" s="46"/>
      <c r="B718" s="46"/>
      <c r="C718" s="46"/>
      <c r="D718" s="46"/>
      <c r="E718" s="46"/>
      <c r="F718" s="46"/>
      <c r="G718" s="46"/>
      <c r="H718" s="46"/>
      <c r="I718" s="46"/>
      <c r="J718" s="46"/>
      <c r="K718" s="46"/>
      <c r="L718" s="46"/>
      <c r="M718" s="46"/>
      <c r="N718" s="46"/>
      <c r="O718" s="46"/>
      <c r="P718" s="46"/>
      <c r="Q718" s="46"/>
      <c r="R718" s="46"/>
    </row>
    <row r="719">
      <c r="A719" s="46"/>
      <c r="B719" s="46"/>
      <c r="C719" s="46"/>
      <c r="D719" s="46"/>
      <c r="E719" s="46"/>
      <c r="F719" s="46"/>
      <c r="G719" s="46"/>
      <c r="H719" s="46"/>
      <c r="I719" s="46"/>
      <c r="J719" s="46"/>
      <c r="K719" s="46"/>
      <c r="L719" s="46"/>
      <c r="M719" s="46"/>
      <c r="N719" s="46"/>
      <c r="O719" s="46"/>
      <c r="P719" s="46"/>
      <c r="Q719" s="46"/>
      <c r="R719" s="46"/>
    </row>
    <row r="720">
      <c r="A720" s="46"/>
      <c r="B720" s="46"/>
      <c r="C720" s="46"/>
      <c r="D720" s="46"/>
      <c r="E720" s="46"/>
      <c r="F720" s="46"/>
      <c r="G720" s="46"/>
      <c r="H720" s="46"/>
      <c r="I720" s="46"/>
      <c r="J720" s="46"/>
      <c r="K720" s="46"/>
      <c r="L720" s="46"/>
      <c r="M720" s="46"/>
      <c r="N720" s="46"/>
      <c r="O720" s="46"/>
      <c r="P720" s="46"/>
      <c r="Q720" s="46"/>
      <c r="R720" s="46"/>
    </row>
    <row r="721">
      <c r="A721" s="46"/>
      <c r="B721" s="46"/>
      <c r="C721" s="46"/>
      <c r="D721" s="46"/>
      <c r="E721" s="46"/>
      <c r="F721" s="46"/>
      <c r="G721" s="46"/>
      <c r="H721" s="46"/>
      <c r="I721" s="46"/>
      <c r="J721" s="46"/>
      <c r="K721" s="46"/>
      <c r="L721" s="46"/>
      <c r="M721" s="46"/>
      <c r="N721" s="46"/>
      <c r="O721" s="46"/>
      <c r="P721" s="46"/>
      <c r="Q721" s="46"/>
      <c r="R721" s="46"/>
    </row>
    <row r="722">
      <c r="A722" s="46"/>
      <c r="B722" s="46"/>
      <c r="C722" s="46"/>
      <c r="D722" s="46"/>
      <c r="E722" s="46"/>
      <c r="F722" s="46"/>
      <c r="G722" s="46"/>
      <c r="H722" s="46"/>
      <c r="I722" s="46"/>
      <c r="J722" s="46"/>
      <c r="K722" s="46"/>
      <c r="L722" s="46"/>
      <c r="M722" s="46"/>
      <c r="N722" s="46"/>
      <c r="O722" s="46"/>
      <c r="P722" s="46"/>
      <c r="Q722" s="46"/>
      <c r="R722" s="46"/>
    </row>
    <row r="723">
      <c r="A723" s="46"/>
      <c r="B723" s="46"/>
      <c r="C723" s="46"/>
      <c r="D723" s="46"/>
      <c r="E723" s="46"/>
      <c r="F723" s="46"/>
      <c r="G723" s="46"/>
      <c r="H723" s="46"/>
      <c r="I723" s="46"/>
      <c r="J723" s="46"/>
      <c r="K723" s="46"/>
      <c r="L723" s="46"/>
      <c r="M723" s="46"/>
      <c r="N723" s="46"/>
      <c r="O723" s="46"/>
      <c r="P723" s="46"/>
      <c r="Q723" s="46"/>
      <c r="R723" s="46"/>
    </row>
    <row r="724">
      <c r="A724" s="46"/>
      <c r="B724" s="46"/>
      <c r="C724" s="46"/>
      <c r="D724" s="46"/>
      <c r="E724" s="46"/>
      <c r="F724" s="46"/>
      <c r="G724" s="46"/>
      <c r="H724" s="46"/>
      <c r="I724" s="46"/>
      <c r="J724" s="46"/>
      <c r="K724" s="46"/>
      <c r="L724" s="46"/>
      <c r="M724" s="46"/>
      <c r="N724" s="46"/>
      <c r="O724" s="46"/>
      <c r="P724" s="46"/>
      <c r="Q724" s="46"/>
      <c r="R724" s="46"/>
    </row>
    <row r="725">
      <c r="A725" s="46"/>
      <c r="B725" s="46"/>
      <c r="C725" s="46"/>
      <c r="D725" s="46"/>
      <c r="E725" s="46"/>
      <c r="F725" s="46"/>
      <c r="G725" s="46"/>
      <c r="H725" s="46"/>
      <c r="I725" s="46"/>
      <c r="J725" s="46"/>
      <c r="K725" s="46"/>
      <c r="L725" s="46"/>
      <c r="M725" s="46"/>
      <c r="N725" s="46"/>
      <c r="O725" s="46"/>
      <c r="P725" s="46"/>
      <c r="Q725" s="46"/>
      <c r="R725" s="46"/>
    </row>
    <row r="726">
      <c r="A726" s="46"/>
      <c r="B726" s="46"/>
      <c r="C726" s="46"/>
      <c r="D726" s="46"/>
      <c r="E726" s="46"/>
      <c r="F726" s="46"/>
      <c r="G726" s="46"/>
      <c r="H726" s="46"/>
      <c r="I726" s="46"/>
      <c r="J726" s="46"/>
      <c r="K726" s="46"/>
      <c r="L726" s="46"/>
      <c r="M726" s="46"/>
      <c r="N726" s="46"/>
      <c r="O726" s="46"/>
      <c r="P726" s="46"/>
      <c r="Q726" s="46"/>
      <c r="R726" s="46"/>
    </row>
    <row r="727">
      <c r="A727" s="46"/>
      <c r="B727" s="46"/>
      <c r="C727" s="46"/>
      <c r="D727" s="46"/>
      <c r="E727" s="46"/>
      <c r="F727" s="46"/>
      <c r="G727" s="46"/>
      <c r="H727" s="46"/>
      <c r="I727" s="46"/>
      <c r="J727" s="46"/>
      <c r="K727" s="46"/>
      <c r="L727" s="46"/>
      <c r="M727" s="46"/>
      <c r="N727" s="46"/>
      <c r="O727" s="46"/>
      <c r="P727" s="46"/>
      <c r="Q727" s="46"/>
      <c r="R727" s="46"/>
    </row>
    <row r="728">
      <c r="A728" s="46"/>
      <c r="B728" s="46"/>
      <c r="C728" s="46"/>
      <c r="D728" s="46"/>
      <c r="E728" s="46"/>
      <c r="F728" s="46"/>
      <c r="G728" s="46"/>
      <c r="H728" s="46"/>
      <c r="I728" s="46"/>
      <c r="J728" s="46"/>
      <c r="K728" s="46"/>
      <c r="L728" s="46"/>
      <c r="M728" s="46"/>
      <c r="N728" s="46"/>
      <c r="O728" s="46"/>
      <c r="P728" s="46"/>
      <c r="Q728" s="46"/>
      <c r="R728" s="46"/>
    </row>
    <row r="729">
      <c r="A729" s="46"/>
      <c r="B729" s="46"/>
      <c r="C729" s="46"/>
      <c r="D729" s="46"/>
      <c r="E729" s="46"/>
      <c r="F729" s="46"/>
      <c r="G729" s="46"/>
      <c r="H729" s="46"/>
      <c r="I729" s="46"/>
      <c r="J729" s="46"/>
      <c r="K729" s="46"/>
      <c r="L729" s="46"/>
      <c r="M729" s="46"/>
      <c r="N729" s="46"/>
      <c r="O729" s="46"/>
      <c r="P729" s="46"/>
      <c r="Q729" s="46"/>
      <c r="R729" s="46"/>
    </row>
    <row r="730">
      <c r="A730" s="46"/>
      <c r="B730" s="46"/>
      <c r="C730" s="46"/>
      <c r="D730" s="46"/>
      <c r="E730" s="46"/>
      <c r="F730" s="46"/>
      <c r="G730" s="46"/>
      <c r="H730" s="46"/>
      <c r="I730" s="46"/>
      <c r="J730" s="46"/>
      <c r="K730" s="46"/>
      <c r="L730" s="46"/>
      <c r="M730" s="46"/>
      <c r="N730" s="46"/>
      <c r="O730" s="46"/>
      <c r="P730" s="46"/>
      <c r="Q730" s="46"/>
      <c r="R730" s="46"/>
    </row>
    <row r="731">
      <c r="A731" s="46"/>
      <c r="B731" s="46"/>
      <c r="C731" s="46"/>
      <c r="D731" s="46"/>
      <c r="E731" s="46"/>
      <c r="F731" s="46"/>
      <c r="G731" s="46"/>
      <c r="H731" s="46"/>
      <c r="I731" s="46"/>
      <c r="J731" s="46"/>
      <c r="K731" s="46"/>
      <c r="L731" s="46"/>
      <c r="M731" s="46"/>
      <c r="N731" s="46"/>
      <c r="O731" s="46"/>
      <c r="P731" s="46"/>
      <c r="Q731" s="46"/>
      <c r="R731" s="46"/>
    </row>
    <row r="732">
      <c r="A732" s="46"/>
      <c r="B732" s="46"/>
      <c r="C732" s="46"/>
      <c r="D732" s="46"/>
      <c r="E732" s="46"/>
      <c r="F732" s="46"/>
      <c r="G732" s="46"/>
      <c r="H732" s="46"/>
      <c r="I732" s="46"/>
      <c r="J732" s="46"/>
      <c r="K732" s="46"/>
      <c r="L732" s="46"/>
      <c r="M732" s="46"/>
      <c r="N732" s="46"/>
      <c r="O732" s="46"/>
      <c r="P732" s="46"/>
      <c r="Q732" s="46"/>
      <c r="R732" s="46"/>
    </row>
    <row r="733">
      <c r="A733" s="46"/>
      <c r="B733" s="46"/>
      <c r="C733" s="46"/>
      <c r="D733" s="46"/>
      <c r="E733" s="46"/>
      <c r="F733" s="46"/>
      <c r="G733" s="46"/>
      <c r="H733" s="46"/>
      <c r="I733" s="46"/>
      <c r="J733" s="46"/>
      <c r="K733" s="46"/>
      <c r="L733" s="46"/>
      <c r="M733" s="46"/>
      <c r="N733" s="46"/>
      <c r="O733" s="46"/>
      <c r="P733" s="46"/>
      <c r="Q733" s="46"/>
      <c r="R733" s="46"/>
    </row>
    <row r="734">
      <c r="A734" s="46"/>
      <c r="B734" s="46"/>
      <c r="C734" s="46"/>
      <c r="D734" s="46"/>
      <c r="E734" s="46"/>
      <c r="F734" s="46"/>
      <c r="G734" s="46"/>
      <c r="H734" s="46"/>
      <c r="I734" s="46"/>
      <c r="J734" s="46"/>
      <c r="K734" s="46"/>
      <c r="L734" s="46"/>
      <c r="M734" s="46"/>
      <c r="N734" s="46"/>
      <c r="O734" s="46"/>
      <c r="P734" s="46"/>
      <c r="Q734" s="46"/>
      <c r="R734" s="46"/>
    </row>
    <row r="735">
      <c r="A735" s="46"/>
      <c r="B735" s="46"/>
      <c r="C735" s="46"/>
      <c r="D735" s="46"/>
      <c r="E735" s="46"/>
      <c r="F735" s="46"/>
      <c r="G735" s="46"/>
      <c r="H735" s="46"/>
      <c r="I735" s="46"/>
      <c r="J735" s="46"/>
      <c r="K735" s="46"/>
      <c r="L735" s="46"/>
      <c r="M735" s="46"/>
      <c r="N735" s="46"/>
      <c r="O735" s="46"/>
      <c r="P735" s="46"/>
      <c r="Q735" s="46"/>
      <c r="R735" s="46"/>
    </row>
    <row r="736">
      <c r="A736" s="46"/>
      <c r="B736" s="46"/>
      <c r="C736" s="46"/>
      <c r="D736" s="46"/>
      <c r="E736" s="46"/>
      <c r="F736" s="46"/>
      <c r="G736" s="46"/>
      <c r="H736" s="46"/>
      <c r="I736" s="46"/>
      <c r="J736" s="46"/>
      <c r="K736" s="46"/>
      <c r="L736" s="46"/>
      <c r="M736" s="46"/>
      <c r="N736" s="46"/>
      <c r="O736" s="46"/>
      <c r="P736" s="46"/>
      <c r="Q736" s="46"/>
      <c r="R736" s="46"/>
    </row>
    <row r="737">
      <c r="A737" s="46"/>
      <c r="B737" s="46"/>
      <c r="C737" s="46"/>
      <c r="D737" s="46"/>
      <c r="E737" s="46"/>
      <c r="F737" s="46"/>
      <c r="G737" s="46"/>
      <c r="H737" s="46"/>
      <c r="I737" s="46"/>
      <c r="J737" s="46"/>
      <c r="K737" s="46"/>
      <c r="L737" s="46"/>
      <c r="M737" s="46"/>
      <c r="N737" s="46"/>
      <c r="O737" s="46"/>
      <c r="P737" s="46"/>
      <c r="Q737" s="46"/>
      <c r="R737" s="46"/>
    </row>
    <row r="738">
      <c r="A738" s="46"/>
      <c r="B738" s="46"/>
      <c r="C738" s="46"/>
      <c r="D738" s="46"/>
      <c r="E738" s="46"/>
      <c r="F738" s="46"/>
      <c r="G738" s="46"/>
      <c r="H738" s="46"/>
      <c r="I738" s="46"/>
      <c r="J738" s="46"/>
      <c r="K738" s="46"/>
      <c r="L738" s="46"/>
      <c r="M738" s="46"/>
      <c r="N738" s="46"/>
      <c r="O738" s="46"/>
      <c r="P738" s="46"/>
      <c r="Q738" s="46"/>
      <c r="R738" s="46"/>
    </row>
    <row r="739">
      <c r="A739" s="46"/>
      <c r="B739" s="46"/>
      <c r="C739" s="46"/>
      <c r="D739" s="46"/>
      <c r="E739" s="46"/>
      <c r="F739" s="46"/>
      <c r="G739" s="46"/>
      <c r="H739" s="46"/>
      <c r="I739" s="46"/>
      <c r="J739" s="46"/>
      <c r="K739" s="46"/>
      <c r="L739" s="46"/>
      <c r="M739" s="46"/>
      <c r="N739" s="46"/>
      <c r="O739" s="46"/>
      <c r="P739" s="46"/>
      <c r="Q739" s="46"/>
      <c r="R739" s="46"/>
    </row>
    <row r="740">
      <c r="A740" s="46"/>
      <c r="B740" s="46"/>
      <c r="C740" s="46"/>
      <c r="D740" s="46"/>
      <c r="E740" s="46"/>
      <c r="F740" s="46"/>
      <c r="G740" s="46"/>
      <c r="H740" s="46"/>
      <c r="I740" s="46"/>
      <c r="J740" s="46"/>
      <c r="K740" s="46"/>
      <c r="L740" s="46"/>
      <c r="M740" s="46"/>
      <c r="N740" s="46"/>
      <c r="O740" s="46"/>
      <c r="P740" s="46"/>
      <c r="Q740" s="46"/>
      <c r="R740" s="46"/>
    </row>
    <row r="741">
      <c r="A741" s="46"/>
      <c r="B741" s="46"/>
      <c r="C741" s="46"/>
      <c r="D741" s="46"/>
      <c r="E741" s="46"/>
      <c r="F741" s="46"/>
      <c r="G741" s="46"/>
      <c r="H741" s="46"/>
      <c r="I741" s="46"/>
      <c r="J741" s="46"/>
      <c r="K741" s="46"/>
      <c r="L741" s="46"/>
      <c r="M741" s="46"/>
      <c r="N741" s="46"/>
      <c r="O741" s="46"/>
      <c r="P741" s="46"/>
      <c r="Q741" s="46"/>
      <c r="R741" s="46"/>
    </row>
    <row r="742">
      <c r="A742" s="46"/>
      <c r="B742" s="46"/>
      <c r="C742" s="46"/>
      <c r="D742" s="46"/>
      <c r="E742" s="46"/>
      <c r="F742" s="46"/>
      <c r="G742" s="46"/>
      <c r="H742" s="46"/>
      <c r="I742" s="46"/>
      <c r="J742" s="46"/>
      <c r="K742" s="46"/>
      <c r="L742" s="46"/>
      <c r="M742" s="46"/>
      <c r="N742" s="46"/>
      <c r="O742" s="46"/>
      <c r="P742" s="46"/>
      <c r="Q742" s="46"/>
      <c r="R742" s="46"/>
    </row>
    <row r="743">
      <c r="A743" s="46"/>
      <c r="B743" s="46"/>
      <c r="C743" s="46"/>
      <c r="D743" s="46"/>
      <c r="E743" s="46"/>
      <c r="F743" s="46"/>
      <c r="G743" s="46"/>
      <c r="H743" s="46"/>
      <c r="I743" s="46"/>
      <c r="J743" s="46"/>
      <c r="K743" s="46"/>
      <c r="L743" s="46"/>
      <c r="M743" s="46"/>
      <c r="N743" s="46"/>
      <c r="O743" s="46"/>
      <c r="P743" s="46"/>
      <c r="Q743" s="46"/>
      <c r="R743" s="46"/>
    </row>
    <row r="744">
      <c r="A744" s="46"/>
      <c r="B744" s="46"/>
      <c r="C744" s="46"/>
      <c r="D744" s="46"/>
      <c r="E744" s="46"/>
      <c r="F744" s="46"/>
      <c r="G744" s="46"/>
      <c r="H744" s="46"/>
      <c r="I744" s="46"/>
      <c r="J744" s="46"/>
      <c r="K744" s="46"/>
      <c r="L744" s="46"/>
      <c r="M744" s="46"/>
      <c r="N744" s="46"/>
      <c r="O744" s="46"/>
      <c r="P744" s="46"/>
      <c r="Q744" s="46"/>
      <c r="R744" s="46"/>
    </row>
    <row r="745">
      <c r="A745" s="46"/>
      <c r="B745" s="46"/>
      <c r="C745" s="46"/>
      <c r="D745" s="46"/>
      <c r="E745" s="46"/>
      <c r="F745" s="46"/>
      <c r="G745" s="46"/>
      <c r="H745" s="46"/>
      <c r="I745" s="46"/>
      <c r="J745" s="46"/>
      <c r="K745" s="46"/>
      <c r="L745" s="46"/>
      <c r="M745" s="46"/>
      <c r="N745" s="46"/>
      <c r="O745" s="46"/>
      <c r="P745" s="46"/>
      <c r="Q745" s="46"/>
      <c r="R745" s="46"/>
    </row>
    <row r="746">
      <c r="A746" s="46"/>
      <c r="B746" s="46"/>
      <c r="C746" s="46"/>
      <c r="D746" s="46"/>
      <c r="E746" s="46"/>
      <c r="F746" s="46"/>
      <c r="G746" s="46"/>
      <c r="H746" s="46"/>
      <c r="I746" s="46"/>
      <c r="J746" s="46"/>
      <c r="K746" s="46"/>
      <c r="L746" s="46"/>
      <c r="M746" s="46"/>
      <c r="N746" s="46"/>
      <c r="O746" s="46"/>
      <c r="P746" s="46"/>
      <c r="Q746" s="46"/>
      <c r="R746" s="46"/>
    </row>
    <row r="747">
      <c r="A747" s="46"/>
      <c r="B747" s="46"/>
      <c r="C747" s="46"/>
      <c r="D747" s="46"/>
      <c r="E747" s="46"/>
      <c r="F747" s="46"/>
      <c r="G747" s="46"/>
      <c r="H747" s="46"/>
      <c r="I747" s="46"/>
      <c r="J747" s="46"/>
      <c r="K747" s="46"/>
      <c r="L747" s="46"/>
      <c r="M747" s="46"/>
      <c r="N747" s="46"/>
      <c r="O747" s="46"/>
      <c r="P747" s="46"/>
      <c r="Q747" s="46"/>
      <c r="R747" s="46"/>
    </row>
    <row r="748">
      <c r="A748" s="46"/>
      <c r="B748" s="46"/>
      <c r="C748" s="46"/>
      <c r="D748" s="46"/>
      <c r="E748" s="46"/>
      <c r="F748" s="46"/>
      <c r="G748" s="46"/>
      <c r="H748" s="46"/>
      <c r="I748" s="46"/>
      <c r="J748" s="46"/>
      <c r="K748" s="46"/>
      <c r="L748" s="46"/>
      <c r="M748" s="46"/>
      <c r="N748" s="46"/>
      <c r="O748" s="46"/>
      <c r="P748" s="46"/>
      <c r="Q748" s="46"/>
      <c r="R748" s="46"/>
    </row>
    <row r="749">
      <c r="A749" s="46"/>
      <c r="B749" s="46"/>
      <c r="C749" s="46"/>
      <c r="D749" s="46"/>
      <c r="E749" s="46"/>
      <c r="F749" s="46"/>
      <c r="G749" s="46"/>
      <c r="H749" s="46"/>
      <c r="I749" s="46"/>
      <c r="J749" s="46"/>
      <c r="K749" s="46"/>
      <c r="L749" s="46"/>
      <c r="M749" s="46"/>
      <c r="N749" s="46"/>
      <c r="O749" s="46"/>
      <c r="P749" s="46"/>
      <c r="Q749" s="46"/>
      <c r="R749" s="46"/>
    </row>
    <row r="750">
      <c r="A750" s="46"/>
      <c r="B750" s="46"/>
      <c r="C750" s="46"/>
      <c r="D750" s="46"/>
      <c r="E750" s="46"/>
      <c r="F750" s="46"/>
      <c r="G750" s="46"/>
      <c r="H750" s="46"/>
      <c r="I750" s="46"/>
      <c r="J750" s="46"/>
      <c r="K750" s="46"/>
      <c r="L750" s="46"/>
      <c r="M750" s="46"/>
      <c r="N750" s="46"/>
      <c r="O750" s="46"/>
      <c r="P750" s="46"/>
      <c r="Q750" s="46"/>
      <c r="R750" s="46"/>
    </row>
    <row r="751">
      <c r="A751" s="46"/>
      <c r="B751" s="46"/>
      <c r="C751" s="46"/>
      <c r="D751" s="46"/>
      <c r="E751" s="46"/>
      <c r="F751" s="46"/>
      <c r="G751" s="46"/>
      <c r="H751" s="46"/>
      <c r="I751" s="46"/>
      <c r="J751" s="46"/>
      <c r="K751" s="46"/>
      <c r="L751" s="46"/>
      <c r="M751" s="46"/>
      <c r="N751" s="46"/>
      <c r="O751" s="46"/>
      <c r="P751" s="46"/>
      <c r="Q751" s="46"/>
      <c r="R751" s="46"/>
    </row>
    <row r="752">
      <c r="A752" s="46"/>
      <c r="B752" s="46"/>
      <c r="C752" s="46"/>
      <c r="D752" s="46"/>
      <c r="E752" s="46"/>
      <c r="F752" s="46"/>
      <c r="G752" s="46"/>
      <c r="H752" s="46"/>
      <c r="I752" s="46"/>
      <c r="J752" s="46"/>
      <c r="K752" s="46"/>
      <c r="L752" s="46"/>
      <c r="M752" s="46"/>
      <c r="N752" s="46"/>
      <c r="O752" s="46"/>
      <c r="P752" s="46"/>
      <c r="Q752" s="46"/>
      <c r="R752" s="46"/>
    </row>
    <row r="753">
      <c r="A753" s="46"/>
      <c r="B753" s="46"/>
      <c r="C753" s="46"/>
      <c r="D753" s="46"/>
      <c r="E753" s="46"/>
      <c r="F753" s="46"/>
      <c r="G753" s="46"/>
      <c r="H753" s="46"/>
      <c r="I753" s="46"/>
      <c r="J753" s="46"/>
      <c r="K753" s="46"/>
      <c r="L753" s="46"/>
      <c r="M753" s="46"/>
      <c r="N753" s="46"/>
      <c r="O753" s="46"/>
      <c r="P753" s="46"/>
      <c r="Q753" s="46"/>
      <c r="R753" s="46"/>
    </row>
    <row r="754">
      <c r="A754" s="46"/>
      <c r="B754" s="46"/>
      <c r="C754" s="46"/>
      <c r="D754" s="46"/>
      <c r="E754" s="46"/>
      <c r="F754" s="46"/>
      <c r="G754" s="46"/>
      <c r="H754" s="46"/>
      <c r="I754" s="46"/>
      <c r="J754" s="46"/>
      <c r="K754" s="46"/>
      <c r="L754" s="46"/>
      <c r="M754" s="46"/>
      <c r="N754" s="46"/>
      <c r="O754" s="46"/>
      <c r="P754" s="46"/>
      <c r="Q754" s="46"/>
      <c r="R754" s="46"/>
    </row>
    <row r="755">
      <c r="A755" s="46"/>
      <c r="B755" s="46"/>
      <c r="C755" s="46"/>
      <c r="D755" s="46"/>
      <c r="E755" s="46"/>
      <c r="F755" s="46"/>
      <c r="G755" s="46"/>
      <c r="H755" s="46"/>
      <c r="I755" s="46"/>
      <c r="J755" s="46"/>
      <c r="K755" s="46"/>
      <c r="L755" s="46"/>
      <c r="M755" s="46"/>
      <c r="N755" s="46"/>
      <c r="O755" s="46"/>
      <c r="P755" s="46"/>
      <c r="Q755" s="46"/>
      <c r="R755" s="46"/>
    </row>
    <row r="756">
      <c r="A756" s="46"/>
      <c r="B756" s="46"/>
      <c r="C756" s="46"/>
      <c r="D756" s="46"/>
      <c r="E756" s="46"/>
      <c r="F756" s="46"/>
      <c r="G756" s="46"/>
      <c r="H756" s="46"/>
      <c r="I756" s="46"/>
      <c r="J756" s="46"/>
      <c r="K756" s="46"/>
      <c r="L756" s="46"/>
      <c r="M756" s="46"/>
      <c r="N756" s="46"/>
      <c r="O756" s="46"/>
      <c r="P756" s="46"/>
      <c r="Q756" s="46"/>
      <c r="R756" s="46"/>
    </row>
    <row r="757">
      <c r="A757" s="46"/>
      <c r="B757" s="46"/>
      <c r="C757" s="46"/>
      <c r="D757" s="46"/>
      <c r="E757" s="46"/>
      <c r="F757" s="46"/>
      <c r="G757" s="46"/>
      <c r="H757" s="46"/>
      <c r="I757" s="46"/>
      <c r="J757" s="46"/>
      <c r="K757" s="46"/>
      <c r="L757" s="46"/>
      <c r="M757" s="46"/>
      <c r="N757" s="46"/>
      <c r="O757" s="46"/>
      <c r="P757" s="46"/>
      <c r="Q757" s="46"/>
      <c r="R757" s="46"/>
    </row>
    <row r="758">
      <c r="A758" s="46"/>
      <c r="B758" s="46"/>
      <c r="C758" s="46"/>
      <c r="D758" s="46"/>
      <c r="E758" s="46"/>
      <c r="F758" s="46"/>
      <c r="G758" s="46"/>
      <c r="H758" s="46"/>
      <c r="I758" s="46"/>
      <c r="J758" s="46"/>
      <c r="K758" s="46"/>
      <c r="L758" s="46"/>
      <c r="M758" s="46"/>
      <c r="N758" s="46"/>
      <c r="O758" s="46"/>
      <c r="P758" s="46"/>
      <c r="Q758" s="46"/>
      <c r="R758" s="46"/>
    </row>
    <row r="759">
      <c r="A759" s="46"/>
      <c r="B759" s="46"/>
      <c r="C759" s="46"/>
      <c r="D759" s="46"/>
      <c r="E759" s="46"/>
      <c r="F759" s="46"/>
      <c r="G759" s="46"/>
      <c r="H759" s="46"/>
      <c r="I759" s="46"/>
      <c r="J759" s="46"/>
      <c r="K759" s="46"/>
      <c r="L759" s="46"/>
      <c r="M759" s="46"/>
      <c r="N759" s="46"/>
      <c r="O759" s="46"/>
      <c r="P759" s="46"/>
      <c r="Q759" s="46"/>
      <c r="R759" s="46"/>
    </row>
    <row r="760">
      <c r="A760" s="46"/>
      <c r="B760" s="46"/>
      <c r="C760" s="46"/>
      <c r="D760" s="46"/>
      <c r="E760" s="46"/>
      <c r="F760" s="46"/>
      <c r="G760" s="46"/>
      <c r="H760" s="46"/>
      <c r="I760" s="46"/>
      <c r="J760" s="46"/>
      <c r="K760" s="46"/>
      <c r="L760" s="46"/>
      <c r="M760" s="46"/>
      <c r="N760" s="46"/>
      <c r="O760" s="46"/>
      <c r="P760" s="46"/>
      <c r="Q760" s="46"/>
      <c r="R760" s="46"/>
    </row>
    <row r="761">
      <c r="A761" s="46"/>
      <c r="B761" s="46"/>
      <c r="C761" s="46"/>
      <c r="D761" s="46"/>
      <c r="E761" s="46"/>
      <c r="F761" s="46"/>
      <c r="G761" s="46"/>
      <c r="H761" s="46"/>
      <c r="I761" s="46"/>
      <c r="J761" s="46"/>
      <c r="K761" s="46"/>
      <c r="L761" s="46"/>
      <c r="M761" s="46"/>
      <c r="N761" s="46"/>
      <c r="O761" s="46"/>
      <c r="P761" s="46"/>
      <c r="Q761" s="46"/>
      <c r="R761" s="46"/>
    </row>
    <row r="762">
      <c r="A762" s="46"/>
      <c r="B762" s="46"/>
      <c r="C762" s="46"/>
      <c r="D762" s="46"/>
      <c r="E762" s="46"/>
      <c r="F762" s="46"/>
      <c r="G762" s="46"/>
      <c r="H762" s="46"/>
      <c r="I762" s="46"/>
      <c r="J762" s="46"/>
      <c r="K762" s="46"/>
      <c r="L762" s="46"/>
      <c r="M762" s="46"/>
      <c r="N762" s="46"/>
      <c r="O762" s="46"/>
      <c r="P762" s="46"/>
      <c r="Q762" s="46"/>
      <c r="R762" s="46"/>
    </row>
    <row r="763">
      <c r="A763" s="46"/>
      <c r="B763" s="46"/>
      <c r="C763" s="46"/>
      <c r="D763" s="46"/>
      <c r="E763" s="46"/>
      <c r="F763" s="46"/>
      <c r="G763" s="46"/>
      <c r="H763" s="46"/>
      <c r="I763" s="46"/>
      <c r="J763" s="46"/>
      <c r="K763" s="46"/>
      <c r="L763" s="46"/>
      <c r="M763" s="46"/>
      <c r="N763" s="46"/>
      <c r="O763" s="46"/>
      <c r="P763" s="46"/>
      <c r="Q763" s="46"/>
      <c r="R763" s="46"/>
    </row>
    <row r="764">
      <c r="A764" s="46"/>
      <c r="B764" s="46"/>
      <c r="C764" s="46"/>
      <c r="D764" s="46"/>
      <c r="E764" s="46"/>
      <c r="F764" s="46"/>
      <c r="G764" s="46"/>
      <c r="H764" s="46"/>
      <c r="I764" s="46"/>
      <c r="J764" s="46"/>
      <c r="K764" s="46"/>
      <c r="L764" s="46"/>
      <c r="M764" s="46"/>
      <c r="N764" s="46"/>
      <c r="O764" s="46"/>
      <c r="P764" s="46"/>
      <c r="Q764" s="46"/>
      <c r="R764" s="46"/>
    </row>
    <row r="765">
      <c r="A765" s="46"/>
      <c r="B765" s="46"/>
      <c r="C765" s="46"/>
      <c r="D765" s="46"/>
      <c r="E765" s="46"/>
      <c r="F765" s="46"/>
      <c r="G765" s="46"/>
      <c r="H765" s="46"/>
      <c r="I765" s="46"/>
      <c r="J765" s="46"/>
      <c r="K765" s="46"/>
      <c r="L765" s="46"/>
      <c r="M765" s="46"/>
      <c r="N765" s="46"/>
      <c r="O765" s="46"/>
      <c r="P765" s="46"/>
      <c r="Q765" s="46"/>
      <c r="R765" s="46"/>
    </row>
    <row r="766">
      <c r="A766" s="46"/>
      <c r="B766" s="46"/>
      <c r="C766" s="46"/>
      <c r="D766" s="46"/>
      <c r="E766" s="46"/>
      <c r="F766" s="46"/>
      <c r="G766" s="46"/>
      <c r="H766" s="46"/>
      <c r="I766" s="46"/>
      <c r="J766" s="46"/>
      <c r="K766" s="46"/>
      <c r="L766" s="46"/>
      <c r="M766" s="46"/>
      <c r="N766" s="46"/>
      <c r="O766" s="46"/>
      <c r="P766" s="46"/>
      <c r="Q766" s="46"/>
      <c r="R766" s="46"/>
    </row>
    <row r="767">
      <c r="A767" s="46"/>
      <c r="B767" s="46"/>
      <c r="C767" s="46"/>
      <c r="D767" s="46"/>
      <c r="E767" s="46"/>
      <c r="F767" s="46"/>
      <c r="G767" s="46"/>
      <c r="H767" s="46"/>
      <c r="I767" s="46"/>
      <c r="J767" s="46"/>
      <c r="K767" s="46"/>
      <c r="L767" s="46"/>
      <c r="M767" s="46"/>
      <c r="N767" s="46"/>
      <c r="O767" s="46"/>
      <c r="P767" s="46"/>
      <c r="Q767" s="46"/>
      <c r="R767" s="46"/>
    </row>
    <row r="768">
      <c r="A768" s="46"/>
      <c r="B768" s="46"/>
      <c r="C768" s="46"/>
      <c r="D768" s="46"/>
      <c r="E768" s="46"/>
      <c r="F768" s="46"/>
      <c r="G768" s="46"/>
      <c r="H768" s="46"/>
      <c r="I768" s="46"/>
      <c r="J768" s="46"/>
      <c r="K768" s="46"/>
      <c r="L768" s="46"/>
      <c r="M768" s="46"/>
      <c r="N768" s="46"/>
      <c r="O768" s="46"/>
      <c r="P768" s="46"/>
      <c r="Q768" s="46"/>
      <c r="R768" s="46"/>
    </row>
    <row r="769">
      <c r="A769" s="46"/>
      <c r="B769" s="46"/>
      <c r="C769" s="46"/>
      <c r="D769" s="46"/>
      <c r="E769" s="46"/>
      <c r="F769" s="46"/>
      <c r="G769" s="46"/>
      <c r="H769" s="46"/>
      <c r="I769" s="46"/>
      <c r="J769" s="46"/>
      <c r="K769" s="46"/>
      <c r="L769" s="46"/>
      <c r="M769" s="46"/>
      <c r="N769" s="46"/>
      <c r="O769" s="46"/>
      <c r="P769" s="46"/>
      <c r="Q769" s="46"/>
      <c r="R769" s="46"/>
    </row>
    <row r="770">
      <c r="A770" s="46"/>
      <c r="B770" s="46"/>
      <c r="C770" s="46"/>
      <c r="D770" s="46"/>
      <c r="E770" s="46"/>
      <c r="F770" s="46"/>
      <c r="G770" s="46"/>
      <c r="H770" s="46"/>
      <c r="I770" s="46"/>
      <c r="J770" s="46"/>
      <c r="K770" s="46"/>
      <c r="L770" s="46"/>
      <c r="M770" s="46"/>
      <c r="N770" s="46"/>
      <c r="O770" s="46"/>
      <c r="P770" s="46"/>
      <c r="Q770" s="46"/>
      <c r="R770" s="46"/>
    </row>
    <row r="771">
      <c r="A771" s="46"/>
      <c r="B771" s="46"/>
      <c r="C771" s="46"/>
      <c r="D771" s="46"/>
      <c r="E771" s="46"/>
      <c r="F771" s="46"/>
      <c r="G771" s="46"/>
      <c r="H771" s="46"/>
      <c r="I771" s="46"/>
      <c r="J771" s="46"/>
      <c r="K771" s="46"/>
      <c r="L771" s="46"/>
      <c r="M771" s="46"/>
      <c r="N771" s="46"/>
      <c r="O771" s="46"/>
      <c r="P771" s="46"/>
      <c r="Q771" s="46"/>
      <c r="R771" s="46"/>
    </row>
    <row r="772">
      <c r="A772" s="46"/>
      <c r="B772" s="46"/>
      <c r="C772" s="46"/>
      <c r="D772" s="46"/>
      <c r="E772" s="46"/>
      <c r="F772" s="46"/>
      <c r="G772" s="46"/>
      <c r="H772" s="46"/>
      <c r="I772" s="46"/>
      <c r="J772" s="46"/>
      <c r="K772" s="46"/>
      <c r="L772" s="46"/>
      <c r="M772" s="46"/>
      <c r="N772" s="46"/>
      <c r="O772" s="46"/>
      <c r="P772" s="46"/>
      <c r="Q772" s="46"/>
      <c r="R772" s="46"/>
    </row>
    <row r="773">
      <c r="A773" s="46"/>
      <c r="B773" s="46"/>
      <c r="C773" s="46"/>
      <c r="D773" s="46"/>
      <c r="E773" s="46"/>
      <c r="F773" s="46"/>
      <c r="G773" s="46"/>
      <c r="H773" s="46"/>
      <c r="I773" s="46"/>
      <c r="J773" s="46"/>
      <c r="K773" s="46"/>
      <c r="L773" s="46"/>
      <c r="M773" s="46"/>
      <c r="N773" s="46"/>
      <c r="O773" s="46"/>
      <c r="P773" s="46"/>
      <c r="Q773" s="46"/>
      <c r="R773" s="46"/>
    </row>
    <row r="774">
      <c r="A774" s="46"/>
      <c r="B774" s="46"/>
      <c r="C774" s="46"/>
      <c r="D774" s="46"/>
      <c r="E774" s="46"/>
      <c r="F774" s="46"/>
      <c r="G774" s="46"/>
      <c r="H774" s="46"/>
      <c r="I774" s="46"/>
      <c r="J774" s="46"/>
      <c r="K774" s="46"/>
      <c r="L774" s="46"/>
      <c r="M774" s="46"/>
      <c r="N774" s="46"/>
      <c r="O774" s="46"/>
      <c r="P774" s="46"/>
      <c r="Q774" s="46"/>
      <c r="R774" s="46"/>
    </row>
    <row r="775">
      <c r="A775" s="46"/>
      <c r="B775" s="46"/>
      <c r="C775" s="46"/>
      <c r="D775" s="46"/>
      <c r="E775" s="46"/>
      <c r="F775" s="46"/>
      <c r="G775" s="46"/>
      <c r="H775" s="46"/>
      <c r="I775" s="46"/>
      <c r="J775" s="46"/>
      <c r="K775" s="46"/>
      <c r="L775" s="46"/>
      <c r="M775" s="46"/>
      <c r="N775" s="46"/>
      <c r="O775" s="46"/>
      <c r="P775" s="46"/>
      <c r="Q775" s="46"/>
      <c r="R775" s="46"/>
    </row>
    <row r="776">
      <c r="A776" s="46"/>
      <c r="B776" s="46"/>
      <c r="C776" s="46"/>
      <c r="D776" s="46"/>
      <c r="E776" s="46"/>
      <c r="F776" s="46"/>
      <c r="G776" s="46"/>
      <c r="H776" s="46"/>
      <c r="I776" s="46"/>
      <c r="J776" s="46"/>
      <c r="K776" s="46"/>
      <c r="L776" s="46"/>
      <c r="M776" s="46"/>
      <c r="N776" s="46"/>
      <c r="O776" s="46"/>
      <c r="P776" s="46"/>
      <c r="Q776" s="46"/>
      <c r="R776" s="46"/>
    </row>
    <row r="777">
      <c r="A777" s="46"/>
      <c r="B777" s="46"/>
      <c r="C777" s="46"/>
      <c r="D777" s="46"/>
      <c r="E777" s="46"/>
      <c r="F777" s="46"/>
      <c r="G777" s="46"/>
      <c r="H777" s="46"/>
      <c r="I777" s="46"/>
      <c r="J777" s="46"/>
      <c r="K777" s="46"/>
      <c r="L777" s="46"/>
      <c r="M777" s="46"/>
      <c r="N777" s="46"/>
      <c r="O777" s="46"/>
      <c r="P777" s="46"/>
      <c r="Q777" s="46"/>
      <c r="R777" s="46"/>
    </row>
    <row r="778">
      <c r="A778" s="46"/>
      <c r="B778" s="46"/>
      <c r="C778" s="46"/>
      <c r="D778" s="46"/>
      <c r="E778" s="46"/>
      <c r="F778" s="46"/>
      <c r="G778" s="46"/>
      <c r="H778" s="46"/>
      <c r="I778" s="46"/>
      <c r="J778" s="46"/>
      <c r="K778" s="46"/>
      <c r="L778" s="46"/>
      <c r="M778" s="46"/>
      <c r="N778" s="46"/>
      <c r="O778" s="46"/>
      <c r="P778" s="46"/>
      <c r="Q778" s="46"/>
      <c r="R778" s="46"/>
    </row>
    <row r="779">
      <c r="A779" s="46"/>
      <c r="B779" s="46"/>
      <c r="C779" s="46"/>
      <c r="D779" s="46"/>
      <c r="E779" s="46"/>
      <c r="F779" s="46"/>
      <c r="G779" s="46"/>
      <c r="H779" s="46"/>
      <c r="I779" s="46"/>
      <c r="J779" s="46"/>
      <c r="K779" s="46"/>
      <c r="L779" s="46"/>
      <c r="M779" s="46"/>
      <c r="N779" s="46"/>
      <c r="O779" s="46"/>
      <c r="P779" s="46"/>
      <c r="Q779" s="46"/>
      <c r="R779" s="46"/>
    </row>
    <row r="780">
      <c r="A780" s="46"/>
      <c r="B780" s="46"/>
      <c r="C780" s="46"/>
      <c r="D780" s="46"/>
      <c r="E780" s="46"/>
      <c r="F780" s="46"/>
      <c r="G780" s="46"/>
      <c r="H780" s="46"/>
      <c r="I780" s="46"/>
      <c r="J780" s="46"/>
      <c r="K780" s="46"/>
      <c r="L780" s="46"/>
      <c r="M780" s="46"/>
      <c r="N780" s="46"/>
      <c r="O780" s="46"/>
      <c r="P780" s="46"/>
      <c r="Q780" s="46"/>
      <c r="R780" s="46"/>
    </row>
    <row r="781">
      <c r="A781" s="46"/>
      <c r="B781" s="46"/>
      <c r="C781" s="46"/>
      <c r="D781" s="46"/>
      <c r="E781" s="46"/>
      <c r="F781" s="46"/>
      <c r="G781" s="46"/>
      <c r="H781" s="46"/>
      <c r="I781" s="46"/>
      <c r="J781" s="46"/>
      <c r="K781" s="46"/>
      <c r="L781" s="46"/>
      <c r="M781" s="46"/>
      <c r="N781" s="46"/>
      <c r="O781" s="46"/>
      <c r="P781" s="46"/>
      <c r="Q781" s="46"/>
      <c r="R781" s="46"/>
    </row>
    <row r="782">
      <c r="A782" s="46"/>
      <c r="B782" s="46"/>
      <c r="C782" s="46"/>
      <c r="D782" s="46"/>
      <c r="E782" s="46"/>
      <c r="F782" s="46"/>
      <c r="G782" s="46"/>
      <c r="H782" s="46"/>
      <c r="I782" s="46"/>
      <c r="J782" s="46"/>
      <c r="K782" s="46"/>
      <c r="L782" s="46"/>
      <c r="M782" s="46"/>
      <c r="N782" s="46"/>
      <c r="O782" s="46"/>
      <c r="P782" s="46"/>
      <c r="Q782" s="46"/>
      <c r="R782" s="46"/>
    </row>
    <row r="783">
      <c r="A783" s="46"/>
      <c r="B783" s="46"/>
      <c r="C783" s="46"/>
      <c r="D783" s="46"/>
      <c r="E783" s="46"/>
      <c r="F783" s="46"/>
      <c r="G783" s="46"/>
      <c r="H783" s="46"/>
      <c r="I783" s="46"/>
      <c r="J783" s="46"/>
      <c r="K783" s="46"/>
      <c r="L783" s="46"/>
      <c r="M783" s="46"/>
      <c r="N783" s="46"/>
      <c r="O783" s="46"/>
      <c r="P783" s="46"/>
      <c r="Q783" s="46"/>
      <c r="R783" s="46"/>
    </row>
    <row r="784">
      <c r="A784" s="46"/>
      <c r="B784" s="46"/>
      <c r="C784" s="46"/>
      <c r="D784" s="46"/>
      <c r="E784" s="46"/>
      <c r="F784" s="46"/>
      <c r="G784" s="46"/>
      <c r="H784" s="46"/>
      <c r="I784" s="46"/>
      <c r="J784" s="46"/>
      <c r="K784" s="46"/>
      <c r="L784" s="46"/>
      <c r="M784" s="46"/>
      <c r="N784" s="46"/>
      <c r="O784" s="46"/>
      <c r="P784" s="46"/>
      <c r="Q784" s="46"/>
      <c r="R784" s="46"/>
    </row>
    <row r="785">
      <c r="A785" s="46"/>
      <c r="B785" s="46"/>
      <c r="C785" s="46"/>
      <c r="D785" s="46"/>
      <c r="E785" s="46"/>
      <c r="F785" s="46"/>
      <c r="G785" s="46"/>
      <c r="H785" s="46"/>
      <c r="I785" s="46"/>
      <c r="J785" s="46"/>
      <c r="K785" s="46"/>
      <c r="L785" s="46"/>
      <c r="M785" s="46"/>
      <c r="N785" s="46"/>
      <c r="O785" s="46"/>
      <c r="P785" s="46"/>
      <c r="Q785" s="46"/>
      <c r="R785" s="46"/>
    </row>
    <row r="786">
      <c r="A786" s="46"/>
      <c r="B786" s="46"/>
      <c r="C786" s="46"/>
      <c r="D786" s="46"/>
      <c r="E786" s="46"/>
      <c r="F786" s="46"/>
      <c r="G786" s="46"/>
      <c r="H786" s="46"/>
      <c r="I786" s="46"/>
      <c r="J786" s="46"/>
      <c r="K786" s="46"/>
      <c r="L786" s="46"/>
      <c r="M786" s="46"/>
      <c r="N786" s="46"/>
      <c r="O786" s="46"/>
      <c r="P786" s="46"/>
      <c r="Q786" s="46"/>
      <c r="R786" s="46"/>
    </row>
    <row r="787">
      <c r="A787" s="46"/>
      <c r="B787" s="46"/>
      <c r="C787" s="46"/>
      <c r="D787" s="46"/>
      <c r="E787" s="46"/>
      <c r="F787" s="46"/>
      <c r="G787" s="46"/>
      <c r="H787" s="46"/>
      <c r="I787" s="46"/>
      <c r="J787" s="46"/>
      <c r="K787" s="46"/>
      <c r="L787" s="46"/>
      <c r="M787" s="46"/>
      <c r="N787" s="46"/>
      <c r="O787" s="46"/>
      <c r="P787" s="46"/>
      <c r="Q787" s="46"/>
      <c r="R787" s="46"/>
    </row>
    <row r="788">
      <c r="A788" s="46"/>
      <c r="B788" s="46"/>
      <c r="C788" s="46"/>
      <c r="D788" s="46"/>
      <c r="E788" s="46"/>
      <c r="F788" s="46"/>
      <c r="G788" s="46"/>
      <c r="H788" s="46"/>
      <c r="I788" s="46"/>
      <c r="J788" s="46"/>
      <c r="K788" s="46"/>
      <c r="L788" s="46"/>
      <c r="M788" s="46"/>
      <c r="N788" s="46"/>
      <c r="O788" s="46"/>
      <c r="P788" s="46"/>
      <c r="Q788" s="46"/>
      <c r="R788" s="46"/>
    </row>
    <row r="789">
      <c r="A789" s="46"/>
      <c r="B789" s="46"/>
      <c r="C789" s="46"/>
      <c r="D789" s="46"/>
      <c r="E789" s="46"/>
      <c r="F789" s="46"/>
      <c r="G789" s="46"/>
      <c r="H789" s="46"/>
      <c r="I789" s="46"/>
      <c r="J789" s="46"/>
      <c r="K789" s="46"/>
      <c r="L789" s="46"/>
      <c r="M789" s="46"/>
      <c r="N789" s="46"/>
      <c r="O789" s="46"/>
      <c r="P789" s="46"/>
      <c r="Q789" s="46"/>
      <c r="R789" s="46"/>
    </row>
    <row r="790">
      <c r="A790" s="46"/>
      <c r="B790" s="46"/>
      <c r="C790" s="46"/>
      <c r="D790" s="46"/>
      <c r="E790" s="46"/>
      <c r="F790" s="46"/>
      <c r="G790" s="46"/>
      <c r="H790" s="46"/>
      <c r="I790" s="46"/>
      <c r="J790" s="46"/>
      <c r="K790" s="46"/>
      <c r="L790" s="46"/>
      <c r="M790" s="46"/>
      <c r="N790" s="46"/>
      <c r="O790" s="46"/>
      <c r="P790" s="46"/>
      <c r="Q790" s="46"/>
      <c r="R790" s="46"/>
    </row>
    <row r="791">
      <c r="A791" s="46"/>
      <c r="B791" s="46"/>
      <c r="C791" s="46"/>
      <c r="D791" s="46"/>
      <c r="E791" s="46"/>
      <c r="F791" s="46"/>
      <c r="G791" s="46"/>
      <c r="H791" s="46"/>
      <c r="I791" s="46"/>
      <c r="J791" s="46"/>
      <c r="K791" s="46"/>
      <c r="L791" s="46"/>
      <c r="M791" s="46"/>
      <c r="N791" s="46"/>
      <c r="O791" s="46"/>
      <c r="P791" s="46"/>
      <c r="Q791" s="46"/>
      <c r="R791" s="46"/>
    </row>
    <row r="792">
      <c r="A792" s="46"/>
      <c r="B792" s="46"/>
      <c r="C792" s="46"/>
      <c r="D792" s="46"/>
      <c r="E792" s="46"/>
      <c r="F792" s="46"/>
      <c r="G792" s="46"/>
      <c r="H792" s="46"/>
      <c r="I792" s="46"/>
      <c r="J792" s="46"/>
      <c r="K792" s="46"/>
      <c r="L792" s="46"/>
      <c r="M792" s="46"/>
      <c r="N792" s="46"/>
      <c r="O792" s="46"/>
      <c r="P792" s="46"/>
      <c r="Q792" s="46"/>
      <c r="R792" s="46"/>
    </row>
    <row r="793">
      <c r="A793" s="46"/>
      <c r="B793" s="46"/>
      <c r="C793" s="46"/>
      <c r="D793" s="46"/>
      <c r="E793" s="46"/>
      <c r="F793" s="46"/>
      <c r="G793" s="46"/>
      <c r="H793" s="46"/>
      <c r="I793" s="46"/>
      <c r="J793" s="46"/>
      <c r="K793" s="46"/>
      <c r="L793" s="46"/>
      <c r="M793" s="46"/>
      <c r="N793" s="46"/>
      <c r="O793" s="46"/>
      <c r="P793" s="46"/>
      <c r="Q793" s="46"/>
      <c r="R793" s="46"/>
    </row>
    <row r="794">
      <c r="A794" s="46"/>
      <c r="B794" s="46"/>
      <c r="C794" s="46"/>
      <c r="D794" s="46"/>
      <c r="E794" s="46"/>
      <c r="F794" s="46"/>
      <c r="G794" s="46"/>
      <c r="H794" s="46"/>
      <c r="I794" s="46"/>
      <c r="J794" s="46"/>
      <c r="K794" s="46"/>
      <c r="L794" s="46"/>
      <c r="M794" s="46"/>
      <c r="N794" s="46"/>
      <c r="O794" s="46"/>
      <c r="P794" s="46"/>
      <c r="Q794" s="46"/>
      <c r="R794" s="46"/>
    </row>
    <row r="795">
      <c r="A795" s="46"/>
      <c r="B795" s="46"/>
      <c r="C795" s="46"/>
      <c r="D795" s="46"/>
      <c r="E795" s="46"/>
      <c r="F795" s="46"/>
      <c r="G795" s="46"/>
      <c r="H795" s="46"/>
      <c r="I795" s="46"/>
      <c r="J795" s="46"/>
      <c r="K795" s="46"/>
      <c r="L795" s="46"/>
      <c r="M795" s="46"/>
      <c r="N795" s="46"/>
      <c r="O795" s="46"/>
      <c r="P795" s="46"/>
      <c r="Q795" s="46"/>
      <c r="R795" s="46"/>
    </row>
    <row r="796">
      <c r="A796" s="46"/>
      <c r="B796" s="46"/>
      <c r="C796" s="46"/>
      <c r="D796" s="46"/>
      <c r="E796" s="46"/>
      <c r="F796" s="46"/>
      <c r="G796" s="46"/>
      <c r="H796" s="46"/>
      <c r="I796" s="46"/>
      <c r="J796" s="46"/>
      <c r="K796" s="46"/>
      <c r="L796" s="46"/>
      <c r="M796" s="46"/>
      <c r="N796" s="46"/>
      <c r="O796" s="46"/>
      <c r="P796" s="46"/>
      <c r="Q796" s="46"/>
      <c r="R796" s="46"/>
    </row>
    <row r="797">
      <c r="A797" s="46"/>
      <c r="B797" s="46"/>
      <c r="C797" s="46"/>
      <c r="D797" s="46"/>
      <c r="E797" s="46"/>
      <c r="F797" s="46"/>
      <c r="G797" s="46"/>
      <c r="H797" s="46"/>
      <c r="I797" s="46"/>
      <c r="J797" s="46"/>
      <c r="K797" s="46"/>
      <c r="L797" s="46"/>
      <c r="M797" s="46"/>
      <c r="N797" s="46"/>
      <c r="O797" s="46"/>
      <c r="P797" s="46"/>
      <c r="Q797" s="46"/>
      <c r="R797" s="46"/>
    </row>
    <row r="798">
      <c r="A798" s="46"/>
      <c r="B798" s="46"/>
      <c r="C798" s="46"/>
      <c r="D798" s="46"/>
      <c r="E798" s="46"/>
      <c r="F798" s="46"/>
      <c r="G798" s="46"/>
      <c r="H798" s="46"/>
      <c r="I798" s="46"/>
      <c r="J798" s="46"/>
      <c r="K798" s="46"/>
      <c r="L798" s="46"/>
      <c r="M798" s="46"/>
      <c r="N798" s="46"/>
      <c r="O798" s="46"/>
      <c r="P798" s="46"/>
      <c r="Q798" s="46"/>
      <c r="R798" s="46"/>
    </row>
    <row r="799">
      <c r="A799" s="46"/>
      <c r="B799" s="46"/>
      <c r="C799" s="46"/>
      <c r="D799" s="46"/>
      <c r="E799" s="46"/>
      <c r="F799" s="46"/>
      <c r="G799" s="46"/>
      <c r="H799" s="46"/>
      <c r="I799" s="46"/>
      <c r="J799" s="46"/>
      <c r="K799" s="46"/>
      <c r="L799" s="46"/>
      <c r="M799" s="46"/>
      <c r="N799" s="46"/>
      <c r="O799" s="46"/>
      <c r="P799" s="46"/>
      <c r="Q799" s="46"/>
      <c r="R799" s="46"/>
    </row>
    <row r="800">
      <c r="A800" s="46"/>
      <c r="B800" s="46"/>
      <c r="C800" s="46"/>
      <c r="D800" s="46"/>
      <c r="E800" s="46"/>
      <c r="F800" s="46"/>
      <c r="G800" s="46"/>
      <c r="H800" s="46"/>
      <c r="I800" s="46"/>
      <c r="J800" s="46"/>
      <c r="K800" s="46"/>
      <c r="L800" s="46"/>
      <c r="M800" s="46"/>
      <c r="N800" s="46"/>
      <c r="O800" s="46"/>
      <c r="P800" s="46"/>
      <c r="Q800" s="46"/>
      <c r="R800" s="46"/>
    </row>
    <row r="801">
      <c r="A801" s="46"/>
      <c r="B801" s="46"/>
      <c r="C801" s="46"/>
      <c r="D801" s="46"/>
      <c r="E801" s="46"/>
      <c r="F801" s="46"/>
      <c r="G801" s="46"/>
      <c r="H801" s="46"/>
      <c r="I801" s="46"/>
      <c r="J801" s="46"/>
      <c r="K801" s="46"/>
      <c r="L801" s="46"/>
      <c r="M801" s="46"/>
      <c r="N801" s="46"/>
      <c r="O801" s="46"/>
      <c r="P801" s="46"/>
      <c r="Q801" s="46"/>
      <c r="R801" s="46"/>
    </row>
    <row r="802">
      <c r="A802" s="46"/>
      <c r="B802" s="46"/>
      <c r="C802" s="46"/>
      <c r="D802" s="46"/>
      <c r="E802" s="46"/>
      <c r="F802" s="46"/>
      <c r="G802" s="46"/>
      <c r="H802" s="46"/>
      <c r="I802" s="46"/>
      <c r="J802" s="46"/>
      <c r="K802" s="46"/>
      <c r="L802" s="46"/>
      <c r="M802" s="46"/>
      <c r="N802" s="46"/>
      <c r="O802" s="46"/>
      <c r="P802" s="46"/>
      <c r="Q802" s="46"/>
      <c r="R802" s="46"/>
    </row>
    <row r="803">
      <c r="A803" s="46"/>
      <c r="B803" s="46"/>
      <c r="C803" s="46"/>
      <c r="D803" s="46"/>
      <c r="E803" s="46"/>
      <c r="F803" s="46"/>
      <c r="G803" s="46"/>
      <c r="H803" s="46"/>
      <c r="I803" s="46"/>
      <c r="J803" s="46"/>
      <c r="K803" s="46"/>
      <c r="L803" s="46"/>
      <c r="M803" s="46"/>
      <c r="N803" s="46"/>
      <c r="O803" s="46"/>
      <c r="P803" s="46"/>
      <c r="Q803" s="46"/>
      <c r="R803" s="46"/>
    </row>
    <row r="804">
      <c r="A804" s="46"/>
      <c r="B804" s="46"/>
      <c r="C804" s="46"/>
      <c r="D804" s="46"/>
      <c r="E804" s="46"/>
      <c r="F804" s="46"/>
      <c r="G804" s="46"/>
      <c r="H804" s="46"/>
      <c r="I804" s="46"/>
      <c r="J804" s="46"/>
      <c r="K804" s="46"/>
      <c r="L804" s="46"/>
      <c r="M804" s="46"/>
      <c r="N804" s="46"/>
      <c r="O804" s="46"/>
      <c r="P804" s="46"/>
      <c r="Q804" s="46"/>
      <c r="R804" s="46"/>
    </row>
    <row r="805">
      <c r="A805" s="46"/>
      <c r="B805" s="46"/>
      <c r="C805" s="46"/>
      <c r="D805" s="46"/>
      <c r="E805" s="46"/>
      <c r="F805" s="46"/>
      <c r="G805" s="46"/>
      <c r="H805" s="46"/>
      <c r="I805" s="46"/>
      <c r="J805" s="46"/>
      <c r="K805" s="46"/>
      <c r="L805" s="46"/>
      <c r="M805" s="46"/>
      <c r="N805" s="46"/>
      <c r="O805" s="46"/>
      <c r="P805" s="46"/>
      <c r="Q805" s="46"/>
      <c r="R805" s="46"/>
    </row>
    <row r="806">
      <c r="A806" s="46"/>
      <c r="B806" s="46"/>
      <c r="C806" s="46"/>
      <c r="D806" s="46"/>
      <c r="E806" s="46"/>
      <c r="F806" s="46"/>
      <c r="G806" s="46"/>
      <c r="H806" s="46"/>
      <c r="I806" s="46"/>
      <c r="J806" s="46"/>
      <c r="K806" s="46"/>
      <c r="L806" s="46"/>
      <c r="M806" s="46"/>
      <c r="N806" s="46"/>
      <c r="O806" s="46"/>
      <c r="P806" s="46"/>
      <c r="Q806" s="46"/>
      <c r="R806" s="46"/>
    </row>
    <row r="807">
      <c r="A807" s="46"/>
      <c r="B807" s="46"/>
      <c r="C807" s="46"/>
      <c r="D807" s="46"/>
      <c r="E807" s="46"/>
      <c r="F807" s="46"/>
      <c r="G807" s="46"/>
      <c r="H807" s="46"/>
      <c r="I807" s="46"/>
      <c r="J807" s="46"/>
      <c r="K807" s="46"/>
      <c r="L807" s="46"/>
      <c r="M807" s="46"/>
      <c r="N807" s="46"/>
      <c r="O807" s="46"/>
      <c r="P807" s="46"/>
      <c r="Q807" s="46"/>
      <c r="R807" s="46"/>
    </row>
    <row r="808">
      <c r="A808" s="46"/>
      <c r="B808" s="46"/>
      <c r="C808" s="46"/>
      <c r="D808" s="46"/>
      <c r="E808" s="46"/>
      <c r="F808" s="46"/>
      <c r="G808" s="46"/>
      <c r="H808" s="46"/>
      <c r="I808" s="46"/>
      <c r="J808" s="46"/>
      <c r="K808" s="46"/>
      <c r="L808" s="46"/>
      <c r="M808" s="46"/>
      <c r="N808" s="46"/>
      <c r="O808" s="46"/>
      <c r="P808" s="46"/>
      <c r="Q808" s="46"/>
      <c r="R808" s="46"/>
    </row>
    <row r="809">
      <c r="A809" s="46"/>
      <c r="B809" s="46"/>
      <c r="C809" s="46"/>
      <c r="D809" s="46"/>
      <c r="E809" s="46"/>
      <c r="F809" s="46"/>
      <c r="G809" s="46"/>
      <c r="H809" s="46"/>
      <c r="I809" s="46"/>
      <c r="J809" s="46"/>
      <c r="K809" s="46"/>
      <c r="L809" s="46"/>
      <c r="M809" s="46"/>
      <c r="N809" s="46"/>
      <c r="O809" s="46"/>
      <c r="P809" s="46"/>
      <c r="Q809" s="46"/>
      <c r="R809" s="46"/>
    </row>
    <row r="810">
      <c r="A810" s="46"/>
      <c r="B810" s="46"/>
      <c r="C810" s="46"/>
      <c r="D810" s="46"/>
      <c r="E810" s="46"/>
      <c r="F810" s="46"/>
      <c r="G810" s="46"/>
      <c r="H810" s="46"/>
      <c r="I810" s="46"/>
      <c r="J810" s="46"/>
      <c r="K810" s="46"/>
      <c r="L810" s="46"/>
      <c r="M810" s="46"/>
      <c r="N810" s="46"/>
      <c r="O810" s="46"/>
      <c r="P810" s="46"/>
      <c r="Q810" s="46"/>
      <c r="R810" s="46"/>
    </row>
    <row r="811">
      <c r="A811" s="46"/>
      <c r="B811" s="46"/>
      <c r="C811" s="46"/>
      <c r="D811" s="46"/>
      <c r="E811" s="46"/>
      <c r="F811" s="46"/>
      <c r="G811" s="46"/>
      <c r="H811" s="46"/>
      <c r="I811" s="46"/>
      <c r="J811" s="46"/>
      <c r="K811" s="46"/>
      <c r="L811" s="46"/>
      <c r="M811" s="46"/>
      <c r="N811" s="46"/>
      <c r="O811" s="46"/>
      <c r="P811" s="46"/>
      <c r="Q811" s="46"/>
      <c r="R811" s="46"/>
    </row>
    <row r="812">
      <c r="A812" s="46"/>
      <c r="B812" s="46"/>
      <c r="C812" s="46"/>
      <c r="D812" s="46"/>
      <c r="E812" s="46"/>
      <c r="F812" s="46"/>
      <c r="G812" s="46"/>
      <c r="H812" s="46"/>
      <c r="I812" s="46"/>
      <c r="J812" s="46"/>
      <c r="K812" s="46"/>
      <c r="L812" s="46"/>
      <c r="M812" s="46"/>
      <c r="N812" s="46"/>
      <c r="O812" s="46"/>
      <c r="P812" s="46"/>
      <c r="Q812" s="46"/>
      <c r="R812" s="46"/>
    </row>
    <row r="813">
      <c r="A813" s="46"/>
      <c r="B813" s="46"/>
      <c r="C813" s="46"/>
      <c r="D813" s="46"/>
      <c r="E813" s="46"/>
      <c r="F813" s="46"/>
      <c r="G813" s="46"/>
      <c r="H813" s="46"/>
      <c r="I813" s="46"/>
      <c r="J813" s="46"/>
      <c r="K813" s="46"/>
      <c r="L813" s="46"/>
      <c r="M813" s="46"/>
      <c r="N813" s="46"/>
      <c r="O813" s="46"/>
      <c r="P813" s="46"/>
      <c r="Q813" s="46"/>
      <c r="R813" s="46"/>
    </row>
    <row r="814">
      <c r="A814" s="46"/>
      <c r="B814" s="46"/>
      <c r="C814" s="46"/>
      <c r="D814" s="46"/>
      <c r="E814" s="46"/>
      <c r="F814" s="46"/>
      <c r="G814" s="46"/>
      <c r="H814" s="46"/>
      <c r="I814" s="46"/>
      <c r="J814" s="46"/>
      <c r="K814" s="46"/>
      <c r="L814" s="46"/>
      <c r="M814" s="46"/>
      <c r="N814" s="46"/>
      <c r="O814" s="46"/>
      <c r="P814" s="46"/>
      <c r="Q814" s="46"/>
      <c r="R814" s="46"/>
    </row>
    <row r="815">
      <c r="A815" s="46"/>
      <c r="B815" s="46"/>
      <c r="C815" s="46"/>
      <c r="D815" s="46"/>
      <c r="E815" s="46"/>
      <c r="F815" s="46"/>
      <c r="G815" s="46"/>
      <c r="H815" s="46"/>
      <c r="I815" s="46"/>
      <c r="J815" s="46"/>
      <c r="K815" s="46"/>
      <c r="L815" s="46"/>
      <c r="M815" s="46"/>
      <c r="N815" s="46"/>
      <c r="O815" s="46"/>
      <c r="P815" s="46"/>
      <c r="Q815" s="46"/>
      <c r="R815" s="46"/>
    </row>
    <row r="816">
      <c r="A816" s="46"/>
      <c r="B816" s="46"/>
      <c r="C816" s="46"/>
      <c r="D816" s="46"/>
      <c r="E816" s="46"/>
      <c r="F816" s="46"/>
      <c r="G816" s="46"/>
      <c r="H816" s="46"/>
      <c r="I816" s="46"/>
      <c r="J816" s="46"/>
      <c r="K816" s="46"/>
      <c r="L816" s="46"/>
      <c r="M816" s="46"/>
      <c r="N816" s="46"/>
      <c r="O816" s="46"/>
      <c r="P816" s="46"/>
      <c r="Q816" s="46"/>
      <c r="R816" s="46"/>
    </row>
    <row r="817">
      <c r="A817" s="46"/>
      <c r="B817" s="46"/>
      <c r="C817" s="46"/>
      <c r="D817" s="46"/>
      <c r="E817" s="46"/>
      <c r="F817" s="46"/>
      <c r="G817" s="46"/>
      <c r="H817" s="46"/>
      <c r="I817" s="46"/>
      <c r="J817" s="46"/>
      <c r="K817" s="46"/>
      <c r="L817" s="46"/>
      <c r="M817" s="46"/>
      <c r="N817" s="46"/>
      <c r="O817" s="46"/>
      <c r="P817" s="46"/>
      <c r="Q817" s="46"/>
      <c r="R817" s="46"/>
    </row>
    <row r="818">
      <c r="A818" s="46"/>
      <c r="B818" s="46"/>
      <c r="C818" s="46"/>
      <c r="D818" s="46"/>
      <c r="E818" s="46"/>
      <c r="F818" s="46"/>
      <c r="G818" s="46"/>
      <c r="H818" s="46"/>
      <c r="I818" s="46"/>
      <c r="J818" s="46"/>
      <c r="K818" s="46"/>
      <c r="L818" s="46"/>
      <c r="M818" s="46"/>
      <c r="N818" s="46"/>
      <c r="O818" s="46"/>
      <c r="P818" s="46"/>
      <c r="Q818" s="46"/>
      <c r="R818" s="46"/>
    </row>
    <row r="819">
      <c r="A819" s="46"/>
      <c r="B819" s="46"/>
      <c r="C819" s="46"/>
      <c r="D819" s="46"/>
      <c r="E819" s="46"/>
      <c r="F819" s="46"/>
      <c r="G819" s="46"/>
      <c r="H819" s="46"/>
      <c r="I819" s="46"/>
      <c r="J819" s="46"/>
      <c r="K819" s="46"/>
      <c r="L819" s="46"/>
      <c r="M819" s="46"/>
      <c r="N819" s="46"/>
      <c r="O819" s="46"/>
      <c r="P819" s="46"/>
      <c r="Q819" s="46"/>
      <c r="R819" s="46"/>
    </row>
    <row r="820">
      <c r="A820" s="46"/>
      <c r="B820" s="46"/>
      <c r="C820" s="46"/>
      <c r="D820" s="46"/>
      <c r="E820" s="46"/>
      <c r="F820" s="46"/>
      <c r="G820" s="46"/>
      <c r="H820" s="46"/>
      <c r="I820" s="46"/>
      <c r="J820" s="46"/>
      <c r="K820" s="46"/>
      <c r="L820" s="46"/>
      <c r="M820" s="46"/>
      <c r="N820" s="46"/>
      <c r="O820" s="46"/>
      <c r="P820" s="46"/>
      <c r="Q820" s="46"/>
      <c r="R820" s="46"/>
    </row>
    <row r="821">
      <c r="A821" s="46"/>
      <c r="B821" s="46"/>
      <c r="C821" s="46"/>
      <c r="D821" s="46"/>
      <c r="E821" s="46"/>
      <c r="F821" s="46"/>
      <c r="G821" s="46"/>
      <c r="H821" s="46"/>
      <c r="I821" s="46"/>
      <c r="J821" s="46"/>
      <c r="K821" s="46"/>
      <c r="L821" s="46"/>
      <c r="M821" s="46"/>
      <c r="N821" s="46"/>
      <c r="O821" s="46"/>
      <c r="P821" s="46"/>
      <c r="Q821" s="46"/>
      <c r="R821" s="46"/>
    </row>
    <row r="822">
      <c r="A822" s="46"/>
      <c r="B822" s="46"/>
      <c r="C822" s="46"/>
      <c r="D822" s="46"/>
      <c r="E822" s="46"/>
      <c r="F822" s="46"/>
      <c r="G822" s="46"/>
      <c r="H822" s="46"/>
      <c r="I822" s="46"/>
      <c r="J822" s="46"/>
      <c r="K822" s="46"/>
      <c r="L822" s="46"/>
      <c r="M822" s="46"/>
      <c r="N822" s="46"/>
      <c r="O822" s="46"/>
      <c r="P822" s="46"/>
      <c r="Q822" s="46"/>
      <c r="R822" s="46"/>
    </row>
    <row r="823">
      <c r="A823" s="46"/>
      <c r="B823" s="46"/>
      <c r="C823" s="46"/>
      <c r="D823" s="46"/>
      <c r="E823" s="46"/>
      <c r="F823" s="46"/>
      <c r="G823" s="46"/>
      <c r="H823" s="46"/>
      <c r="I823" s="46"/>
      <c r="J823" s="46"/>
      <c r="K823" s="46"/>
      <c r="L823" s="46"/>
      <c r="M823" s="46"/>
      <c r="N823" s="46"/>
      <c r="O823" s="46"/>
      <c r="P823" s="46"/>
      <c r="Q823" s="46"/>
      <c r="R823" s="46"/>
    </row>
    <row r="824">
      <c r="A824" s="46"/>
      <c r="B824" s="46"/>
      <c r="C824" s="46"/>
      <c r="D824" s="46"/>
      <c r="E824" s="46"/>
      <c r="F824" s="46"/>
      <c r="G824" s="46"/>
      <c r="H824" s="46"/>
      <c r="I824" s="46"/>
      <c r="J824" s="46"/>
      <c r="K824" s="46"/>
      <c r="L824" s="46"/>
      <c r="M824" s="46"/>
      <c r="N824" s="46"/>
      <c r="O824" s="46"/>
      <c r="P824" s="46"/>
      <c r="Q824" s="46"/>
      <c r="R824" s="46"/>
    </row>
    <row r="825">
      <c r="A825" s="46"/>
      <c r="B825" s="46"/>
      <c r="C825" s="46"/>
      <c r="D825" s="46"/>
      <c r="E825" s="46"/>
      <c r="F825" s="46"/>
      <c r="G825" s="46"/>
      <c r="H825" s="46"/>
      <c r="I825" s="46"/>
      <c r="J825" s="46"/>
      <c r="K825" s="46"/>
      <c r="L825" s="46"/>
      <c r="M825" s="46"/>
      <c r="N825" s="46"/>
      <c r="O825" s="46"/>
      <c r="P825" s="46"/>
      <c r="Q825" s="46"/>
      <c r="R825" s="46"/>
    </row>
    <row r="826">
      <c r="A826" s="46"/>
      <c r="B826" s="46"/>
      <c r="C826" s="46"/>
      <c r="D826" s="46"/>
      <c r="E826" s="46"/>
      <c r="F826" s="46"/>
      <c r="G826" s="46"/>
      <c r="H826" s="46"/>
      <c r="I826" s="46"/>
      <c r="J826" s="46"/>
      <c r="K826" s="46"/>
      <c r="L826" s="46"/>
      <c r="M826" s="46"/>
      <c r="N826" s="46"/>
      <c r="O826" s="46"/>
      <c r="P826" s="46"/>
      <c r="Q826" s="46"/>
      <c r="R826" s="46"/>
    </row>
    <row r="827">
      <c r="A827" s="46"/>
      <c r="B827" s="46"/>
      <c r="C827" s="46"/>
      <c r="D827" s="46"/>
      <c r="E827" s="46"/>
      <c r="F827" s="46"/>
      <c r="G827" s="46"/>
      <c r="H827" s="46"/>
      <c r="I827" s="46"/>
      <c r="J827" s="46"/>
      <c r="K827" s="46"/>
      <c r="L827" s="46"/>
      <c r="M827" s="46"/>
      <c r="N827" s="46"/>
      <c r="O827" s="46"/>
      <c r="P827" s="46"/>
      <c r="Q827" s="46"/>
      <c r="R827" s="46"/>
    </row>
    <row r="828">
      <c r="A828" s="46"/>
      <c r="B828" s="46"/>
      <c r="C828" s="46"/>
      <c r="D828" s="46"/>
      <c r="E828" s="46"/>
      <c r="F828" s="46"/>
      <c r="G828" s="46"/>
      <c r="H828" s="46"/>
      <c r="I828" s="46"/>
      <c r="J828" s="46"/>
      <c r="K828" s="46"/>
      <c r="L828" s="46"/>
      <c r="M828" s="46"/>
      <c r="N828" s="46"/>
      <c r="O828" s="46"/>
      <c r="P828" s="46"/>
      <c r="Q828" s="46"/>
      <c r="R828" s="46"/>
    </row>
    <row r="829">
      <c r="A829" s="46"/>
      <c r="B829" s="46"/>
      <c r="C829" s="46"/>
      <c r="D829" s="46"/>
      <c r="E829" s="46"/>
      <c r="F829" s="46"/>
      <c r="G829" s="46"/>
      <c r="H829" s="46"/>
      <c r="I829" s="46"/>
      <c r="J829" s="46"/>
      <c r="K829" s="46"/>
      <c r="L829" s="46"/>
      <c r="M829" s="46"/>
      <c r="N829" s="46"/>
      <c r="O829" s="46"/>
      <c r="P829" s="46"/>
      <c r="Q829" s="46"/>
      <c r="R829" s="46"/>
    </row>
    <row r="830">
      <c r="A830" s="46"/>
      <c r="B830" s="46"/>
      <c r="C830" s="46"/>
      <c r="D830" s="46"/>
      <c r="E830" s="46"/>
      <c r="F830" s="46"/>
      <c r="G830" s="46"/>
      <c r="H830" s="46"/>
      <c r="I830" s="46"/>
      <c r="J830" s="46"/>
      <c r="K830" s="46"/>
      <c r="L830" s="46"/>
      <c r="M830" s="46"/>
      <c r="N830" s="46"/>
      <c r="O830" s="46"/>
      <c r="P830" s="46"/>
      <c r="Q830" s="46"/>
      <c r="R830" s="46"/>
    </row>
    <row r="831">
      <c r="A831" s="46"/>
      <c r="B831" s="46"/>
      <c r="C831" s="46"/>
      <c r="D831" s="46"/>
      <c r="E831" s="46"/>
      <c r="F831" s="46"/>
      <c r="G831" s="46"/>
      <c r="H831" s="46"/>
      <c r="I831" s="46"/>
      <c r="J831" s="46"/>
      <c r="K831" s="46"/>
      <c r="L831" s="46"/>
      <c r="M831" s="46"/>
      <c r="N831" s="46"/>
      <c r="O831" s="46"/>
      <c r="P831" s="46"/>
      <c r="Q831" s="46"/>
      <c r="R831" s="46"/>
    </row>
    <row r="832">
      <c r="A832" s="46"/>
      <c r="B832" s="46"/>
      <c r="C832" s="46"/>
      <c r="D832" s="46"/>
      <c r="E832" s="46"/>
      <c r="F832" s="46"/>
      <c r="G832" s="46"/>
      <c r="H832" s="46"/>
      <c r="I832" s="46"/>
      <c r="J832" s="46"/>
      <c r="K832" s="46"/>
      <c r="L832" s="46"/>
      <c r="M832" s="46"/>
      <c r="N832" s="46"/>
      <c r="O832" s="46"/>
      <c r="P832" s="46"/>
      <c r="Q832" s="46"/>
      <c r="R832" s="46"/>
    </row>
    <row r="833">
      <c r="A833" s="46"/>
      <c r="B833" s="46"/>
      <c r="C833" s="46"/>
      <c r="D833" s="46"/>
      <c r="E833" s="46"/>
      <c r="F833" s="46"/>
      <c r="G833" s="46"/>
      <c r="H833" s="46"/>
      <c r="I833" s="46"/>
      <c r="J833" s="46"/>
      <c r="K833" s="46"/>
      <c r="L833" s="46"/>
      <c r="M833" s="46"/>
      <c r="N833" s="46"/>
      <c r="O833" s="46"/>
      <c r="P833" s="46"/>
      <c r="Q833" s="46"/>
      <c r="R833" s="46"/>
    </row>
    <row r="834">
      <c r="A834" s="46"/>
      <c r="B834" s="46"/>
      <c r="C834" s="46"/>
      <c r="D834" s="46"/>
      <c r="E834" s="46"/>
      <c r="F834" s="46"/>
      <c r="G834" s="46"/>
      <c r="H834" s="46"/>
      <c r="I834" s="46"/>
      <c r="J834" s="46"/>
      <c r="K834" s="46"/>
      <c r="L834" s="46"/>
      <c r="M834" s="46"/>
      <c r="N834" s="46"/>
      <c r="O834" s="46"/>
      <c r="P834" s="46"/>
      <c r="Q834" s="46"/>
      <c r="R834" s="46"/>
    </row>
    <row r="835">
      <c r="A835" s="46"/>
      <c r="B835" s="46"/>
      <c r="C835" s="46"/>
      <c r="D835" s="46"/>
      <c r="E835" s="46"/>
      <c r="F835" s="46"/>
      <c r="G835" s="46"/>
      <c r="H835" s="46"/>
      <c r="I835" s="46"/>
      <c r="J835" s="46"/>
      <c r="K835" s="46"/>
      <c r="L835" s="46"/>
      <c r="M835" s="46"/>
      <c r="N835" s="46"/>
      <c r="O835" s="46"/>
      <c r="P835" s="46"/>
      <c r="Q835" s="46"/>
      <c r="R835" s="46"/>
    </row>
    <row r="836">
      <c r="A836" s="46"/>
      <c r="B836" s="46"/>
      <c r="C836" s="46"/>
      <c r="D836" s="46"/>
      <c r="E836" s="46"/>
      <c r="F836" s="46"/>
      <c r="G836" s="46"/>
      <c r="H836" s="46"/>
      <c r="I836" s="46"/>
      <c r="J836" s="46"/>
      <c r="K836" s="46"/>
      <c r="L836" s="46"/>
      <c r="M836" s="46"/>
      <c r="N836" s="46"/>
      <c r="O836" s="46"/>
      <c r="P836" s="46"/>
      <c r="Q836" s="46"/>
      <c r="R836" s="46"/>
    </row>
    <row r="837">
      <c r="A837" s="46"/>
      <c r="B837" s="46"/>
      <c r="C837" s="46"/>
      <c r="D837" s="46"/>
      <c r="E837" s="46"/>
      <c r="F837" s="46"/>
      <c r="G837" s="46"/>
      <c r="H837" s="46"/>
      <c r="I837" s="46"/>
      <c r="J837" s="46"/>
      <c r="K837" s="46"/>
      <c r="L837" s="46"/>
      <c r="M837" s="46"/>
      <c r="N837" s="46"/>
      <c r="O837" s="46"/>
      <c r="P837" s="46"/>
      <c r="Q837" s="46"/>
      <c r="R837" s="46"/>
    </row>
    <row r="838">
      <c r="A838" s="46"/>
      <c r="B838" s="46"/>
      <c r="C838" s="46"/>
      <c r="D838" s="46"/>
      <c r="E838" s="46"/>
      <c r="F838" s="46"/>
      <c r="G838" s="46"/>
      <c r="H838" s="46"/>
      <c r="I838" s="46"/>
      <c r="J838" s="46"/>
      <c r="K838" s="46"/>
      <c r="L838" s="46"/>
      <c r="M838" s="46"/>
      <c r="N838" s="46"/>
      <c r="O838" s="46"/>
      <c r="P838" s="46"/>
      <c r="Q838" s="46"/>
      <c r="R838" s="46"/>
    </row>
    <row r="839">
      <c r="A839" s="46"/>
      <c r="B839" s="46"/>
      <c r="C839" s="46"/>
      <c r="D839" s="46"/>
      <c r="E839" s="46"/>
      <c r="F839" s="46"/>
      <c r="G839" s="46"/>
      <c r="H839" s="46"/>
      <c r="I839" s="46"/>
      <c r="J839" s="46"/>
      <c r="K839" s="46"/>
      <c r="L839" s="46"/>
      <c r="M839" s="46"/>
      <c r="N839" s="46"/>
      <c r="O839" s="46"/>
      <c r="P839" s="46"/>
      <c r="Q839" s="46"/>
      <c r="R839" s="46"/>
    </row>
    <row r="840">
      <c r="A840" s="46"/>
      <c r="B840" s="46"/>
      <c r="C840" s="46"/>
      <c r="D840" s="46"/>
      <c r="E840" s="46"/>
      <c r="F840" s="46"/>
      <c r="G840" s="46"/>
      <c r="H840" s="46"/>
      <c r="I840" s="46"/>
      <c r="J840" s="46"/>
      <c r="K840" s="46"/>
      <c r="L840" s="46"/>
      <c r="M840" s="46"/>
      <c r="N840" s="46"/>
      <c r="O840" s="46"/>
      <c r="P840" s="46"/>
      <c r="Q840" s="46"/>
      <c r="R840" s="46"/>
    </row>
    <row r="841">
      <c r="A841" s="46"/>
      <c r="B841" s="46"/>
      <c r="C841" s="46"/>
      <c r="D841" s="46"/>
      <c r="E841" s="46"/>
      <c r="F841" s="46"/>
      <c r="G841" s="46"/>
      <c r="H841" s="46"/>
      <c r="I841" s="46"/>
      <c r="J841" s="46"/>
      <c r="K841" s="46"/>
      <c r="L841" s="46"/>
      <c r="M841" s="46"/>
      <c r="N841" s="46"/>
      <c r="O841" s="46"/>
      <c r="P841" s="46"/>
      <c r="Q841" s="46"/>
      <c r="R841" s="46"/>
    </row>
    <row r="842">
      <c r="A842" s="46"/>
      <c r="B842" s="46"/>
      <c r="C842" s="46"/>
      <c r="D842" s="46"/>
      <c r="E842" s="46"/>
      <c r="F842" s="46"/>
      <c r="G842" s="46"/>
      <c r="H842" s="46"/>
      <c r="I842" s="46"/>
      <c r="J842" s="46"/>
      <c r="K842" s="46"/>
      <c r="L842" s="46"/>
      <c r="M842" s="46"/>
      <c r="N842" s="46"/>
      <c r="O842" s="46"/>
      <c r="P842" s="46"/>
      <c r="Q842" s="46"/>
      <c r="R842" s="46"/>
    </row>
    <row r="843">
      <c r="A843" s="46"/>
      <c r="B843" s="46"/>
      <c r="C843" s="46"/>
      <c r="D843" s="46"/>
      <c r="E843" s="46"/>
      <c r="F843" s="46"/>
      <c r="G843" s="46"/>
      <c r="H843" s="46"/>
      <c r="I843" s="46"/>
      <c r="J843" s="46"/>
      <c r="K843" s="46"/>
      <c r="L843" s="46"/>
      <c r="M843" s="46"/>
      <c r="N843" s="46"/>
      <c r="O843" s="46"/>
      <c r="P843" s="46"/>
      <c r="Q843" s="46"/>
      <c r="R843" s="46"/>
    </row>
    <row r="844">
      <c r="A844" s="46"/>
      <c r="B844" s="46"/>
      <c r="C844" s="46"/>
      <c r="D844" s="46"/>
      <c r="E844" s="46"/>
      <c r="F844" s="46"/>
      <c r="G844" s="46"/>
      <c r="H844" s="46"/>
      <c r="I844" s="46"/>
      <c r="J844" s="46"/>
      <c r="K844" s="46"/>
      <c r="L844" s="46"/>
      <c r="M844" s="46"/>
      <c r="N844" s="46"/>
      <c r="O844" s="46"/>
      <c r="P844" s="46"/>
      <c r="Q844" s="46"/>
      <c r="R844" s="46"/>
    </row>
    <row r="845">
      <c r="A845" s="46"/>
      <c r="B845" s="46"/>
      <c r="C845" s="46"/>
      <c r="D845" s="46"/>
      <c r="E845" s="46"/>
      <c r="F845" s="46"/>
      <c r="G845" s="46"/>
      <c r="H845" s="46"/>
      <c r="I845" s="46"/>
      <c r="J845" s="46"/>
      <c r="K845" s="46"/>
      <c r="L845" s="46"/>
      <c r="M845" s="46"/>
      <c r="N845" s="46"/>
      <c r="O845" s="46"/>
      <c r="P845" s="46"/>
      <c r="Q845" s="46"/>
      <c r="R845" s="46"/>
    </row>
    <row r="846">
      <c r="A846" s="46"/>
      <c r="B846" s="46"/>
      <c r="C846" s="46"/>
      <c r="D846" s="46"/>
      <c r="E846" s="46"/>
      <c r="F846" s="46"/>
      <c r="G846" s="46"/>
      <c r="H846" s="46"/>
      <c r="I846" s="46"/>
      <c r="J846" s="46"/>
      <c r="K846" s="46"/>
      <c r="L846" s="46"/>
      <c r="M846" s="46"/>
      <c r="N846" s="46"/>
      <c r="O846" s="46"/>
      <c r="P846" s="46"/>
      <c r="Q846" s="46"/>
      <c r="R846" s="46"/>
    </row>
    <row r="847">
      <c r="A847" s="46"/>
      <c r="B847" s="46"/>
      <c r="C847" s="46"/>
      <c r="D847" s="46"/>
      <c r="E847" s="46"/>
      <c r="F847" s="46"/>
      <c r="G847" s="46"/>
      <c r="H847" s="46"/>
      <c r="I847" s="46"/>
      <c r="J847" s="46"/>
      <c r="K847" s="46"/>
      <c r="L847" s="46"/>
      <c r="M847" s="46"/>
      <c r="N847" s="46"/>
      <c r="O847" s="46"/>
      <c r="P847" s="46"/>
      <c r="Q847" s="46"/>
      <c r="R847" s="46"/>
    </row>
    <row r="848">
      <c r="A848" s="46"/>
      <c r="B848" s="46"/>
      <c r="C848" s="46"/>
      <c r="D848" s="46"/>
      <c r="E848" s="46"/>
      <c r="F848" s="46"/>
      <c r="G848" s="46"/>
      <c r="H848" s="46"/>
      <c r="I848" s="46"/>
      <c r="J848" s="46"/>
      <c r="K848" s="46"/>
      <c r="L848" s="46"/>
      <c r="M848" s="46"/>
      <c r="N848" s="46"/>
      <c r="O848" s="46"/>
      <c r="P848" s="46"/>
      <c r="Q848" s="46"/>
      <c r="R848" s="46"/>
    </row>
    <row r="849">
      <c r="A849" s="46"/>
      <c r="B849" s="46"/>
      <c r="C849" s="46"/>
      <c r="D849" s="46"/>
      <c r="E849" s="46"/>
      <c r="F849" s="46"/>
      <c r="G849" s="46"/>
      <c r="H849" s="46"/>
      <c r="I849" s="46"/>
      <c r="J849" s="46"/>
      <c r="K849" s="46"/>
      <c r="L849" s="46"/>
      <c r="M849" s="46"/>
      <c r="N849" s="46"/>
      <c r="O849" s="46"/>
      <c r="P849" s="46"/>
      <c r="Q849" s="46"/>
      <c r="R849" s="46"/>
    </row>
    <row r="850">
      <c r="A850" s="46"/>
      <c r="B850" s="46"/>
      <c r="C850" s="46"/>
      <c r="D850" s="46"/>
      <c r="E850" s="46"/>
      <c r="F850" s="46"/>
      <c r="G850" s="46"/>
      <c r="H850" s="46"/>
      <c r="I850" s="46"/>
      <c r="J850" s="46"/>
      <c r="K850" s="46"/>
      <c r="L850" s="46"/>
      <c r="M850" s="46"/>
      <c r="N850" s="46"/>
      <c r="O850" s="46"/>
      <c r="P850" s="46"/>
      <c r="Q850" s="46"/>
      <c r="R850" s="46"/>
    </row>
    <row r="851">
      <c r="A851" s="46"/>
      <c r="B851" s="46"/>
      <c r="C851" s="46"/>
      <c r="D851" s="46"/>
      <c r="E851" s="46"/>
      <c r="F851" s="46"/>
      <c r="G851" s="46"/>
      <c r="H851" s="46"/>
      <c r="I851" s="46"/>
      <c r="J851" s="46"/>
      <c r="K851" s="46"/>
      <c r="L851" s="46"/>
      <c r="M851" s="46"/>
      <c r="N851" s="46"/>
      <c r="O851" s="46"/>
      <c r="P851" s="46"/>
      <c r="Q851" s="46"/>
      <c r="R851" s="46"/>
    </row>
    <row r="852">
      <c r="A852" s="46"/>
      <c r="B852" s="46"/>
      <c r="C852" s="46"/>
      <c r="D852" s="46"/>
      <c r="E852" s="46"/>
      <c r="F852" s="46"/>
      <c r="G852" s="46"/>
      <c r="H852" s="46"/>
      <c r="I852" s="46"/>
      <c r="J852" s="46"/>
      <c r="K852" s="46"/>
      <c r="L852" s="46"/>
      <c r="M852" s="46"/>
      <c r="N852" s="46"/>
      <c r="O852" s="46"/>
      <c r="P852" s="46"/>
      <c r="Q852" s="46"/>
      <c r="R852" s="46"/>
    </row>
    <row r="853">
      <c r="A853" s="46"/>
      <c r="B853" s="46"/>
      <c r="C853" s="46"/>
      <c r="D853" s="46"/>
      <c r="E853" s="46"/>
      <c r="F853" s="46"/>
      <c r="G853" s="46"/>
      <c r="H853" s="46"/>
      <c r="I853" s="46"/>
      <c r="J853" s="46"/>
      <c r="K853" s="46"/>
      <c r="L853" s="46"/>
      <c r="M853" s="46"/>
      <c r="N853" s="46"/>
      <c r="O853" s="46"/>
      <c r="P853" s="46"/>
      <c r="Q853" s="46"/>
      <c r="R853" s="46"/>
    </row>
    <row r="854">
      <c r="A854" s="46"/>
      <c r="B854" s="46"/>
      <c r="C854" s="46"/>
      <c r="D854" s="46"/>
      <c r="E854" s="46"/>
      <c r="F854" s="46"/>
      <c r="G854" s="46"/>
      <c r="H854" s="46"/>
      <c r="I854" s="46"/>
      <c r="J854" s="46"/>
      <c r="K854" s="46"/>
      <c r="L854" s="46"/>
      <c r="M854" s="46"/>
      <c r="N854" s="46"/>
      <c r="O854" s="46"/>
      <c r="P854" s="46"/>
      <c r="Q854" s="46"/>
      <c r="R854" s="46"/>
    </row>
    <row r="855">
      <c r="A855" s="46"/>
      <c r="B855" s="46"/>
      <c r="C855" s="46"/>
      <c r="D855" s="46"/>
      <c r="E855" s="46"/>
      <c r="F855" s="46"/>
      <c r="G855" s="46"/>
      <c r="H855" s="46"/>
      <c r="I855" s="46"/>
      <c r="J855" s="46"/>
      <c r="K855" s="46"/>
      <c r="L855" s="46"/>
      <c r="M855" s="46"/>
      <c r="N855" s="46"/>
      <c r="O855" s="46"/>
      <c r="P855" s="46"/>
      <c r="Q855" s="46"/>
      <c r="R855" s="46"/>
    </row>
    <row r="856">
      <c r="A856" s="46"/>
      <c r="B856" s="46"/>
      <c r="C856" s="46"/>
      <c r="D856" s="46"/>
      <c r="E856" s="46"/>
      <c r="F856" s="46"/>
      <c r="G856" s="46"/>
      <c r="H856" s="46"/>
      <c r="I856" s="46"/>
      <c r="J856" s="46"/>
      <c r="K856" s="46"/>
      <c r="L856" s="46"/>
      <c r="M856" s="46"/>
      <c r="N856" s="46"/>
      <c r="O856" s="46"/>
      <c r="P856" s="46"/>
      <c r="Q856" s="46"/>
      <c r="R856" s="46"/>
    </row>
    <row r="857">
      <c r="A857" s="46"/>
      <c r="B857" s="46"/>
      <c r="C857" s="46"/>
      <c r="D857" s="46"/>
      <c r="E857" s="46"/>
      <c r="F857" s="46"/>
      <c r="G857" s="46"/>
      <c r="H857" s="46"/>
      <c r="I857" s="46"/>
      <c r="J857" s="46"/>
      <c r="K857" s="46"/>
      <c r="L857" s="46"/>
      <c r="M857" s="46"/>
      <c r="N857" s="46"/>
      <c r="O857" s="46"/>
      <c r="P857" s="46"/>
      <c r="Q857" s="46"/>
      <c r="R857" s="46"/>
    </row>
    <row r="858">
      <c r="A858" s="46"/>
      <c r="B858" s="46"/>
      <c r="C858" s="46"/>
      <c r="D858" s="46"/>
      <c r="E858" s="46"/>
      <c r="F858" s="46"/>
      <c r="G858" s="46"/>
      <c r="H858" s="46"/>
      <c r="I858" s="46"/>
      <c r="J858" s="46"/>
      <c r="K858" s="46"/>
      <c r="L858" s="46"/>
      <c r="M858" s="46"/>
      <c r="N858" s="46"/>
      <c r="O858" s="46"/>
      <c r="P858" s="46"/>
      <c r="Q858" s="46"/>
      <c r="R858" s="46"/>
    </row>
    <row r="859">
      <c r="A859" s="46"/>
      <c r="B859" s="46"/>
      <c r="C859" s="46"/>
      <c r="D859" s="46"/>
      <c r="E859" s="46"/>
      <c r="F859" s="46"/>
      <c r="G859" s="46"/>
      <c r="H859" s="46"/>
      <c r="I859" s="46"/>
      <c r="J859" s="46"/>
      <c r="K859" s="46"/>
      <c r="L859" s="46"/>
      <c r="M859" s="46"/>
      <c r="N859" s="46"/>
      <c r="O859" s="46"/>
      <c r="P859" s="46"/>
      <c r="Q859" s="46"/>
      <c r="R859" s="46"/>
    </row>
    <row r="860">
      <c r="A860" s="46"/>
      <c r="B860" s="46"/>
      <c r="C860" s="46"/>
      <c r="D860" s="46"/>
      <c r="E860" s="46"/>
      <c r="F860" s="46"/>
      <c r="G860" s="46"/>
      <c r="H860" s="46"/>
      <c r="I860" s="46"/>
      <c r="J860" s="46"/>
      <c r="K860" s="46"/>
      <c r="L860" s="46"/>
      <c r="M860" s="46"/>
      <c r="N860" s="46"/>
      <c r="O860" s="46"/>
      <c r="P860" s="46"/>
      <c r="Q860" s="46"/>
      <c r="R860" s="46"/>
    </row>
    <row r="861">
      <c r="A861" s="46"/>
      <c r="B861" s="46"/>
      <c r="C861" s="46"/>
      <c r="D861" s="46"/>
      <c r="E861" s="46"/>
      <c r="F861" s="46"/>
      <c r="G861" s="46"/>
      <c r="H861" s="46"/>
      <c r="I861" s="46"/>
      <c r="J861" s="46"/>
      <c r="K861" s="46"/>
      <c r="L861" s="46"/>
      <c r="M861" s="46"/>
      <c r="N861" s="46"/>
      <c r="O861" s="46"/>
      <c r="P861" s="46"/>
      <c r="Q861" s="46"/>
      <c r="R861" s="46"/>
    </row>
    <row r="862">
      <c r="A862" s="46"/>
      <c r="B862" s="46"/>
      <c r="C862" s="46"/>
      <c r="D862" s="46"/>
      <c r="E862" s="46"/>
      <c r="F862" s="46"/>
      <c r="G862" s="46"/>
      <c r="H862" s="46"/>
      <c r="I862" s="46"/>
      <c r="J862" s="46"/>
      <c r="K862" s="46"/>
      <c r="L862" s="46"/>
      <c r="M862" s="46"/>
      <c r="N862" s="46"/>
      <c r="O862" s="46"/>
      <c r="P862" s="46"/>
      <c r="Q862" s="46"/>
      <c r="R862" s="46"/>
    </row>
    <row r="863">
      <c r="A863" s="46"/>
      <c r="B863" s="46"/>
      <c r="C863" s="46"/>
      <c r="D863" s="46"/>
      <c r="E863" s="46"/>
      <c r="F863" s="46"/>
      <c r="G863" s="46"/>
      <c r="H863" s="46"/>
      <c r="I863" s="46"/>
      <c r="J863" s="46"/>
      <c r="K863" s="46"/>
      <c r="L863" s="46"/>
      <c r="M863" s="46"/>
      <c r="N863" s="46"/>
      <c r="O863" s="46"/>
      <c r="P863" s="46"/>
      <c r="Q863" s="46"/>
      <c r="R863" s="46"/>
    </row>
    <row r="864">
      <c r="A864" s="46"/>
      <c r="B864" s="46"/>
      <c r="C864" s="46"/>
      <c r="D864" s="46"/>
      <c r="E864" s="46"/>
      <c r="F864" s="46"/>
      <c r="G864" s="46"/>
      <c r="H864" s="46"/>
      <c r="I864" s="46"/>
      <c r="J864" s="46"/>
      <c r="K864" s="46"/>
      <c r="L864" s="46"/>
      <c r="M864" s="46"/>
      <c r="N864" s="46"/>
      <c r="O864" s="46"/>
      <c r="P864" s="46"/>
      <c r="Q864" s="46"/>
      <c r="R864" s="46"/>
    </row>
    <row r="865">
      <c r="A865" s="46"/>
      <c r="B865" s="46"/>
      <c r="C865" s="46"/>
      <c r="D865" s="46"/>
      <c r="E865" s="46"/>
      <c r="F865" s="46"/>
      <c r="G865" s="46"/>
      <c r="H865" s="46"/>
      <c r="I865" s="46"/>
      <c r="J865" s="46"/>
      <c r="K865" s="46"/>
      <c r="L865" s="46"/>
      <c r="M865" s="46"/>
      <c r="N865" s="46"/>
      <c r="O865" s="46"/>
      <c r="P865" s="46"/>
      <c r="Q865" s="46"/>
      <c r="R865" s="46"/>
    </row>
    <row r="866">
      <c r="A866" s="46"/>
      <c r="B866" s="46"/>
      <c r="C866" s="46"/>
      <c r="D866" s="46"/>
      <c r="E866" s="46"/>
      <c r="F866" s="46"/>
      <c r="G866" s="46"/>
      <c r="H866" s="46"/>
      <c r="I866" s="46"/>
      <c r="J866" s="46"/>
      <c r="K866" s="46"/>
      <c r="L866" s="46"/>
      <c r="M866" s="46"/>
      <c r="N866" s="46"/>
      <c r="O866" s="46"/>
      <c r="P866" s="46"/>
      <c r="Q866" s="46"/>
      <c r="R866" s="46"/>
    </row>
    <row r="867">
      <c r="A867" s="46"/>
      <c r="B867" s="46"/>
      <c r="C867" s="46"/>
      <c r="D867" s="46"/>
      <c r="E867" s="46"/>
      <c r="F867" s="46"/>
      <c r="G867" s="46"/>
      <c r="H867" s="46"/>
      <c r="I867" s="46"/>
      <c r="J867" s="46"/>
      <c r="K867" s="46"/>
      <c r="L867" s="46"/>
      <c r="M867" s="46"/>
      <c r="N867" s="46"/>
      <c r="O867" s="46"/>
      <c r="P867" s="46"/>
      <c r="Q867" s="46"/>
      <c r="R867" s="46"/>
    </row>
    <row r="868">
      <c r="A868" s="46"/>
      <c r="B868" s="46"/>
      <c r="C868" s="46"/>
      <c r="D868" s="46"/>
      <c r="E868" s="46"/>
      <c r="F868" s="46"/>
      <c r="G868" s="46"/>
      <c r="H868" s="46"/>
      <c r="I868" s="46"/>
      <c r="J868" s="46"/>
      <c r="K868" s="46"/>
      <c r="L868" s="46"/>
      <c r="M868" s="46"/>
      <c r="N868" s="46"/>
      <c r="O868" s="46"/>
      <c r="P868" s="46"/>
      <c r="Q868" s="46"/>
      <c r="R868" s="46"/>
    </row>
    <row r="869">
      <c r="A869" s="46"/>
      <c r="B869" s="46"/>
      <c r="C869" s="46"/>
      <c r="D869" s="46"/>
      <c r="E869" s="46"/>
      <c r="F869" s="46"/>
      <c r="G869" s="46"/>
      <c r="H869" s="46"/>
      <c r="I869" s="46"/>
      <c r="J869" s="46"/>
      <c r="K869" s="46"/>
      <c r="L869" s="46"/>
      <c r="M869" s="46"/>
      <c r="N869" s="46"/>
      <c r="O869" s="46"/>
      <c r="P869" s="46"/>
      <c r="Q869" s="46"/>
      <c r="R869" s="46"/>
    </row>
    <row r="870">
      <c r="A870" s="46"/>
      <c r="B870" s="46"/>
      <c r="C870" s="46"/>
      <c r="D870" s="46"/>
      <c r="E870" s="46"/>
      <c r="F870" s="46"/>
      <c r="G870" s="46"/>
      <c r="H870" s="46"/>
      <c r="I870" s="46"/>
      <c r="J870" s="46"/>
      <c r="K870" s="46"/>
      <c r="L870" s="46"/>
      <c r="M870" s="46"/>
      <c r="N870" s="46"/>
      <c r="O870" s="46"/>
      <c r="P870" s="46"/>
      <c r="Q870" s="46"/>
      <c r="R870" s="46"/>
    </row>
    <row r="871">
      <c r="A871" s="46"/>
      <c r="B871" s="46"/>
      <c r="C871" s="46"/>
      <c r="D871" s="46"/>
      <c r="E871" s="46"/>
      <c r="F871" s="46"/>
      <c r="G871" s="46"/>
      <c r="H871" s="46"/>
      <c r="I871" s="46"/>
      <c r="J871" s="46"/>
      <c r="K871" s="46"/>
      <c r="L871" s="46"/>
      <c r="M871" s="46"/>
      <c r="N871" s="46"/>
      <c r="O871" s="46"/>
      <c r="P871" s="46"/>
      <c r="Q871" s="46"/>
      <c r="R871" s="46"/>
    </row>
    <row r="872">
      <c r="A872" s="46"/>
      <c r="B872" s="46"/>
      <c r="C872" s="46"/>
      <c r="D872" s="46"/>
      <c r="E872" s="46"/>
      <c r="F872" s="46"/>
      <c r="G872" s="46"/>
      <c r="H872" s="46"/>
      <c r="I872" s="46"/>
      <c r="J872" s="46"/>
      <c r="K872" s="46"/>
      <c r="L872" s="46"/>
      <c r="M872" s="46"/>
      <c r="N872" s="46"/>
      <c r="O872" s="46"/>
      <c r="P872" s="46"/>
      <c r="Q872" s="46"/>
      <c r="R872" s="46"/>
    </row>
    <row r="873">
      <c r="A873" s="46"/>
      <c r="B873" s="46"/>
      <c r="C873" s="46"/>
      <c r="D873" s="46"/>
      <c r="E873" s="46"/>
      <c r="F873" s="46"/>
      <c r="G873" s="46"/>
      <c r="H873" s="46"/>
      <c r="I873" s="46"/>
      <c r="J873" s="46"/>
      <c r="K873" s="46"/>
      <c r="L873" s="46"/>
      <c r="M873" s="46"/>
      <c r="N873" s="46"/>
      <c r="O873" s="46"/>
      <c r="P873" s="46"/>
      <c r="Q873" s="46"/>
      <c r="R873" s="46"/>
    </row>
    <row r="874">
      <c r="A874" s="46"/>
      <c r="B874" s="46"/>
      <c r="C874" s="46"/>
      <c r="D874" s="46"/>
      <c r="E874" s="46"/>
      <c r="F874" s="46"/>
      <c r="G874" s="46"/>
      <c r="H874" s="46"/>
      <c r="I874" s="46"/>
      <c r="J874" s="46"/>
      <c r="K874" s="46"/>
      <c r="L874" s="46"/>
      <c r="M874" s="46"/>
      <c r="N874" s="46"/>
      <c r="O874" s="46"/>
      <c r="P874" s="46"/>
      <c r="Q874" s="46"/>
      <c r="R874" s="46"/>
    </row>
    <row r="875">
      <c r="A875" s="46"/>
      <c r="B875" s="46"/>
      <c r="C875" s="46"/>
      <c r="D875" s="46"/>
      <c r="E875" s="46"/>
      <c r="F875" s="46"/>
      <c r="G875" s="46"/>
      <c r="H875" s="46"/>
      <c r="I875" s="46"/>
      <c r="J875" s="46"/>
      <c r="K875" s="46"/>
      <c r="L875" s="46"/>
      <c r="M875" s="46"/>
      <c r="N875" s="46"/>
      <c r="O875" s="46"/>
      <c r="P875" s="46"/>
      <c r="Q875" s="46"/>
      <c r="R875" s="46"/>
    </row>
    <row r="876">
      <c r="A876" s="46"/>
      <c r="B876" s="46"/>
      <c r="C876" s="46"/>
      <c r="D876" s="46"/>
      <c r="E876" s="46"/>
      <c r="F876" s="46"/>
      <c r="G876" s="46"/>
      <c r="H876" s="46"/>
      <c r="I876" s="46"/>
      <c r="J876" s="46"/>
      <c r="K876" s="46"/>
      <c r="L876" s="46"/>
      <c r="M876" s="46"/>
      <c r="N876" s="46"/>
      <c r="O876" s="46"/>
      <c r="P876" s="46"/>
      <c r="Q876" s="46"/>
      <c r="R876" s="46"/>
    </row>
    <row r="877">
      <c r="A877" s="46"/>
      <c r="B877" s="46"/>
      <c r="C877" s="46"/>
      <c r="D877" s="46"/>
      <c r="E877" s="46"/>
      <c r="F877" s="46"/>
      <c r="G877" s="46"/>
      <c r="H877" s="46"/>
      <c r="I877" s="46"/>
      <c r="J877" s="46"/>
      <c r="K877" s="46"/>
      <c r="L877" s="46"/>
      <c r="M877" s="46"/>
      <c r="N877" s="46"/>
      <c r="O877" s="46"/>
      <c r="P877" s="46"/>
      <c r="Q877" s="46"/>
      <c r="R877" s="46"/>
    </row>
    <row r="878">
      <c r="A878" s="46"/>
      <c r="B878" s="46"/>
      <c r="C878" s="46"/>
      <c r="D878" s="46"/>
      <c r="E878" s="46"/>
      <c r="F878" s="46"/>
      <c r="G878" s="46"/>
      <c r="H878" s="46"/>
      <c r="I878" s="46"/>
      <c r="J878" s="46"/>
      <c r="K878" s="46"/>
      <c r="L878" s="46"/>
      <c r="M878" s="46"/>
      <c r="N878" s="46"/>
      <c r="O878" s="46"/>
      <c r="P878" s="46"/>
      <c r="Q878" s="46"/>
      <c r="R878" s="46"/>
    </row>
    <row r="879">
      <c r="A879" s="46"/>
      <c r="B879" s="46"/>
      <c r="C879" s="46"/>
      <c r="D879" s="46"/>
      <c r="E879" s="46"/>
      <c r="F879" s="46"/>
      <c r="G879" s="46"/>
      <c r="H879" s="46"/>
      <c r="I879" s="46"/>
      <c r="J879" s="46"/>
      <c r="K879" s="46"/>
      <c r="L879" s="46"/>
      <c r="M879" s="46"/>
      <c r="N879" s="46"/>
      <c r="O879" s="46"/>
      <c r="P879" s="46"/>
      <c r="Q879" s="46"/>
      <c r="R879" s="46"/>
    </row>
    <row r="880">
      <c r="A880" s="46"/>
      <c r="B880" s="46"/>
      <c r="C880" s="46"/>
      <c r="D880" s="46"/>
      <c r="E880" s="46"/>
      <c r="F880" s="46"/>
      <c r="G880" s="46"/>
      <c r="H880" s="46"/>
      <c r="I880" s="46"/>
      <c r="J880" s="46"/>
      <c r="K880" s="46"/>
      <c r="L880" s="46"/>
      <c r="M880" s="46"/>
      <c r="N880" s="46"/>
      <c r="O880" s="46"/>
      <c r="P880" s="46"/>
      <c r="Q880" s="46"/>
      <c r="R880" s="46"/>
    </row>
    <row r="881">
      <c r="A881" s="46"/>
      <c r="B881" s="46"/>
      <c r="C881" s="46"/>
      <c r="D881" s="46"/>
      <c r="E881" s="46"/>
      <c r="F881" s="46"/>
      <c r="G881" s="46"/>
      <c r="H881" s="46"/>
      <c r="I881" s="46"/>
      <c r="J881" s="46"/>
      <c r="K881" s="46"/>
      <c r="L881" s="46"/>
      <c r="M881" s="46"/>
      <c r="N881" s="46"/>
      <c r="O881" s="46"/>
      <c r="P881" s="46"/>
      <c r="Q881" s="46"/>
      <c r="R881" s="46"/>
    </row>
    <row r="882">
      <c r="A882" s="46"/>
      <c r="B882" s="46"/>
      <c r="C882" s="46"/>
      <c r="D882" s="46"/>
      <c r="E882" s="46"/>
      <c r="F882" s="46"/>
      <c r="G882" s="46"/>
      <c r="H882" s="46"/>
      <c r="I882" s="46"/>
      <c r="J882" s="46"/>
      <c r="K882" s="46"/>
      <c r="L882" s="46"/>
      <c r="M882" s="46"/>
      <c r="N882" s="46"/>
      <c r="O882" s="46"/>
      <c r="P882" s="46"/>
      <c r="Q882" s="46"/>
      <c r="R882" s="46"/>
    </row>
    <row r="883">
      <c r="A883" s="46"/>
      <c r="B883" s="46"/>
      <c r="C883" s="46"/>
      <c r="D883" s="46"/>
      <c r="E883" s="46"/>
      <c r="F883" s="46"/>
      <c r="G883" s="46"/>
      <c r="H883" s="46"/>
      <c r="I883" s="46"/>
      <c r="J883" s="46"/>
      <c r="K883" s="46"/>
      <c r="L883" s="46"/>
      <c r="M883" s="46"/>
      <c r="N883" s="46"/>
      <c r="O883" s="46"/>
      <c r="P883" s="46"/>
      <c r="Q883" s="46"/>
      <c r="R883" s="46"/>
    </row>
    <row r="884">
      <c r="A884" s="46"/>
      <c r="B884" s="46"/>
      <c r="C884" s="46"/>
      <c r="D884" s="46"/>
      <c r="E884" s="46"/>
      <c r="F884" s="46"/>
      <c r="G884" s="46"/>
      <c r="H884" s="46"/>
      <c r="I884" s="46"/>
      <c r="J884" s="46"/>
      <c r="K884" s="46"/>
      <c r="L884" s="46"/>
      <c r="M884" s="46"/>
      <c r="N884" s="46"/>
      <c r="O884" s="46"/>
      <c r="P884" s="46"/>
      <c r="Q884" s="46"/>
      <c r="R884" s="46"/>
    </row>
    <row r="885">
      <c r="A885" s="46"/>
      <c r="B885" s="46"/>
      <c r="C885" s="46"/>
      <c r="D885" s="46"/>
      <c r="E885" s="46"/>
      <c r="F885" s="46"/>
      <c r="G885" s="46"/>
      <c r="H885" s="46"/>
      <c r="I885" s="46"/>
      <c r="J885" s="46"/>
      <c r="K885" s="46"/>
      <c r="L885" s="46"/>
      <c r="M885" s="46"/>
      <c r="N885" s="46"/>
      <c r="O885" s="46"/>
      <c r="P885" s="46"/>
      <c r="Q885" s="46"/>
      <c r="R885" s="46"/>
    </row>
    <row r="886">
      <c r="A886" s="46"/>
      <c r="B886" s="46"/>
      <c r="C886" s="46"/>
      <c r="D886" s="46"/>
      <c r="E886" s="46"/>
      <c r="F886" s="46"/>
      <c r="G886" s="46"/>
      <c r="H886" s="46"/>
      <c r="I886" s="46"/>
      <c r="J886" s="46"/>
      <c r="K886" s="46"/>
      <c r="L886" s="46"/>
      <c r="M886" s="46"/>
      <c r="N886" s="46"/>
      <c r="O886" s="46"/>
      <c r="P886" s="46"/>
      <c r="Q886" s="46"/>
      <c r="R886" s="46"/>
    </row>
    <row r="887">
      <c r="A887" s="46"/>
      <c r="B887" s="46"/>
      <c r="C887" s="46"/>
      <c r="D887" s="46"/>
      <c r="E887" s="46"/>
      <c r="F887" s="46"/>
      <c r="G887" s="46"/>
      <c r="H887" s="46"/>
      <c r="I887" s="46"/>
      <c r="J887" s="46"/>
      <c r="K887" s="46"/>
      <c r="L887" s="46"/>
      <c r="M887" s="46"/>
      <c r="N887" s="46"/>
      <c r="O887" s="46"/>
      <c r="P887" s="46"/>
      <c r="Q887" s="46"/>
      <c r="R887" s="46"/>
    </row>
    <row r="888">
      <c r="A888" s="46"/>
      <c r="B888" s="46"/>
      <c r="C888" s="46"/>
      <c r="D888" s="46"/>
      <c r="E888" s="46"/>
      <c r="F888" s="46"/>
      <c r="G888" s="46"/>
      <c r="H888" s="46"/>
      <c r="I888" s="46"/>
      <c r="J888" s="46"/>
      <c r="K888" s="46"/>
      <c r="L888" s="46"/>
      <c r="M888" s="46"/>
      <c r="N888" s="46"/>
      <c r="O888" s="46"/>
      <c r="P888" s="46"/>
      <c r="Q888" s="46"/>
      <c r="R888" s="46"/>
    </row>
    <row r="889">
      <c r="A889" s="46"/>
      <c r="B889" s="46"/>
      <c r="C889" s="46"/>
      <c r="D889" s="46"/>
      <c r="E889" s="46"/>
      <c r="F889" s="46"/>
      <c r="G889" s="46"/>
      <c r="H889" s="46"/>
      <c r="I889" s="46"/>
      <c r="J889" s="46"/>
      <c r="K889" s="46"/>
      <c r="L889" s="46"/>
      <c r="M889" s="46"/>
      <c r="N889" s="46"/>
      <c r="O889" s="46"/>
      <c r="P889" s="46"/>
      <c r="Q889" s="46"/>
      <c r="R889" s="46"/>
    </row>
    <row r="890">
      <c r="A890" s="46"/>
      <c r="B890" s="46"/>
      <c r="C890" s="46"/>
      <c r="D890" s="46"/>
      <c r="E890" s="46"/>
      <c r="F890" s="46"/>
      <c r="G890" s="46"/>
      <c r="H890" s="46"/>
      <c r="I890" s="46"/>
      <c r="J890" s="46"/>
      <c r="K890" s="46"/>
      <c r="L890" s="46"/>
      <c r="M890" s="46"/>
      <c r="N890" s="46"/>
      <c r="O890" s="46"/>
      <c r="P890" s="46"/>
      <c r="Q890" s="46"/>
      <c r="R890" s="46"/>
    </row>
    <row r="891">
      <c r="A891" s="46"/>
      <c r="B891" s="46"/>
      <c r="C891" s="46"/>
      <c r="D891" s="46"/>
      <c r="E891" s="46"/>
      <c r="F891" s="46"/>
      <c r="G891" s="46"/>
      <c r="H891" s="46"/>
      <c r="I891" s="46"/>
      <c r="J891" s="46"/>
      <c r="K891" s="46"/>
      <c r="L891" s="46"/>
      <c r="M891" s="46"/>
      <c r="N891" s="46"/>
      <c r="O891" s="46"/>
      <c r="P891" s="46"/>
      <c r="Q891" s="46"/>
      <c r="R891" s="46"/>
    </row>
    <row r="892">
      <c r="A892" s="46"/>
      <c r="B892" s="46"/>
      <c r="C892" s="46"/>
      <c r="D892" s="46"/>
      <c r="E892" s="46"/>
      <c r="F892" s="46"/>
      <c r="G892" s="46"/>
      <c r="H892" s="46"/>
      <c r="I892" s="46"/>
      <c r="J892" s="46"/>
      <c r="K892" s="46"/>
      <c r="L892" s="46"/>
      <c r="M892" s="46"/>
      <c r="N892" s="46"/>
      <c r="O892" s="46"/>
      <c r="P892" s="46"/>
      <c r="Q892" s="46"/>
      <c r="R892" s="46"/>
    </row>
    <row r="893">
      <c r="A893" s="46"/>
      <c r="B893" s="46"/>
      <c r="C893" s="46"/>
      <c r="D893" s="46"/>
      <c r="E893" s="46"/>
      <c r="F893" s="46"/>
      <c r="G893" s="46"/>
      <c r="H893" s="46"/>
      <c r="I893" s="46"/>
      <c r="J893" s="46"/>
      <c r="K893" s="46"/>
      <c r="L893" s="46"/>
      <c r="M893" s="46"/>
      <c r="N893" s="46"/>
      <c r="O893" s="46"/>
      <c r="P893" s="46"/>
      <c r="Q893" s="46"/>
      <c r="R893" s="46"/>
    </row>
    <row r="894">
      <c r="A894" s="46"/>
      <c r="B894" s="46"/>
      <c r="C894" s="46"/>
      <c r="D894" s="46"/>
      <c r="E894" s="46"/>
      <c r="F894" s="46"/>
      <c r="G894" s="46"/>
      <c r="H894" s="46"/>
      <c r="I894" s="46"/>
      <c r="J894" s="46"/>
      <c r="K894" s="46"/>
      <c r="L894" s="46"/>
      <c r="M894" s="46"/>
      <c r="N894" s="46"/>
      <c r="O894" s="46"/>
      <c r="P894" s="46"/>
      <c r="Q894" s="46"/>
      <c r="R894" s="46"/>
    </row>
    <row r="895">
      <c r="A895" s="46"/>
      <c r="B895" s="46"/>
      <c r="C895" s="46"/>
      <c r="D895" s="46"/>
      <c r="E895" s="46"/>
      <c r="F895" s="46"/>
      <c r="G895" s="46"/>
      <c r="H895" s="46"/>
      <c r="I895" s="46"/>
      <c r="J895" s="46"/>
      <c r="K895" s="46"/>
      <c r="L895" s="46"/>
      <c r="M895" s="46"/>
      <c r="N895" s="46"/>
      <c r="O895" s="46"/>
      <c r="P895" s="46"/>
      <c r="Q895" s="46"/>
      <c r="R895" s="46"/>
    </row>
    <row r="896">
      <c r="A896" s="46"/>
      <c r="B896" s="46"/>
      <c r="C896" s="46"/>
      <c r="D896" s="46"/>
      <c r="E896" s="46"/>
      <c r="F896" s="46"/>
      <c r="G896" s="46"/>
      <c r="H896" s="46"/>
      <c r="I896" s="46"/>
      <c r="J896" s="46"/>
      <c r="K896" s="46"/>
      <c r="L896" s="46"/>
      <c r="M896" s="46"/>
      <c r="N896" s="46"/>
      <c r="O896" s="46"/>
      <c r="P896" s="46"/>
      <c r="Q896" s="46"/>
      <c r="R896" s="46"/>
    </row>
    <row r="897">
      <c r="A897" s="46"/>
      <c r="B897" s="46"/>
      <c r="C897" s="46"/>
      <c r="D897" s="46"/>
      <c r="E897" s="46"/>
      <c r="F897" s="46"/>
      <c r="G897" s="46"/>
      <c r="H897" s="46"/>
      <c r="I897" s="46"/>
      <c r="J897" s="46"/>
      <c r="K897" s="46"/>
      <c r="L897" s="46"/>
      <c r="M897" s="46"/>
      <c r="N897" s="46"/>
      <c r="O897" s="46"/>
      <c r="P897" s="46"/>
      <c r="Q897" s="46"/>
      <c r="R897" s="46"/>
    </row>
    <row r="898">
      <c r="A898" s="46"/>
      <c r="B898" s="46"/>
      <c r="C898" s="46"/>
      <c r="D898" s="46"/>
      <c r="E898" s="46"/>
      <c r="F898" s="46"/>
      <c r="G898" s="46"/>
      <c r="H898" s="46"/>
      <c r="I898" s="46"/>
      <c r="J898" s="46"/>
      <c r="K898" s="46"/>
      <c r="L898" s="46"/>
      <c r="M898" s="46"/>
      <c r="N898" s="46"/>
      <c r="O898" s="46"/>
      <c r="P898" s="46"/>
      <c r="Q898" s="46"/>
      <c r="R898" s="46"/>
    </row>
    <row r="899">
      <c r="A899" s="46"/>
      <c r="B899" s="46"/>
      <c r="C899" s="46"/>
      <c r="D899" s="46"/>
      <c r="E899" s="46"/>
      <c r="F899" s="46"/>
      <c r="G899" s="46"/>
      <c r="H899" s="46"/>
      <c r="I899" s="46"/>
      <c r="J899" s="46"/>
      <c r="K899" s="46"/>
      <c r="L899" s="46"/>
      <c r="M899" s="46"/>
      <c r="N899" s="46"/>
      <c r="O899" s="46"/>
      <c r="P899" s="46"/>
      <c r="Q899" s="46"/>
      <c r="R899" s="46"/>
    </row>
    <row r="900">
      <c r="A900" s="46"/>
      <c r="B900" s="46"/>
      <c r="C900" s="46"/>
      <c r="D900" s="46"/>
      <c r="E900" s="46"/>
      <c r="F900" s="46"/>
      <c r="G900" s="46"/>
      <c r="H900" s="46"/>
      <c r="I900" s="46"/>
      <c r="J900" s="46"/>
      <c r="K900" s="46"/>
      <c r="L900" s="46"/>
      <c r="M900" s="46"/>
      <c r="N900" s="46"/>
      <c r="O900" s="46"/>
      <c r="P900" s="46"/>
      <c r="Q900" s="46"/>
      <c r="R900" s="46"/>
    </row>
    <row r="901">
      <c r="A901" s="46"/>
      <c r="B901" s="46"/>
      <c r="C901" s="46"/>
      <c r="D901" s="46"/>
      <c r="E901" s="46"/>
      <c r="F901" s="46"/>
      <c r="G901" s="46"/>
      <c r="H901" s="46"/>
      <c r="I901" s="46"/>
      <c r="J901" s="46"/>
      <c r="K901" s="46"/>
      <c r="L901" s="46"/>
      <c r="M901" s="46"/>
      <c r="N901" s="46"/>
      <c r="O901" s="46"/>
      <c r="P901" s="46"/>
      <c r="Q901" s="46"/>
      <c r="R901" s="46"/>
    </row>
    <row r="902">
      <c r="A902" s="46"/>
      <c r="B902" s="46"/>
      <c r="C902" s="46"/>
      <c r="D902" s="46"/>
      <c r="E902" s="46"/>
      <c r="F902" s="46"/>
      <c r="G902" s="46"/>
      <c r="H902" s="46"/>
      <c r="I902" s="46"/>
      <c r="J902" s="46"/>
      <c r="K902" s="46"/>
      <c r="L902" s="46"/>
      <c r="M902" s="46"/>
      <c r="N902" s="46"/>
      <c r="O902" s="46"/>
      <c r="P902" s="46"/>
      <c r="Q902" s="46"/>
      <c r="R902" s="46"/>
    </row>
    <row r="903">
      <c r="A903" s="46"/>
      <c r="B903" s="46"/>
      <c r="C903" s="46"/>
      <c r="D903" s="46"/>
      <c r="E903" s="46"/>
      <c r="F903" s="46"/>
      <c r="G903" s="46"/>
      <c r="H903" s="46"/>
      <c r="I903" s="46"/>
      <c r="J903" s="46"/>
      <c r="K903" s="46"/>
      <c r="L903" s="46"/>
      <c r="M903" s="46"/>
      <c r="N903" s="46"/>
      <c r="O903" s="46"/>
      <c r="P903" s="46"/>
      <c r="Q903" s="46"/>
      <c r="R903" s="46"/>
    </row>
    <row r="904">
      <c r="A904" s="46"/>
      <c r="B904" s="46"/>
      <c r="C904" s="46"/>
      <c r="D904" s="46"/>
      <c r="E904" s="46"/>
      <c r="F904" s="46"/>
      <c r="G904" s="46"/>
      <c r="H904" s="46"/>
      <c r="I904" s="46"/>
      <c r="J904" s="46"/>
      <c r="K904" s="46"/>
      <c r="L904" s="46"/>
      <c r="M904" s="46"/>
      <c r="N904" s="46"/>
      <c r="O904" s="46"/>
      <c r="P904" s="46"/>
      <c r="Q904" s="46"/>
      <c r="R904" s="46"/>
    </row>
    <row r="905">
      <c r="A905" s="46"/>
      <c r="B905" s="46"/>
      <c r="C905" s="46"/>
      <c r="D905" s="46"/>
      <c r="E905" s="46"/>
      <c r="F905" s="46"/>
      <c r="G905" s="46"/>
      <c r="H905" s="46"/>
      <c r="I905" s="46"/>
      <c r="J905" s="46"/>
      <c r="K905" s="46"/>
      <c r="L905" s="46"/>
      <c r="M905" s="46"/>
      <c r="N905" s="46"/>
      <c r="O905" s="46"/>
      <c r="P905" s="46"/>
      <c r="Q905" s="46"/>
      <c r="R905" s="46"/>
    </row>
    <row r="906">
      <c r="A906" s="46"/>
      <c r="B906" s="46"/>
      <c r="C906" s="46"/>
      <c r="D906" s="46"/>
      <c r="E906" s="46"/>
      <c r="F906" s="46"/>
      <c r="G906" s="46"/>
      <c r="H906" s="46"/>
      <c r="I906" s="46"/>
      <c r="J906" s="46"/>
      <c r="K906" s="46"/>
      <c r="L906" s="46"/>
      <c r="M906" s="46"/>
      <c r="N906" s="46"/>
      <c r="O906" s="46"/>
      <c r="P906" s="46"/>
      <c r="Q906" s="46"/>
      <c r="R906" s="46"/>
    </row>
    <row r="907">
      <c r="A907" s="46"/>
      <c r="B907" s="46"/>
      <c r="C907" s="46"/>
      <c r="D907" s="46"/>
      <c r="E907" s="46"/>
      <c r="F907" s="46"/>
      <c r="G907" s="46"/>
      <c r="H907" s="46"/>
      <c r="I907" s="46"/>
      <c r="J907" s="46"/>
      <c r="K907" s="46"/>
      <c r="L907" s="46"/>
      <c r="M907" s="46"/>
      <c r="N907" s="46"/>
      <c r="O907" s="46"/>
      <c r="P907" s="46"/>
      <c r="Q907" s="46"/>
      <c r="R907" s="46"/>
    </row>
    <row r="908">
      <c r="A908" s="46"/>
      <c r="B908" s="46"/>
      <c r="C908" s="46"/>
      <c r="D908" s="46"/>
      <c r="E908" s="46"/>
      <c r="F908" s="46"/>
      <c r="G908" s="46"/>
      <c r="H908" s="46"/>
      <c r="I908" s="46"/>
      <c r="J908" s="46"/>
      <c r="K908" s="46"/>
      <c r="L908" s="46"/>
      <c r="M908" s="46"/>
      <c r="N908" s="46"/>
      <c r="O908" s="46"/>
      <c r="P908" s="46"/>
      <c r="Q908" s="46"/>
      <c r="R908" s="46"/>
    </row>
    <row r="909">
      <c r="A909" s="46"/>
      <c r="B909" s="46"/>
      <c r="C909" s="46"/>
      <c r="D909" s="46"/>
      <c r="E909" s="46"/>
      <c r="F909" s="46"/>
      <c r="G909" s="46"/>
      <c r="H909" s="46"/>
      <c r="I909" s="46"/>
      <c r="J909" s="46"/>
      <c r="K909" s="46"/>
      <c r="L909" s="46"/>
      <c r="M909" s="46"/>
      <c r="N909" s="46"/>
      <c r="O909" s="46"/>
      <c r="P909" s="46"/>
      <c r="Q909" s="46"/>
      <c r="R909" s="46"/>
    </row>
    <row r="910">
      <c r="A910" s="46"/>
      <c r="B910" s="46"/>
      <c r="C910" s="46"/>
      <c r="D910" s="46"/>
      <c r="E910" s="46"/>
      <c r="F910" s="46"/>
      <c r="G910" s="46"/>
      <c r="H910" s="46"/>
      <c r="I910" s="46"/>
      <c r="J910" s="46"/>
      <c r="K910" s="46"/>
      <c r="L910" s="46"/>
      <c r="M910" s="46"/>
      <c r="N910" s="46"/>
      <c r="O910" s="46"/>
      <c r="P910" s="46"/>
      <c r="Q910" s="46"/>
      <c r="R910" s="46"/>
    </row>
    <row r="911">
      <c r="A911" s="46"/>
      <c r="B911" s="46"/>
      <c r="C911" s="46"/>
      <c r="D911" s="46"/>
      <c r="E911" s="46"/>
      <c r="F911" s="46"/>
      <c r="G911" s="46"/>
      <c r="H911" s="46"/>
      <c r="I911" s="46"/>
      <c r="J911" s="46"/>
      <c r="K911" s="46"/>
      <c r="L911" s="46"/>
      <c r="M911" s="46"/>
      <c r="N911" s="46"/>
      <c r="O911" s="46"/>
      <c r="P911" s="46"/>
      <c r="Q911" s="46"/>
      <c r="R911" s="46"/>
    </row>
    <row r="912">
      <c r="A912" s="46"/>
      <c r="B912" s="46"/>
      <c r="C912" s="46"/>
      <c r="D912" s="46"/>
      <c r="E912" s="46"/>
      <c r="F912" s="46"/>
      <c r="G912" s="46"/>
      <c r="H912" s="46"/>
      <c r="I912" s="46"/>
      <c r="J912" s="46"/>
      <c r="K912" s="46"/>
      <c r="L912" s="46"/>
      <c r="M912" s="46"/>
      <c r="N912" s="46"/>
      <c r="O912" s="46"/>
      <c r="P912" s="46"/>
      <c r="Q912" s="46"/>
      <c r="R912" s="46"/>
    </row>
    <row r="913">
      <c r="A913" s="46"/>
      <c r="B913" s="46"/>
      <c r="C913" s="46"/>
      <c r="D913" s="46"/>
      <c r="E913" s="46"/>
      <c r="F913" s="46"/>
      <c r="G913" s="46"/>
      <c r="H913" s="46"/>
      <c r="I913" s="46"/>
      <c r="J913" s="46"/>
      <c r="K913" s="46"/>
      <c r="L913" s="46"/>
      <c r="M913" s="46"/>
      <c r="N913" s="46"/>
      <c r="O913" s="46"/>
      <c r="P913" s="46"/>
      <c r="Q913" s="46"/>
      <c r="R913" s="46"/>
    </row>
    <row r="914">
      <c r="A914" s="46"/>
      <c r="B914" s="46"/>
      <c r="C914" s="46"/>
      <c r="D914" s="46"/>
      <c r="E914" s="46"/>
      <c r="F914" s="46"/>
      <c r="G914" s="46"/>
      <c r="H914" s="46"/>
      <c r="I914" s="46"/>
      <c r="J914" s="46"/>
      <c r="K914" s="46"/>
      <c r="L914" s="46"/>
      <c r="M914" s="46"/>
      <c r="N914" s="46"/>
      <c r="O914" s="46"/>
      <c r="P914" s="46"/>
      <c r="Q914" s="46"/>
      <c r="R914" s="46"/>
    </row>
    <row r="915">
      <c r="A915" s="46"/>
      <c r="B915" s="46"/>
      <c r="C915" s="46"/>
      <c r="D915" s="46"/>
      <c r="E915" s="46"/>
      <c r="F915" s="46"/>
      <c r="G915" s="46"/>
      <c r="H915" s="46"/>
      <c r="I915" s="46"/>
      <c r="J915" s="46"/>
      <c r="K915" s="46"/>
      <c r="L915" s="46"/>
      <c r="M915" s="46"/>
      <c r="N915" s="46"/>
      <c r="O915" s="46"/>
      <c r="P915" s="46"/>
      <c r="Q915" s="46"/>
      <c r="R915" s="46"/>
    </row>
    <row r="916">
      <c r="A916" s="46"/>
      <c r="B916" s="46"/>
      <c r="C916" s="46"/>
      <c r="D916" s="46"/>
      <c r="E916" s="46"/>
      <c r="F916" s="46"/>
      <c r="G916" s="46"/>
      <c r="H916" s="46"/>
      <c r="I916" s="46"/>
      <c r="J916" s="46"/>
      <c r="K916" s="46"/>
      <c r="L916" s="46"/>
      <c r="M916" s="46"/>
      <c r="N916" s="46"/>
      <c r="O916" s="46"/>
      <c r="P916" s="46"/>
      <c r="Q916" s="46"/>
      <c r="R916" s="46"/>
    </row>
    <row r="917">
      <c r="A917" s="46"/>
      <c r="B917" s="46"/>
      <c r="C917" s="46"/>
      <c r="D917" s="46"/>
      <c r="E917" s="46"/>
      <c r="F917" s="46"/>
      <c r="G917" s="46"/>
      <c r="H917" s="46"/>
      <c r="I917" s="46"/>
      <c r="J917" s="46"/>
      <c r="K917" s="46"/>
      <c r="L917" s="46"/>
      <c r="M917" s="46"/>
      <c r="N917" s="46"/>
      <c r="O917" s="46"/>
      <c r="P917" s="46"/>
      <c r="Q917" s="46"/>
      <c r="R917" s="46"/>
    </row>
    <row r="918">
      <c r="A918" s="46"/>
      <c r="B918" s="46"/>
      <c r="C918" s="46"/>
      <c r="D918" s="46"/>
      <c r="E918" s="46"/>
      <c r="F918" s="46"/>
      <c r="G918" s="46"/>
      <c r="H918" s="46"/>
      <c r="I918" s="46"/>
      <c r="J918" s="46"/>
      <c r="K918" s="46"/>
      <c r="L918" s="46"/>
      <c r="M918" s="46"/>
      <c r="N918" s="46"/>
      <c r="O918" s="46"/>
      <c r="P918" s="46"/>
      <c r="Q918" s="46"/>
      <c r="R918" s="46"/>
    </row>
    <row r="919">
      <c r="A919" s="46"/>
      <c r="B919" s="46"/>
      <c r="C919" s="46"/>
      <c r="D919" s="46"/>
      <c r="E919" s="46"/>
      <c r="F919" s="46"/>
      <c r="G919" s="46"/>
      <c r="H919" s="46"/>
      <c r="I919" s="46"/>
      <c r="J919" s="46"/>
      <c r="K919" s="46"/>
      <c r="L919" s="46"/>
      <c r="M919" s="46"/>
      <c r="N919" s="46"/>
      <c r="O919" s="46"/>
      <c r="P919" s="46"/>
      <c r="Q919" s="46"/>
      <c r="R919" s="46"/>
    </row>
    <row r="920">
      <c r="A920" s="46"/>
      <c r="B920" s="46"/>
      <c r="C920" s="46"/>
      <c r="D920" s="46"/>
      <c r="E920" s="46"/>
      <c r="F920" s="46"/>
      <c r="G920" s="46"/>
      <c r="H920" s="46"/>
      <c r="I920" s="46"/>
      <c r="J920" s="46"/>
      <c r="K920" s="46"/>
      <c r="L920" s="46"/>
      <c r="M920" s="46"/>
      <c r="N920" s="46"/>
      <c r="O920" s="46"/>
      <c r="P920" s="46"/>
      <c r="Q920" s="46"/>
      <c r="R920" s="46"/>
    </row>
    <row r="921">
      <c r="A921" s="46"/>
      <c r="B921" s="46"/>
      <c r="C921" s="46"/>
      <c r="D921" s="46"/>
      <c r="E921" s="46"/>
      <c r="F921" s="46"/>
      <c r="G921" s="46"/>
      <c r="H921" s="46"/>
      <c r="I921" s="46"/>
      <c r="J921" s="46"/>
      <c r="K921" s="46"/>
      <c r="L921" s="46"/>
      <c r="M921" s="46"/>
      <c r="N921" s="46"/>
      <c r="O921" s="46"/>
      <c r="P921" s="46"/>
      <c r="Q921" s="46"/>
      <c r="R921" s="46"/>
    </row>
    <row r="922">
      <c r="A922" s="46"/>
      <c r="B922" s="46"/>
      <c r="C922" s="46"/>
      <c r="D922" s="46"/>
      <c r="E922" s="46"/>
      <c r="F922" s="46"/>
      <c r="G922" s="46"/>
      <c r="H922" s="46"/>
      <c r="I922" s="46"/>
      <c r="J922" s="46"/>
      <c r="K922" s="46"/>
      <c r="L922" s="46"/>
      <c r="M922" s="46"/>
      <c r="N922" s="46"/>
      <c r="O922" s="46"/>
      <c r="P922" s="46"/>
      <c r="Q922" s="46"/>
      <c r="R922" s="46"/>
    </row>
    <row r="923">
      <c r="A923" s="46"/>
      <c r="B923" s="46"/>
      <c r="C923" s="46"/>
      <c r="D923" s="46"/>
      <c r="E923" s="46"/>
      <c r="F923" s="46"/>
      <c r="G923" s="46"/>
      <c r="H923" s="46"/>
      <c r="I923" s="46"/>
      <c r="J923" s="46"/>
      <c r="K923" s="46"/>
      <c r="L923" s="46"/>
      <c r="M923" s="46"/>
      <c r="N923" s="46"/>
      <c r="O923" s="46"/>
      <c r="P923" s="46"/>
      <c r="Q923" s="46"/>
      <c r="R923" s="46"/>
    </row>
    <row r="924">
      <c r="A924" s="46"/>
      <c r="B924" s="46"/>
      <c r="C924" s="46"/>
      <c r="D924" s="46"/>
      <c r="E924" s="46"/>
      <c r="F924" s="46"/>
      <c r="G924" s="46"/>
      <c r="H924" s="46"/>
      <c r="I924" s="46"/>
      <c r="J924" s="46"/>
      <c r="K924" s="46"/>
      <c r="L924" s="46"/>
      <c r="M924" s="46"/>
      <c r="N924" s="46"/>
      <c r="O924" s="46"/>
      <c r="P924" s="46"/>
      <c r="Q924" s="46"/>
      <c r="R924" s="46"/>
    </row>
    <row r="925">
      <c r="A925" s="46"/>
      <c r="B925" s="46"/>
      <c r="C925" s="46"/>
      <c r="D925" s="46"/>
      <c r="E925" s="46"/>
      <c r="F925" s="46"/>
      <c r="G925" s="46"/>
      <c r="H925" s="46"/>
      <c r="I925" s="46"/>
      <c r="J925" s="46"/>
      <c r="K925" s="46"/>
      <c r="L925" s="46"/>
      <c r="M925" s="46"/>
      <c r="N925" s="46"/>
      <c r="O925" s="46"/>
      <c r="P925" s="46"/>
      <c r="Q925" s="46"/>
      <c r="R925" s="46"/>
    </row>
    <row r="926">
      <c r="A926" s="46"/>
      <c r="B926" s="46"/>
      <c r="C926" s="46"/>
      <c r="D926" s="46"/>
      <c r="E926" s="46"/>
      <c r="F926" s="46"/>
      <c r="G926" s="46"/>
      <c r="H926" s="46"/>
      <c r="I926" s="46"/>
      <c r="J926" s="46"/>
      <c r="K926" s="46"/>
      <c r="L926" s="46"/>
      <c r="M926" s="46"/>
      <c r="N926" s="46"/>
      <c r="O926" s="46"/>
      <c r="P926" s="46"/>
      <c r="Q926" s="46"/>
      <c r="R926" s="46"/>
    </row>
    <row r="927">
      <c r="A927" s="46"/>
      <c r="B927" s="46"/>
      <c r="C927" s="46"/>
      <c r="D927" s="46"/>
      <c r="E927" s="46"/>
      <c r="F927" s="46"/>
      <c r="G927" s="46"/>
      <c r="H927" s="46"/>
      <c r="I927" s="46"/>
      <c r="J927" s="46"/>
      <c r="K927" s="46"/>
      <c r="L927" s="46"/>
      <c r="M927" s="46"/>
      <c r="N927" s="46"/>
      <c r="O927" s="46"/>
      <c r="P927" s="46"/>
      <c r="Q927" s="46"/>
      <c r="R927" s="46"/>
    </row>
    <row r="928">
      <c r="A928" s="46"/>
      <c r="B928" s="46"/>
      <c r="C928" s="46"/>
      <c r="D928" s="46"/>
      <c r="E928" s="46"/>
      <c r="F928" s="46"/>
      <c r="G928" s="46"/>
      <c r="H928" s="46"/>
      <c r="I928" s="46"/>
      <c r="J928" s="46"/>
      <c r="K928" s="46"/>
      <c r="L928" s="46"/>
      <c r="M928" s="46"/>
      <c r="N928" s="46"/>
      <c r="O928" s="46"/>
      <c r="P928" s="46"/>
      <c r="Q928" s="46"/>
      <c r="R928" s="46"/>
    </row>
    <row r="929">
      <c r="A929" s="46"/>
      <c r="B929" s="46"/>
      <c r="C929" s="46"/>
      <c r="D929" s="46"/>
      <c r="E929" s="46"/>
      <c r="F929" s="46"/>
      <c r="G929" s="46"/>
      <c r="H929" s="46"/>
      <c r="I929" s="46"/>
      <c r="J929" s="46"/>
      <c r="K929" s="46"/>
      <c r="L929" s="46"/>
      <c r="M929" s="46"/>
      <c r="N929" s="46"/>
      <c r="O929" s="46"/>
      <c r="P929" s="46"/>
      <c r="Q929" s="46"/>
      <c r="R929" s="46"/>
    </row>
    <row r="930">
      <c r="A930" s="46"/>
      <c r="B930" s="46"/>
      <c r="C930" s="46"/>
      <c r="D930" s="46"/>
      <c r="E930" s="46"/>
      <c r="F930" s="46"/>
      <c r="G930" s="46"/>
      <c r="H930" s="46"/>
      <c r="I930" s="46"/>
      <c r="J930" s="46"/>
      <c r="K930" s="46"/>
      <c r="L930" s="46"/>
      <c r="M930" s="46"/>
      <c r="N930" s="46"/>
      <c r="O930" s="46"/>
      <c r="P930" s="46"/>
      <c r="Q930" s="46"/>
      <c r="R930" s="46"/>
    </row>
    <row r="931">
      <c r="A931" s="46"/>
      <c r="B931" s="46"/>
      <c r="C931" s="46"/>
      <c r="D931" s="46"/>
      <c r="E931" s="46"/>
      <c r="F931" s="46"/>
      <c r="G931" s="46"/>
      <c r="H931" s="46"/>
      <c r="I931" s="46"/>
      <c r="J931" s="46"/>
      <c r="K931" s="46"/>
      <c r="L931" s="46"/>
      <c r="M931" s="46"/>
      <c r="N931" s="46"/>
      <c r="O931" s="46"/>
      <c r="P931" s="46"/>
      <c r="Q931" s="46"/>
      <c r="R931" s="46"/>
    </row>
    <row r="932">
      <c r="A932" s="46"/>
      <c r="B932" s="46"/>
      <c r="C932" s="46"/>
      <c r="D932" s="46"/>
      <c r="E932" s="46"/>
      <c r="F932" s="46"/>
      <c r="G932" s="46"/>
      <c r="H932" s="46"/>
      <c r="I932" s="46"/>
      <c r="J932" s="46"/>
      <c r="K932" s="46"/>
      <c r="L932" s="46"/>
      <c r="M932" s="46"/>
      <c r="N932" s="46"/>
      <c r="O932" s="46"/>
      <c r="P932" s="46"/>
      <c r="Q932" s="46"/>
      <c r="R932" s="46"/>
    </row>
    <row r="933">
      <c r="A933" s="46"/>
      <c r="B933" s="46"/>
      <c r="C933" s="46"/>
      <c r="D933" s="46"/>
      <c r="E933" s="46"/>
      <c r="F933" s="46"/>
      <c r="G933" s="46"/>
      <c r="H933" s="46"/>
      <c r="I933" s="46"/>
      <c r="J933" s="46"/>
      <c r="K933" s="46"/>
      <c r="L933" s="46"/>
      <c r="M933" s="46"/>
      <c r="N933" s="46"/>
      <c r="O933" s="46"/>
      <c r="P933" s="46"/>
      <c r="Q933" s="46"/>
      <c r="R933" s="46"/>
    </row>
    <row r="934">
      <c r="A934" s="46"/>
      <c r="B934" s="46"/>
      <c r="C934" s="46"/>
      <c r="D934" s="46"/>
      <c r="E934" s="46"/>
      <c r="F934" s="46"/>
      <c r="G934" s="46"/>
      <c r="H934" s="46"/>
      <c r="I934" s="46"/>
      <c r="J934" s="46"/>
      <c r="K934" s="46"/>
      <c r="L934" s="46"/>
      <c r="M934" s="46"/>
      <c r="N934" s="46"/>
      <c r="O934" s="46"/>
      <c r="P934" s="46"/>
      <c r="Q934" s="46"/>
      <c r="R934" s="46"/>
    </row>
    <row r="935">
      <c r="A935" s="46"/>
      <c r="B935" s="46"/>
      <c r="C935" s="46"/>
      <c r="D935" s="46"/>
      <c r="E935" s="46"/>
      <c r="F935" s="46"/>
      <c r="G935" s="46"/>
      <c r="H935" s="46"/>
      <c r="I935" s="46"/>
      <c r="J935" s="46"/>
      <c r="K935" s="46"/>
      <c r="L935" s="46"/>
      <c r="M935" s="46"/>
      <c r="N935" s="46"/>
      <c r="O935" s="46"/>
      <c r="P935" s="46"/>
      <c r="Q935" s="46"/>
      <c r="R935" s="46"/>
    </row>
    <row r="936">
      <c r="A936" s="46"/>
      <c r="B936" s="46"/>
      <c r="C936" s="46"/>
      <c r="D936" s="46"/>
      <c r="E936" s="46"/>
      <c r="F936" s="46"/>
      <c r="G936" s="46"/>
      <c r="H936" s="46"/>
      <c r="I936" s="46"/>
      <c r="J936" s="46"/>
      <c r="K936" s="46"/>
      <c r="L936" s="46"/>
      <c r="M936" s="46"/>
      <c r="N936" s="46"/>
      <c r="O936" s="46"/>
      <c r="P936" s="46"/>
      <c r="Q936" s="46"/>
      <c r="R936" s="46"/>
    </row>
    <row r="937">
      <c r="A937" s="46"/>
      <c r="B937" s="46"/>
      <c r="C937" s="46"/>
      <c r="D937" s="46"/>
      <c r="E937" s="46"/>
      <c r="F937" s="46"/>
      <c r="G937" s="46"/>
      <c r="H937" s="46"/>
      <c r="I937" s="46"/>
      <c r="J937" s="46"/>
      <c r="K937" s="46"/>
      <c r="L937" s="46"/>
      <c r="M937" s="46"/>
      <c r="N937" s="46"/>
      <c r="O937" s="46"/>
      <c r="P937" s="46"/>
      <c r="Q937" s="46"/>
      <c r="R937" s="46"/>
    </row>
    <row r="938">
      <c r="A938" s="46"/>
      <c r="B938" s="46"/>
      <c r="C938" s="46"/>
      <c r="D938" s="46"/>
      <c r="E938" s="46"/>
      <c r="F938" s="46"/>
      <c r="G938" s="46"/>
      <c r="H938" s="46"/>
      <c r="I938" s="46"/>
      <c r="J938" s="46"/>
      <c r="K938" s="46"/>
      <c r="L938" s="46"/>
      <c r="M938" s="46"/>
      <c r="N938" s="46"/>
      <c r="O938" s="46"/>
      <c r="P938" s="46"/>
      <c r="Q938" s="46"/>
      <c r="R938" s="46"/>
    </row>
    <row r="939">
      <c r="A939" s="46"/>
      <c r="B939" s="46"/>
      <c r="C939" s="46"/>
      <c r="D939" s="46"/>
      <c r="E939" s="46"/>
      <c r="F939" s="46"/>
      <c r="G939" s="46"/>
      <c r="H939" s="46"/>
      <c r="I939" s="46"/>
      <c r="J939" s="46"/>
      <c r="K939" s="46"/>
      <c r="L939" s="46"/>
      <c r="M939" s="46"/>
      <c r="N939" s="46"/>
      <c r="O939" s="46"/>
      <c r="P939" s="46"/>
      <c r="Q939" s="46"/>
      <c r="R939" s="46"/>
    </row>
    <row r="940">
      <c r="A940" s="46"/>
      <c r="B940" s="46"/>
      <c r="C940" s="46"/>
      <c r="D940" s="46"/>
      <c r="E940" s="46"/>
      <c r="F940" s="46"/>
      <c r="G940" s="46"/>
      <c r="H940" s="46"/>
      <c r="I940" s="46"/>
      <c r="J940" s="46"/>
      <c r="K940" s="46"/>
      <c r="L940" s="46"/>
      <c r="M940" s="46"/>
      <c r="N940" s="46"/>
      <c r="O940" s="46"/>
      <c r="P940" s="46"/>
      <c r="Q940" s="46"/>
      <c r="R940" s="46"/>
    </row>
    <row r="941">
      <c r="A941" s="46"/>
      <c r="B941" s="46"/>
      <c r="C941" s="46"/>
      <c r="D941" s="46"/>
      <c r="E941" s="46"/>
      <c r="F941" s="46"/>
      <c r="G941" s="46"/>
      <c r="H941" s="46"/>
      <c r="I941" s="46"/>
      <c r="J941" s="46"/>
      <c r="K941" s="46"/>
      <c r="L941" s="46"/>
      <c r="M941" s="46"/>
      <c r="N941" s="46"/>
      <c r="O941" s="46"/>
      <c r="P941" s="46"/>
      <c r="Q941" s="46"/>
      <c r="R941" s="46"/>
    </row>
    <row r="942">
      <c r="A942" s="46"/>
      <c r="B942" s="46"/>
      <c r="C942" s="46"/>
      <c r="D942" s="46"/>
      <c r="E942" s="46"/>
      <c r="F942" s="46"/>
      <c r="G942" s="46"/>
      <c r="H942" s="46"/>
      <c r="I942" s="46"/>
      <c r="J942" s="46"/>
      <c r="K942" s="46"/>
      <c r="L942" s="46"/>
      <c r="M942" s="46"/>
      <c r="N942" s="46"/>
      <c r="O942" s="46"/>
      <c r="P942" s="46"/>
      <c r="Q942" s="46"/>
      <c r="R942" s="46"/>
    </row>
    <row r="943">
      <c r="A943" s="46"/>
      <c r="B943" s="46"/>
      <c r="C943" s="46"/>
      <c r="D943" s="46"/>
      <c r="E943" s="46"/>
      <c r="F943" s="46"/>
      <c r="G943" s="46"/>
      <c r="H943" s="46"/>
      <c r="I943" s="46"/>
      <c r="J943" s="46"/>
      <c r="K943" s="46"/>
      <c r="L943" s="46"/>
      <c r="M943" s="46"/>
      <c r="N943" s="46"/>
      <c r="O943" s="46"/>
      <c r="P943" s="46"/>
      <c r="Q943" s="46"/>
      <c r="R943" s="46"/>
    </row>
    <row r="944">
      <c r="A944" s="46"/>
      <c r="B944" s="46"/>
      <c r="C944" s="46"/>
      <c r="D944" s="46"/>
      <c r="E944" s="46"/>
      <c r="F944" s="46"/>
      <c r="G944" s="46"/>
      <c r="H944" s="46"/>
      <c r="I944" s="46"/>
      <c r="J944" s="46"/>
      <c r="K944" s="46"/>
      <c r="L944" s="46"/>
      <c r="M944" s="46"/>
      <c r="N944" s="46"/>
      <c r="O944" s="46"/>
      <c r="P944" s="46"/>
      <c r="Q944" s="46"/>
      <c r="R944" s="46"/>
    </row>
    <row r="945">
      <c r="A945" s="46"/>
      <c r="B945" s="46"/>
      <c r="C945" s="46"/>
      <c r="D945" s="46"/>
      <c r="E945" s="46"/>
      <c r="F945" s="46"/>
      <c r="G945" s="46"/>
      <c r="H945" s="46"/>
      <c r="I945" s="46"/>
      <c r="J945" s="46"/>
      <c r="K945" s="46"/>
      <c r="L945" s="46"/>
      <c r="M945" s="46"/>
      <c r="N945" s="46"/>
      <c r="O945" s="46"/>
      <c r="P945" s="46"/>
      <c r="Q945" s="46"/>
      <c r="R945" s="46"/>
    </row>
    <row r="946">
      <c r="A946" s="46"/>
      <c r="B946" s="46"/>
      <c r="C946" s="46"/>
      <c r="D946" s="46"/>
      <c r="E946" s="46"/>
      <c r="F946" s="46"/>
      <c r="G946" s="46"/>
      <c r="H946" s="46"/>
      <c r="I946" s="46"/>
      <c r="J946" s="46"/>
      <c r="K946" s="46"/>
      <c r="L946" s="46"/>
      <c r="M946" s="46"/>
      <c r="N946" s="46"/>
      <c r="O946" s="46"/>
      <c r="P946" s="46"/>
      <c r="Q946" s="46"/>
      <c r="R946" s="46"/>
    </row>
    <row r="947">
      <c r="A947" s="46"/>
      <c r="B947" s="46"/>
      <c r="C947" s="46"/>
      <c r="D947" s="46"/>
      <c r="E947" s="46"/>
      <c r="F947" s="46"/>
      <c r="G947" s="46"/>
      <c r="H947" s="46"/>
      <c r="I947" s="46"/>
      <c r="J947" s="46"/>
      <c r="K947" s="46"/>
      <c r="L947" s="46"/>
      <c r="M947" s="46"/>
      <c r="N947" s="46"/>
      <c r="O947" s="46"/>
      <c r="P947" s="46"/>
      <c r="Q947" s="46"/>
      <c r="R947" s="46"/>
    </row>
    <row r="948">
      <c r="A948" s="46"/>
      <c r="B948" s="46"/>
      <c r="C948" s="46"/>
      <c r="D948" s="46"/>
      <c r="E948" s="46"/>
      <c r="F948" s="46"/>
      <c r="G948" s="46"/>
      <c r="H948" s="46"/>
      <c r="I948" s="46"/>
      <c r="J948" s="46"/>
      <c r="K948" s="46"/>
      <c r="L948" s="46"/>
      <c r="M948" s="46"/>
      <c r="N948" s="46"/>
      <c r="O948" s="46"/>
      <c r="P948" s="46"/>
      <c r="Q948" s="46"/>
      <c r="R948" s="46"/>
    </row>
    <row r="949">
      <c r="A949" s="46"/>
      <c r="B949" s="46"/>
      <c r="C949" s="46"/>
      <c r="D949" s="46"/>
      <c r="E949" s="46"/>
      <c r="F949" s="46"/>
      <c r="G949" s="46"/>
      <c r="H949" s="46"/>
      <c r="I949" s="46"/>
      <c r="J949" s="46"/>
      <c r="K949" s="46"/>
      <c r="L949" s="46"/>
      <c r="M949" s="46"/>
      <c r="N949" s="46"/>
      <c r="O949" s="46"/>
      <c r="P949" s="46"/>
      <c r="Q949" s="46"/>
      <c r="R949" s="46"/>
    </row>
    <row r="950">
      <c r="A950" s="46"/>
      <c r="B950" s="46"/>
      <c r="C950" s="46"/>
      <c r="D950" s="46"/>
      <c r="E950" s="46"/>
      <c r="F950" s="46"/>
      <c r="G950" s="46"/>
      <c r="H950" s="46"/>
      <c r="I950" s="46"/>
      <c r="J950" s="46"/>
      <c r="K950" s="46"/>
      <c r="L950" s="46"/>
      <c r="M950" s="46"/>
      <c r="N950" s="46"/>
      <c r="O950" s="46"/>
      <c r="P950" s="46"/>
      <c r="Q950" s="46"/>
      <c r="R950" s="46"/>
    </row>
    <row r="951">
      <c r="A951" s="46"/>
      <c r="B951" s="46"/>
      <c r="C951" s="46"/>
      <c r="D951" s="46"/>
      <c r="E951" s="46"/>
      <c r="F951" s="46"/>
      <c r="G951" s="46"/>
      <c r="H951" s="46"/>
      <c r="I951" s="46"/>
      <c r="J951" s="46"/>
      <c r="K951" s="46"/>
      <c r="L951" s="46"/>
      <c r="M951" s="46"/>
      <c r="N951" s="46"/>
      <c r="O951" s="46"/>
      <c r="P951" s="46"/>
      <c r="Q951" s="46"/>
      <c r="R951" s="46"/>
    </row>
    <row r="952">
      <c r="A952" s="46"/>
      <c r="B952" s="46"/>
      <c r="C952" s="46"/>
      <c r="D952" s="46"/>
      <c r="E952" s="46"/>
      <c r="F952" s="46"/>
      <c r="G952" s="46"/>
      <c r="H952" s="46"/>
      <c r="I952" s="46"/>
      <c r="J952" s="46"/>
      <c r="K952" s="46"/>
      <c r="L952" s="46"/>
      <c r="M952" s="46"/>
      <c r="N952" s="46"/>
      <c r="O952" s="46"/>
      <c r="P952" s="46"/>
      <c r="Q952" s="46"/>
      <c r="R952" s="46"/>
    </row>
    <row r="953">
      <c r="A953" s="46"/>
      <c r="B953" s="46"/>
      <c r="C953" s="46"/>
      <c r="D953" s="46"/>
      <c r="E953" s="46"/>
      <c r="F953" s="46"/>
      <c r="G953" s="46"/>
      <c r="H953" s="46"/>
      <c r="I953" s="46"/>
      <c r="J953" s="46"/>
      <c r="K953" s="46"/>
      <c r="L953" s="46"/>
      <c r="M953" s="46"/>
      <c r="N953" s="46"/>
      <c r="O953" s="46"/>
      <c r="P953" s="46"/>
      <c r="Q953" s="46"/>
      <c r="R953" s="46"/>
    </row>
    <row r="954">
      <c r="A954" s="46"/>
      <c r="B954" s="46"/>
      <c r="C954" s="46"/>
      <c r="D954" s="46"/>
      <c r="E954" s="46"/>
      <c r="F954" s="46"/>
      <c r="G954" s="46"/>
      <c r="H954" s="46"/>
      <c r="I954" s="46"/>
      <c r="J954" s="46"/>
      <c r="K954" s="46"/>
      <c r="L954" s="46"/>
      <c r="M954" s="46"/>
      <c r="N954" s="46"/>
      <c r="O954" s="46"/>
      <c r="P954" s="46"/>
      <c r="Q954" s="46"/>
      <c r="R954" s="46"/>
    </row>
    <row r="955">
      <c r="A955" s="46"/>
      <c r="B955" s="46"/>
      <c r="C955" s="46"/>
      <c r="D955" s="46"/>
      <c r="E955" s="46"/>
      <c r="F955" s="46"/>
      <c r="G955" s="46"/>
      <c r="H955" s="46"/>
      <c r="I955" s="46"/>
      <c r="J955" s="46"/>
      <c r="K955" s="46"/>
      <c r="L955" s="46"/>
      <c r="M955" s="46"/>
      <c r="N955" s="46"/>
      <c r="O955" s="46"/>
      <c r="P955" s="46"/>
      <c r="Q955" s="46"/>
      <c r="R955" s="46"/>
    </row>
    <row r="956">
      <c r="A956" s="46"/>
      <c r="B956" s="46"/>
      <c r="C956" s="46"/>
      <c r="D956" s="46"/>
      <c r="E956" s="46"/>
      <c r="F956" s="46"/>
      <c r="G956" s="46"/>
      <c r="H956" s="46"/>
      <c r="I956" s="46"/>
      <c r="J956" s="46"/>
      <c r="K956" s="46"/>
      <c r="L956" s="46"/>
      <c r="M956" s="46"/>
      <c r="N956" s="46"/>
      <c r="O956" s="46"/>
      <c r="P956" s="46"/>
      <c r="Q956" s="46"/>
      <c r="R956" s="46"/>
    </row>
    <row r="957">
      <c r="A957" s="46"/>
      <c r="B957" s="46"/>
      <c r="C957" s="46"/>
      <c r="D957" s="46"/>
      <c r="E957" s="46"/>
      <c r="F957" s="46"/>
      <c r="G957" s="46"/>
      <c r="H957" s="46"/>
      <c r="I957" s="46"/>
      <c r="J957" s="46"/>
      <c r="K957" s="46"/>
      <c r="L957" s="46"/>
      <c r="M957" s="46"/>
      <c r="N957" s="46"/>
      <c r="O957" s="46"/>
      <c r="P957" s="46"/>
      <c r="Q957" s="46"/>
      <c r="R957" s="46"/>
    </row>
    <row r="958">
      <c r="A958" s="46"/>
      <c r="B958" s="46"/>
      <c r="C958" s="46"/>
      <c r="D958" s="46"/>
      <c r="E958" s="46"/>
      <c r="F958" s="46"/>
      <c r="G958" s="46"/>
      <c r="H958" s="46"/>
      <c r="I958" s="46"/>
      <c r="J958" s="46"/>
      <c r="K958" s="46"/>
      <c r="L958" s="46"/>
      <c r="M958" s="46"/>
      <c r="N958" s="46"/>
      <c r="O958" s="46"/>
      <c r="P958" s="46"/>
      <c r="Q958" s="46"/>
      <c r="R958" s="46"/>
    </row>
    <row r="959">
      <c r="A959" s="46"/>
      <c r="B959" s="46"/>
      <c r="C959" s="46"/>
      <c r="D959" s="46"/>
      <c r="E959" s="46"/>
      <c r="F959" s="46"/>
      <c r="G959" s="46"/>
      <c r="H959" s="46"/>
      <c r="I959" s="46"/>
      <c r="J959" s="46"/>
      <c r="K959" s="46"/>
      <c r="L959" s="46"/>
      <c r="M959" s="46"/>
      <c r="N959" s="46"/>
      <c r="O959" s="46"/>
      <c r="P959" s="46"/>
      <c r="Q959" s="46"/>
      <c r="R959" s="46"/>
    </row>
    <row r="960">
      <c r="A960" s="46"/>
      <c r="B960" s="46"/>
      <c r="C960" s="46"/>
      <c r="D960" s="46"/>
      <c r="E960" s="46"/>
      <c r="F960" s="46"/>
      <c r="G960" s="46"/>
      <c r="H960" s="46"/>
      <c r="I960" s="46"/>
      <c r="J960" s="46"/>
      <c r="K960" s="46"/>
      <c r="L960" s="46"/>
      <c r="M960" s="46"/>
      <c r="N960" s="46"/>
      <c r="O960" s="46"/>
      <c r="P960" s="46"/>
      <c r="Q960" s="46"/>
      <c r="R960" s="46"/>
    </row>
    <row r="961">
      <c r="A961" s="46"/>
      <c r="B961" s="46"/>
      <c r="C961" s="46"/>
      <c r="D961" s="46"/>
      <c r="E961" s="46"/>
      <c r="F961" s="46"/>
      <c r="G961" s="46"/>
      <c r="H961" s="46"/>
      <c r="I961" s="46"/>
      <c r="J961" s="46"/>
      <c r="K961" s="46"/>
      <c r="L961" s="46"/>
      <c r="M961" s="46"/>
      <c r="N961" s="46"/>
      <c r="O961" s="46"/>
      <c r="P961" s="46"/>
      <c r="Q961" s="46"/>
      <c r="R961" s="46"/>
    </row>
    <row r="962">
      <c r="A962" s="46"/>
      <c r="B962" s="46"/>
      <c r="C962" s="46"/>
      <c r="D962" s="46"/>
      <c r="E962" s="46"/>
      <c r="F962" s="46"/>
      <c r="G962" s="46"/>
      <c r="H962" s="46"/>
      <c r="I962" s="46"/>
      <c r="J962" s="46"/>
      <c r="K962" s="46"/>
      <c r="L962" s="46"/>
      <c r="M962" s="46"/>
      <c r="N962" s="46"/>
      <c r="O962" s="46"/>
      <c r="P962" s="46"/>
      <c r="Q962" s="46"/>
      <c r="R962" s="46"/>
    </row>
    <row r="963">
      <c r="A963" s="46"/>
      <c r="B963" s="46"/>
      <c r="C963" s="46"/>
      <c r="D963" s="46"/>
      <c r="E963" s="46"/>
      <c r="F963" s="46"/>
      <c r="G963" s="46"/>
      <c r="H963" s="46"/>
      <c r="I963" s="46"/>
      <c r="J963" s="46"/>
      <c r="K963" s="46"/>
      <c r="L963" s="46"/>
      <c r="M963" s="46"/>
      <c r="N963" s="46"/>
      <c r="O963" s="46"/>
      <c r="P963" s="46"/>
      <c r="Q963" s="46"/>
      <c r="R963" s="46"/>
    </row>
    <row r="964">
      <c r="A964" s="46"/>
      <c r="B964" s="46"/>
      <c r="C964" s="46"/>
      <c r="D964" s="46"/>
      <c r="E964" s="46"/>
      <c r="F964" s="46"/>
      <c r="G964" s="46"/>
      <c r="H964" s="46"/>
      <c r="I964" s="46"/>
      <c r="J964" s="46"/>
      <c r="K964" s="46"/>
      <c r="L964" s="46"/>
      <c r="M964" s="46"/>
      <c r="N964" s="46"/>
      <c r="O964" s="46"/>
      <c r="P964" s="46"/>
      <c r="Q964" s="46"/>
      <c r="R964" s="46"/>
    </row>
    <row r="965">
      <c r="A965" s="46"/>
      <c r="B965" s="46"/>
      <c r="C965" s="46"/>
      <c r="D965" s="46"/>
      <c r="E965" s="46"/>
      <c r="F965" s="46"/>
      <c r="G965" s="46"/>
      <c r="H965" s="46"/>
      <c r="I965" s="46"/>
      <c r="J965" s="46"/>
      <c r="K965" s="46"/>
      <c r="L965" s="46"/>
      <c r="M965" s="46"/>
      <c r="N965" s="46"/>
      <c r="O965" s="46"/>
      <c r="P965" s="46"/>
      <c r="Q965" s="46"/>
      <c r="R965" s="46"/>
    </row>
    <row r="966">
      <c r="A966" s="46"/>
      <c r="B966" s="46"/>
      <c r="C966" s="46"/>
      <c r="D966" s="46"/>
      <c r="E966" s="46"/>
      <c r="F966" s="46"/>
      <c r="G966" s="46"/>
      <c r="H966" s="46"/>
      <c r="I966" s="46"/>
      <c r="J966" s="46"/>
      <c r="K966" s="46"/>
      <c r="L966" s="46"/>
      <c r="M966" s="46"/>
      <c r="N966" s="46"/>
      <c r="O966" s="46"/>
      <c r="P966" s="46"/>
      <c r="Q966" s="46"/>
      <c r="R966" s="46"/>
    </row>
    <row r="967">
      <c r="A967" s="46"/>
      <c r="B967" s="46"/>
      <c r="C967" s="46"/>
      <c r="D967" s="46"/>
      <c r="E967" s="46"/>
      <c r="F967" s="46"/>
      <c r="G967" s="46"/>
      <c r="H967" s="46"/>
      <c r="I967" s="46"/>
      <c r="J967" s="46"/>
      <c r="K967" s="46"/>
      <c r="L967" s="46"/>
      <c r="M967" s="46"/>
      <c r="N967" s="46"/>
      <c r="O967" s="46"/>
      <c r="P967" s="46"/>
      <c r="Q967" s="46"/>
      <c r="R967" s="46"/>
    </row>
    <row r="968">
      <c r="A968" s="46"/>
      <c r="B968" s="46"/>
      <c r="C968" s="46"/>
      <c r="D968" s="46"/>
      <c r="E968" s="46"/>
      <c r="F968" s="46"/>
      <c r="G968" s="46"/>
      <c r="H968" s="46"/>
      <c r="I968" s="46"/>
      <c r="J968" s="46"/>
      <c r="K968" s="46"/>
      <c r="L968" s="46"/>
      <c r="M968" s="46"/>
      <c r="N968" s="46"/>
      <c r="O968" s="46"/>
      <c r="P968" s="46"/>
      <c r="Q968" s="46"/>
      <c r="R968" s="46"/>
    </row>
    <row r="969">
      <c r="A969" s="46"/>
      <c r="B969" s="46"/>
      <c r="C969" s="46"/>
      <c r="D969" s="46"/>
      <c r="E969" s="46"/>
      <c r="F969" s="46"/>
      <c r="G969" s="46"/>
      <c r="H969" s="46"/>
      <c r="I969" s="46"/>
      <c r="J969" s="46"/>
      <c r="K969" s="46"/>
      <c r="L969" s="46"/>
      <c r="M969" s="46"/>
      <c r="N969" s="46"/>
      <c r="O969" s="46"/>
      <c r="P969" s="46"/>
      <c r="Q969" s="46"/>
      <c r="R969" s="46"/>
    </row>
    <row r="970">
      <c r="A970" s="46"/>
      <c r="B970" s="46"/>
      <c r="C970" s="46"/>
      <c r="D970" s="46"/>
      <c r="E970" s="46"/>
      <c r="F970" s="46"/>
      <c r="G970" s="46"/>
      <c r="H970" s="46"/>
      <c r="I970" s="46"/>
      <c r="J970" s="46"/>
      <c r="K970" s="46"/>
      <c r="L970" s="46"/>
      <c r="M970" s="46"/>
      <c r="N970" s="46"/>
      <c r="O970" s="46"/>
      <c r="P970" s="46"/>
      <c r="Q970" s="46"/>
      <c r="R970" s="46"/>
    </row>
    <row r="971">
      <c r="A971" s="46"/>
      <c r="B971" s="46"/>
      <c r="C971" s="46"/>
      <c r="D971" s="46"/>
      <c r="E971" s="46"/>
      <c r="F971" s="46"/>
      <c r="G971" s="46"/>
      <c r="H971" s="46"/>
      <c r="I971" s="46"/>
      <c r="J971" s="46"/>
      <c r="K971" s="46"/>
      <c r="L971" s="46"/>
      <c r="M971" s="46"/>
      <c r="N971" s="46"/>
      <c r="O971" s="46"/>
      <c r="P971" s="46"/>
      <c r="Q971" s="46"/>
      <c r="R971" s="46"/>
    </row>
    <row r="972">
      <c r="A972" s="46"/>
      <c r="B972" s="46"/>
      <c r="C972" s="46"/>
      <c r="D972" s="46"/>
      <c r="E972" s="46"/>
      <c r="F972" s="46"/>
      <c r="G972" s="46"/>
      <c r="H972" s="46"/>
      <c r="I972" s="46"/>
      <c r="J972" s="46"/>
      <c r="K972" s="46"/>
      <c r="L972" s="46"/>
      <c r="M972" s="46"/>
      <c r="N972" s="46"/>
      <c r="O972" s="46"/>
      <c r="P972" s="46"/>
      <c r="Q972" s="46"/>
      <c r="R972" s="46"/>
    </row>
    <row r="973">
      <c r="A973" s="46"/>
      <c r="B973" s="46"/>
      <c r="C973" s="46"/>
      <c r="D973" s="46"/>
      <c r="E973" s="46"/>
      <c r="F973" s="46"/>
      <c r="G973" s="46"/>
      <c r="H973" s="46"/>
      <c r="I973" s="46"/>
      <c r="J973" s="46"/>
      <c r="K973" s="46"/>
      <c r="L973" s="46"/>
      <c r="M973" s="46"/>
      <c r="N973" s="46"/>
      <c r="O973" s="46"/>
      <c r="P973" s="46"/>
      <c r="Q973" s="46"/>
      <c r="R973" s="46"/>
    </row>
    <row r="974">
      <c r="A974" s="46"/>
      <c r="B974" s="46"/>
      <c r="C974" s="46"/>
      <c r="D974" s="46"/>
      <c r="E974" s="46"/>
      <c r="F974" s="46"/>
      <c r="G974" s="46"/>
      <c r="H974" s="46"/>
      <c r="I974" s="46"/>
      <c r="J974" s="46"/>
      <c r="K974" s="46"/>
      <c r="L974" s="46"/>
      <c r="M974" s="46"/>
      <c r="N974" s="46"/>
      <c r="O974" s="46"/>
      <c r="P974" s="46"/>
      <c r="Q974" s="46"/>
      <c r="R974" s="46"/>
    </row>
    <row r="975">
      <c r="A975" s="46"/>
      <c r="B975" s="46"/>
      <c r="C975" s="46"/>
      <c r="D975" s="46"/>
      <c r="E975" s="46"/>
      <c r="F975" s="46"/>
      <c r="G975" s="46"/>
      <c r="H975" s="46"/>
      <c r="I975" s="46"/>
      <c r="J975" s="46"/>
      <c r="K975" s="46"/>
      <c r="L975" s="46"/>
      <c r="M975" s="46"/>
      <c r="N975" s="46"/>
      <c r="O975" s="46"/>
      <c r="P975" s="46"/>
      <c r="Q975" s="46"/>
      <c r="R975" s="46"/>
    </row>
    <row r="976">
      <c r="A976" s="46"/>
      <c r="B976" s="46"/>
      <c r="C976" s="46"/>
      <c r="D976" s="46"/>
      <c r="E976" s="46"/>
      <c r="F976" s="46"/>
      <c r="G976" s="46"/>
      <c r="H976" s="46"/>
      <c r="I976" s="46"/>
      <c r="J976" s="46"/>
      <c r="K976" s="46"/>
      <c r="L976" s="46"/>
      <c r="M976" s="46"/>
      <c r="N976" s="46"/>
      <c r="O976" s="46"/>
      <c r="P976" s="46"/>
      <c r="Q976" s="46"/>
      <c r="R976" s="46"/>
    </row>
    <row r="977">
      <c r="A977" s="46"/>
      <c r="B977" s="46"/>
      <c r="C977" s="46"/>
      <c r="D977" s="46"/>
      <c r="E977" s="46"/>
      <c r="F977" s="46"/>
      <c r="G977" s="46"/>
      <c r="H977" s="46"/>
      <c r="I977" s="46"/>
      <c r="J977" s="46"/>
      <c r="K977" s="46"/>
      <c r="L977" s="46"/>
      <c r="M977" s="46"/>
      <c r="N977" s="46"/>
      <c r="O977" s="46"/>
      <c r="P977" s="46"/>
      <c r="Q977" s="46"/>
      <c r="R977" s="46"/>
    </row>
    <row r="978">
      <c r="A978" s="46"/>
      <c r="B978" s="46"/>
      <c r="C978" s="46"/>
      <c r="D978" s="46"/>
      <c r="E978" s="46"/>
      <c r="F978" s="46"/>
      <c r="G978" s="46"/>
      <c r="H978" s="46"/>
      <c r="I978" s="46"/>
      <c r="J978" s="46"/>
      <c r="K978" s="46"/>
      <c r="L978" s="46"/>
      <c r="M978" s="46"/>
      <c r="N978" s="46"/>
      <c r="O978" s="46"/>
      <c r="P978" s="46"/>
      <c r="Q978" s="46"/>
      <c r="R978" s="46"/>
    </row>
    <row r="979">
      <c r="A979" s="46"/>
      <c r="B979" s="46"/>
      <c r="C979" s="46"/>
      <c r="D979" s="46"/>
      <c r="E979" s="46"/>
      <c r="F979" s="46"/>
      <c r="G979" s="46"/>
      <c r="H979" s="46"/>
      <c r="I979" s="46"/>
      <c r="J979" s="46"/>
      <c r="K979" s="46"/>
      <c r="L979" s="46"/>
      <c r="M979" s="46"/>
      <c r="N979" s="46"/>
      <c r="O979" s="46"/>
      <c r="P979" s="46"/>
      <c r="Q979" s="46"/>
      <c r="R979" s="46"/>
    </row>
    <row r="980">
      <c r="A980" s="46"/>
      <c r="B980" s="46"/>
      <c r="C980" s="46"/>
      <c r="D980" s="46"/>
      <c r="E980" s="46"/>
      <c r="F980" s="46"/>
      <c r="G980" s="46"/>
      <c r="H980" s="46"/>
      <c r="I980" s="46"/>
      <c r="J980" s="46"/>
      <c r="K980" s="46"/>
      <c r="L980" s="46"/>
      <c r="M980" s="46"/>
      <c r="N980" s="46"/>
      <c r="O980" s="46"/>
      <c r="P980" s="46"/>
      <c r="Q980" s="46"/>
      <c r="R980" s="46"/>
    </row>
    <row r="981">
      <c r="A981" s="46"/>
      <c r="B981" s="46"/>
      <c r="C981" s="46"/>
      <c r="D981" s="46"/>
      <c r="E981" s="46"/>
      <c r="F981" s="46"/>
      <c r="G981" s="46"/>
      <c r="H981" s="46"/>
      <c r="I981" s="46"/>
      <c r="J981" s="46"/>
      <c r="K981" s="46"/>
      <c r="L981" s="46"/>
      <c r="M981" s="46"/>
      <c r="N981" s="46"/>
      <c r="O981" s="46"/>
      <c r="P981" s="46"/>
      <c r="Q981" s="46"/>
      <c r="R981" s="46"/>
    </row>
    <row r="982">
      <c r="A982" s="46"/>
      <c r="B982" s="46"/>
      <c r="C982" s="46"/>
      <c r="D982" s="46"/>
      <c r="E982" s="46"/>
      <c r="F982" s="46"/>
      <c r="G982" s="46"/>
      <c r="H982" s="46"/>
      <c r="I982" s="46"/>
      <c r="J982" s="46"/>
      <c r="K982" s="46"/>
      <c r="L982" s="46"/>
      <c r="M982" s="46"/>
      <c r="N982" s="46"/>
      <c r="O982" s="46"/>
      <c r="P982" s="46"/>
      <c r="Q982" s="46"/>
      <c r="R982" s="46"/>
    </row>
    <row r="983">
      <c r="A983" s="46"/>
      <c r="B983" s="46"/>
      <c r="C983" s="46"/>
      <c r="D983" s="46"/>
      <c r="E983" s="46"/>
      <c r="F983" s="46"/>
      <c r="G983" s="46"/>
      <c r="H983" s="46"/>
      <c r="I983" s="46"/>
      <c r="J983" s="46"/>
      <c r="K983" s="46"/>
      <c r="L983" s="46"/>
      <c r="M983" s="46"/>
      <c r="N983" s="46"/>
      <c r="O983" s="46"/>
      <c r="P983" s="46"/>
      <c r="Q983" s="46"/>
      <c r="R983" s="46"/>
    </row>
    <row r="984">
      <c r="A984" s="46"/>
      <c r="B984" s="46"/>
      <c r="C984" s="46"/>
      <c r="D984" s="46"/>
      <c r="E984" s="46"/>
      <c r="F984" s="46"/>
      <c r="G984" s="46"/>
      <c r="H984" s="46"/>
      <c r="I984" s="46"/>
      <c r="J984" s="46"/>
      <c r="K984" s="46"/>
      <c r="L984" s="46"/>
      <c r="M984" s="46"/>
      <c r="N984" s="46"/>
      <c r="O984" s="46"/>
      <c r="P984" s="46"/>
      <c r="Q984" s="46"/>
      <c r="R984" s="46"/>
    </row>
    <row r="985">
      <c r="A985" s="46"/>
      <c r="B985" s="46"/>
      <c r="C985" s="46"/>
      <c r="D985" s="46"/>
      <c r="E985" s="46"/>
      <c r="F985" s="46"/>
      <c r="G985" s="46"/>
      <c r="H985" s="46"/>
      <c r="I985" s="46"/>
      <c r="J985" s="46"/>
      <c r="K985" s="46"/>
      <c r="L985" s="46"/>
      <c r="M985" s="46"/>
      <c r="N985" s="46"/>
      <c r="O985" s="46"/>
      <c r="P985" s="46"/>
      <c r="Q985" s="46"/>
      <c r="R985" s="46"/>
    </row>
    <row r="986">
      <c r="A986" s="46"/>
      <c r="B986" s="46"/>
      <c r="C986" s="46"/>
      <c r="D986" s="46"/>
      <c r="E986" s="46"/>
      <c r="F986" s="46"/>
      <c r="G986" s="46"/>
      <c r="H986" s="46"/>
      <c r="I986" s="46"/>
      <c r="J986" s="46"/>
      <c r="K986" s="46"/>
      <c r="L986" s="46"/>
      <c r="M986" s="46"/>
      <c r="N986" s="46"/>
      <c r="O986" s="46"/>
      <c r="P986" s="46"/>
      <c r="Q986" s="46"/>
      <c r="R986" s="46"/>
    </row>
    <row r="987">
      <c r="A987" s="46"/>
      <c r="B987" s="46"/>
      <c r="C987" s="46"/>
      <c r="D987" s="46"/>
      <c r="E987" s="46"/>
      <c r="F987" s="46"/>
      <c r="G987" s="46"/>
      <c r="H987" s="46"/>
      <c r="I987" s="46"/>
      <c r="J987" s="46"/>
      <c r="K987" s="46"/>
      <c r="L987" s="46"/>
      <c r="M987" s="46"/>
      <c r="N987" s="46"/>
      <c r="O987" s="46"/>
      <c r="P987" s="46"/>
      <c r="Q987" s="46"/>
      <c r="R987" s="46"/>
    </row>
    <row r="988">
      <c r="A988" s="46"/>
      <c r="B988" s="46"/>
      <c r="C988" s="46"/>
      <c r="D988" s="46"/>
      <c r="E988" s="46"/>
      <c r="F988" s="46"/>
      <c r="G988" s="46"/>
      <c r="H988" s="46"/>
      <c r="I988" s="46"/>
      <c r="J988" s="46"/>
      <c r="K988" s="46"/>
      <c r="L988" s="46"/>
      <c r="M988" s="46"/>
      <c r="N988" s="46"/>
      <c r="O988" s="46"/>
      <c r="P988" s="46"/>
      <c r="Q988" s="46"/>
      <c r="R988" s="46"/>
    </row>
    <row r="989">
      <c r="A989" s="46"/>
      <c r="B989" s="46"/>
      <c r="C989" s="46"/>
      <c r="D989" s="46"/>
      <c r="E989" s="46"/>
      <c r="F989" s="46"/>
      <c r="G989" s="46"/>
      <c r="H989" s="46"/>
      <c r="I989" s="46"/>
      <c r="J989" s="46"/>
      <c r="K989" s="46"/>
      <c r="L989" s="46"/>
      <c r="M989" s="46"/>
      <c r="N989" s="46"/>
      <c r="O989" s="46"/>
      <c r="P989" s="46"/>
      <c r="Q989" s="46"/>
      <c r="R989" s="46"/>
    </row>
    <row r="990">
      <c r="A990" s="46"/>
      <c r="B990" s="46"/>
      <c r="C990" s="46"/>
      <c r="D990" s="46"/>
      <c r="E990" s="46"/>
      <c r="F990" s="46"/>
      <c r="G990" s="46"/>
      <c r="H990" s="46"/>
      <c r="I990" s="46"/>
      <c r="J990" s="46"/>
      <c r="K990" s="46"/>
      <c r="L990" s="46"/>
      <c r="M990" s="46"/>
      <c r="N990" s="46"/>
      <c r="O990" s="46"/>
      <c r="P990" s="46"/>
      <c r="Q990" s="46"/>
      <c r="R990" s="46"/>
    </row>
    <row r="991">
      <c r="A991" s="46"/>
      <c r="B991" s="46"/>
      <c r="C991" s="46"/>
      <c r="D991" s="46"/>
      <c r="E991" s="46"/>
      <c r="F991" s="46"/>
      <c r="G991" s="46"/>
      <c r="H991" s="46"/>
      <c r="I991" s="46"/>
      <c r="J991" s="46"/>
      <c r="K991" s="46"/>
      <c r="L991" s="46"/>
      <c r="M991" s="46"/>
      <c r="N991" s="46"/>
      <c r="O991" s="46"/>
      <c r="P991" s="46"/>
      <c r="Q991" s="46"/>
      <c r="R991" s="46"/>
    </row>
    <row r="992">
      <c r="A992" s="46"/>
      <c r="B992" s="46"/>
      <c r="C992" s="46"/>
      <c r="D992" s="46"/>
      <c r="E992" s="46"/>
      <c r="F992" s="46"/>
      <c r="G992" s="46"/>
      <c r="H992" s="46"/>
      <c r="I992" s="46"/>
      <c r="J992" s="46"/>
      <c r="K992" s="46"/>
      <c r="L992" s="46"/>
      <c r="M992" s="46"/>
      <c r="N992" s="46"/>
      <c r="O992" s="46"/>
      <c r="P992" s="46"/>
      <c r="Q992" s="46"/>
      <c r="R992" s="46"/>
    </row>
    <row r="993">
      <c r="A993" s="46"/>
      <c r="B993" s="46"/>
      <c r="C993" s="46"/>
      <c r="D993" s="46"/>
      <c r="E993" s="46"/>
      <c r="F993" s="46"/>
      <c r="G993" s="46"/>
      <c r="H993" s="46"/>
      <c r="I993" s="46"/>
      <c r="J993" s="46"/>
      <c r="K993" s="46"/>
      <c r="L993" s="46"/>
      <c r="M993" s="46"/>
      <c r="N993" s="46"/>
      <c r="O993" s="46"/>
      <c r="P993" s="46"/>
      <c r="Q993" s="46"/>
      <c r="R993" s="46"/>
    </row>
    <row r="994">
      <c r="A994" s="46"/>
      <c r="B994" s="46"/>
      <c r="C994" s="46"/>
      <c r="D994" s="46"/>
      <c r="E994" s="46"/>
      <c r="F994" s="46"/>
      <c r="G994" s="46"/>
      <c r="H994" s="46"/>
      <c r="I994" s="46"/>
      <c r="J994" s="46"/>
      <c r="K994" s="46"/>
      <c r="L994" s="46"/>
      <c r="M994" s="46"/>
      <c r="N994" s="46"/>
      <c r="O994" s="46"/>
      <c r="P994" s="46"/>
      <c r="Q994" s="46"/>
      <c r="R994" s="46"/>
    </row>
    <row r="995">
      <c r="A995" s="46"/>
      <c r="B995" s="46"/>
      <c r="C995" s="46"/>
      <c r="D995" s="46"/>
      <c r="E995" s="46"/>
      <c r="F995" s="46"/>
      <c r="G995" s="46"/>
      <c r="H995" s="46"/>
      <c r="I995" s="46"/>
      <c r="J995" s="46"/>
      <c r="K995" s="46"/>
      <c r="L995" s="46"/>
      <c r="M995" s="46"/>
      <c r="N995" s="46"/>
      <c r="O995" s="46"/>
      <c r="P995" s="46"/>
      <c r="Q995" s="46"/>
      <c r="R995" s="46"/>
    </row>
    <row r="996">
      <c r="A996" s="46"/>
      <c r="B996" s="46"/>
      <c r="C996" s="46"/>
      <c r="D996" s="46"/>
      <c r="E996" s="46"/>
      <c r="F996" s="46"/>
      <c r="G996" s="46"/>
      <c r="H996" s="46"/>
      <c r="I996" s="46"/>
      <c r="J996" s="46"/>
      <c r="K996" s="46"/>
      <c r="L996" s="46"/>
      <c r="M996" s="46"/>
      <c r="N996" s="46"/>
      <c r="O996" s="46"/>
      <c r="P996" s="46"/>
      <c r="Q996" s="46"/>
      <c r="R996" s="46"/>
    </row>
    <row r="997">
      <c r="A997" s="46"/>
      <c r="B997" s="46"/>
      <c r="C997" s="46"/>
      <c r="D997" s="46"/>
      <c r="E997" s="46"/>
      <c r="F997" s="46"/>
      <c r="G997" s="46"/>
      <c r="H997" s="46"/>
      <c r="I997" s="46"/>
      <c r="J997" s="46"/>
      <c r="K997" s="46"/>
      <c r="L997" s="46"/>
      <c r="M997" s="46"/>
      <c r="N997" s="46"/>
      <c r="O997" s="46"/>
      <c r="P997" s="46"/>
      <c r="Q997" s="46"/>
      <c r="R997" s="46"/>
    </row>
    <row r="998">
      <c r="A998" s="46"/>
      <c r="B998" s="46"/>
      <c r="C998" s="46"/>
      <c r="D998" s="46"/>
      <c r="E998" s="46"/>
      <c r="F998" s="46"/>
      <c r="G998" s="46"/>
      <c r="H998" s="46"/>
      <c r="I998" s="46"/>
      <c r="J998" s="46"/>
      <c r="K998" s="46"/>
      <c r="L998" s="46"/>
      <c r="M998" s="46"/>
      <c r="N998" s="46"/>
      <c r="O998" s="46"/>
      <c r="P998" s="46"/>
      <c r="Q998" s="46"/>
      <c r="R998" s="46"/>
    </row>
    <row r="999">
      <c r="A999" s="46"/>
      <c r="B999" s="46"/>
      <c r="C999" s="46"/>
      <c r="D999" s="46"/>
      <c r="E999" s="46"/>
      <c r="F999" s="46"/>
      <c r="G999" s="46"/>
      <c r="H999" s="46"/>
      <c r="I999" s="46"/>
      <c r="J999" s="46"/>
      <c r="K999" s="46"/>
      <c r="L999" s="46"/>
      <c r="M999" s="46"/>
      <c r="N999" s="46"/>
      <c r="O999" s="46"/>
      <c r="P999" s="46"/>
      <c r="Q999" s="46"/>
      <c r="R999" s="46"/>
    </row>
    <row r="1000">
      <c r="A1000" s="46"/>
      <c r="B1000" s="46"/>
      <c r="C1000" s="46"/>
      <c r="D1000" s="46"/>
      <c r="E1000" s="46"/>
      <c r="F1000" s="46"/>
      <c r="G1000" s="46"/>
      <c r="H1000" s="46"/>
      <c r="I1000" s="46"/>
      <c r="J1000" s="46"/>
      <c r="K1000" s="46"/>
      <c r="L1000" s="46"/>
      <c r="M1000" s="46"/>
      <c r="N1000" s="46"/>
      <c r="O1000" s="46"/>
      <c r="P1000" s="46"/>
      <c r="Q1000" s="46"/>
      <c r="R1000" s="46"/>
    </row>
  </sheetData>
  <hyperlinks>
    <hyperlink r:id="rId1" ref="L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3" max="3" width="13.63"/>
    <col customWidth="1" min="4" max="4" width="14.5"/>
    <col customWidth="1" min="5" max="5" width="25.63"/>
    <col customWidth="1" min="6" max="6" width="21.25"/>
    <col customWidth="1" min="8" max="8" width="16.75"/>
    <col customWidth="1" min="9" max="9" width="22.38"/>
    <col customWidth="1" min="11" max="11" width="51.5"/>
    <col customWidth="1" min="13" max="13" width="29.13"/>
    <col customWidth="1" min="14" max="14" width="44.63"/>
  </cols>
  <sheetData>
    <row r="1">
      <c r="A1" s="57" t="s">
        <v>2301</v>
      </c>
      <c r="B1" s="58" t="s">
        <v>2160</v>
      </c>
      <c r="C1" s="58" t="s">
        <v>2162</v>
      </c>
      <c r="D1" s="58" t="s">
        <v>2163</v>
      </c>
      <c r="E1" s="58" t="s">
        <v>2302</v>
      </c>
      <c r="F1" s="58" t="s">
        <v>2165</v>
      </c>
      <c r="G1" s="58" t="s">
        <v>2166</v>
      </c>
      <c r="H1" s="58" t="s">
        <v>2167</v>
      </c>
      <c r="I1" s="58" t="s">
        <v>2168</v>
      </c>
      <c r="J1" s="58" t="s">
        <v>2169</v>
      </c>
      <c r="K1" s="58" t="s">
        <v>2170</v>
      </c>
      <c r="L1" s="58" t="s">
        <v>2171</v>
      </c>
      <c r="M1" s="59"/>
      <c r="N1" s="59"/>
      <c r="O1" s="59" t="s">
        <v>2303</v>
      </c>
      <c r="P1" s="60"/>
      <c r="Q1" s="58"/>
      <c r="R1" s="58"/>
      <c r="S1" s="58"/>
      <c r="T1" s="58"/>
      <c r="U1" s="58"/>
      <c r="V1" s="58"/>
      <c r="W1" s="58"/>
      <c r="X1" s="58"/>
      <c r="Y1" s="58"/>
      <c r="Z1" s="58"/>
      <c r="AA1" s="58"/>
      <c r="AB1" s="58"/>
      <c r="AC1" s="58"/>
      <c r="AD1" s="58"/>
      <c r="AE1" s="58"/>
      <c r="AF1" s="58"/>
      <c r="AG1" s="58"/>
      <c r="AH1" s="58"/>
      <c r="AI1" s="58"/>
      <c r="AJ1" s="58"/>
    </row>
    <row r="2">
      <c r="A2" s="61">
        <v>44453.0</v>
      </c>
      <c r="B2" s="62" t="s">
        <v>2304</v>
      </c>
      <c r="C2" s="62" t="s">
        <v>2305</v>
      </c>
      <c r="D2" s="62" t="s">
        <v>2306</v>
      </c>
      <c r="E2" s="62" t="s">
        <v>2307</v>
      </c>
      <c r="F2" s="63" t="s">
        <v>2308</v>
      </c>
      <c r="G2" s="62">
        <v>676503.0</v>
      </c>
      <c r="H2" s="62" t="s">
        <v>2309</v>
      </c>
      <c r="I2" s="64"/>
      <c r="J2" s="65">
        <v>9.916567851E9</v>
      </c>
      <c r="K2" s="62" t="s">
        <v>2310</v>
      </c>
      <c r="L2" s="64"/>
      <c r="M2" s="59"/>
      <c r="N2" s="60"/>
      <c r="O2" s="59" t="s">
        <v>2311</v>
      </c>
      <c r="P2" s="60"/>
      <c r="Q2" s="64"/>
      <c r="R2" s="64"/>
      <c r="S2" s="64"/>
      <c r="T2" s="64"/>
      <c r="U2" s="64"/>
      <c r="V2" s="64"/>
      <c r="W2" s="64"/>
      <c r="X2" s="64"/>
      <c r="Y2" s="64"/>
      <c r="Z2" s="64"/>
      <c r="AA2" s="64"/>
      <c r="AB2" s="64"/>
      <c r="AC2" s="64"/>
      <c r="AD2" s="64"/>
      <c r="AE2" s="64"/>
      <c r="AF2" s="64"/>
      <c r="AG2" s="64"/>
      <c r="AH2" s="64"/>
      <c r="AI2" s="64"/>
      <c r="AJ2" s="64"/>
    </row>
    <row r="3">
      <c r="A3" s="61">
        <v>44454.0</v>
      </c>
      <c r="B3" s="62" t="s">
        <v>2304</v>
      </c>
      <c r="C3" s="62" t="s">
        <v>2312</v>
      </c>
      <c r="D3" s="64"/>
      <c r="E3" s="66" t="s">
        <v>2313</v>
      </c>
      <c r="F3" s="62" t="s">
        <v>2314</v>
      </c>
      <c r="G3" s="67">
        <v>413401.0</v>
      </c>
      <c r="H3" s="66" t="s">
        <v>2315</v>
      </c>
      <c r="I3" s="66" t="s">
        <v>2316</v>
      </c>
      <c r="J3" s="62">
        <v>8.147595492E9</v>
      </c>
      <c r="K3" s="62" t="s">
        <v>2317</v>
      </c>
      <c r="L3" s="62" t="s">
        <v>2318</v>
      </c>
      <c r="M3" s="59"/>
      <c r="N3" s="60"/>
      <c r="O3" s="60"/>
      <c r="P3" s="60"/>
      <c r="Q3" s="64"/>
      <c r="R3" s="64"/>
      <c r="S3" s="64"/>
      <c r="T3" s="64"/>
      <c r="U3" s="64"/>
      <c r="V3" s="64"/>
      <c r="W3" s="64"/>
      <c r="X3" s="64"/>
      <c r="Y3" s="64"/>
      <c r="Z3" s="64"/>
      <c r="AA3" s="64"/>
      <c r="AB3" s="64"/>
      <c r="AC3" s="64"/>
      <c r="AD3" s="64"/>
      <c r="AE3" s="64"/>
      <c r="AF3" s="64"/>
      <c r="AG3" s="64"/>
      <c r="AH3" s="64"/>
      <c r="AI3" s="64"/>
      <c r="AJ3" s="64"/>
    </row>
    <row r="4">
      <c r="A4" s="61">
        <v>44455.0</v>
      </c>
      <c r="B4" s="62" t="s">
        <v>2304</v>
      </c>
      <c r="C4" s="64" t="s">
        <v>2319</v>
      </c>
      <c r="D4" s="64" t="s">
        <v>2320</v>
      </c>
      <c r="E4" s="64"/>
      <c r="F4" s="64"/>
      <c r="G4" s="68"/>
      <c r="H4" s="62" t="s">
        <v>2321</v>
      </c>
      <c r="I4" s="64"/>
      <c r="J4" s="62">
        <v>9.331721914E9</v>
      </c>
      <c r="K4" s="62" t="s">
        <v>2322</v>
      </c>
      <c r="L4" s="62" t="s">
        <v>2318</v>
      </c>
      <c r="M4" s="59"/>
      <c r="N4" s="60"/>
      <c r="O4" s="60"/>
      <c r="P4" s="60"/>
      <c r="Q4" s="64"/>
      <c r="R4" s="64"/>
      <c r="S4" s="64"/>
      <c r="T4" s="64"/>
      <c r="U4" s="64"/>
      <c r="V4" s="64"/>
      <c r="W4" s="64"/>
      <c r="X4" s="64"/>
      <c r="Y4" s="64"/>
      <c r="Z4" s="64"/>
      <c r="AA4" s="64"/>
      <c r="AB4" s="64"/>
      <c r="AC4" s="64"/>
      <c r="AD4" s="64"/>
      <c r="AE4" s="64"/>
      <c r="AF4" s="64"/>
      <c r="AG4" s="64"/>
      <c r="AH4" s="64"/>
      <c r="AI4" s="64"/>
      <c r="AJ4" s="64"/>
    </row>
    <row r="5">
      <c r="A5" s="61">
        <v>44488.0</v>
      </c>
      <c r="B5" s="62" t="s">
        <v>2304</v>
      </c>
      <c r="C5" s="62" t="s">
        <v>2323</v>
      </c>
      <c r="D5" s="62" t="s">
        <v>2324</v>
      </c>
      <c r="E5" s="62" t="s">
        <v>2325</v>
      </c>
      <c r="F5" s="62"/>
      <c r="G5" s="62"/>
      <c r="H5" s="69" t="s">
        <v>2326</v>
      </c>
      <c r="I5" s="62" t="s">
        <v>2327</v>
      </c>
      <c r="J5" s="69">
        <v>9.354624885E9</v>
      </c>
      <c r="K5" s="62" t="s">
        <v>2328</v>
      </c>
      <c r="L5" s="64"/>
      <c r="M5" s="60"/>
      <c r="N5" s="60"/>
      <c r="O5" s="60"/>
      <c r="P5" s="60"/>
      <c r="Q5" s="64"/>
      <c r="R5" s="64"/>
      <c r="S5" s="64"/>
      <c r="T5" s="64"/>
      <c r="U5" s="64"/>
      <c r="V5" s="64"/>
      <c r="W5" s="64"/>
      <c r="X5" s="64"/>
      <c r="Y5" s="64"/>
      <c r="Z5" s="64"/>
      <c r="AA5" s="64"/>
      <c r="AB5" s="64"/>
      <c r="AC5" s="64"/>
      <c r="AD5" s="64"/>
      <c r="AE5" s="64"/>
      <c r="AF5" s="64"/>
      <c r="AG5" s="64"/>
      <c r="AH5" s="64"/>
      <c r="AI5" s="64"/>
      <c r="AJ5" s="64"/>
    </row>
    <row r="6">
      <c r="A6" s="61">
        <v>44489.0</v>
      </c>
      <c r="B6" s="62" t="s">
        <v>2304</v>
      </c>
      <c r="C6" s="64" t="s">
        <v>2319</v>
      </c>
      <c r="D6" s="64" t="s">
        <v>2320</v>
      </c>
      <c r="E6" s="64"/>
      <c r="F6" s="64"/>
      <c r="G6" s="64"/>
      <c r="H6" s="62" t="s">
        <v>2329</v>
      </c>
      <c r="I6" s="64"/>
      <c r="J6" s="62">
        <v>9.123764577E9</v>
      </c>
      <c r="K6" s="62" t="s">
        <v>2330</v>
      </c>
      <c r="L6" s="64"/>
      <c r="M6" s="60"/>
      <c r="N6" s="60"/>
      <c r="O6" s="60"/>
      <c r="P6" s="60"/>
      <c r="Q6" s="64"/>
      <c r="R6" s="64"/>
      <c r="S6" s="64"/>
      <c r="T6" s="64"/>
      <c r="U6" s="64"/>
      <c r="V6" s="64"/>
      <c r="W6" s="64"/>
      <c r="X6" s="64"/>
      <c r="Y6" s="64"/>
      <c r="Z6" s="64"/>
      <c r="AA6" s="64"/>
      <c r="AB6" s="64"/>
      <c r="AC6" s="64"/>
      <c r="AD6" s="64"/>
      <c r="AE6" s="64"/>
      <c r="AF6" s="64"/>
      <c r="AG6" s="64"/>
      <c r="AH6" s="64"/>
      <c r="AI6" s="64"/>
      <c r="AJ6" s="64"/>
    </row>
    <row r="7">
      <c r="A7" s="61">
        <v>44508.0</v>
      </c>
      <c r="B7" s="62" t="s">
        <v>2173</v>
      </c>
      <c r="C7" s="62" t="s">
        <v>2331</v>
      </c>
      <c r="D7" s="62" t="s">
        <v>2266</v>
      </c>
      <c r="E7" s="62" t="s">
        <v>2332</v>
      </c>
      <c r="F7" s="62" t="s">
        <v>2333</v>
      </c>
      <c r="G7" s="64"/>
      <c r="H7" s="62" t="s">
        <v>2334</v>
      </c>
      <c r="I7" s="62" t="s">
        <v>2335</v>
      </c>
      <c r="J7" s="62">
        <v>9.429823457E9</v>
      </c>
      <c r="K7" s="62" t="s">
        <v>2336</v>
      </c>
      <c r="L7" s="62" t="s">
        <v>2337</v>
      </c>
      <c r="M7" s="59"/>
      <c r="N7" s="60"/>
      <c r="O7" s="60"/>
      <c r="P7" s="60"/>
      <c r="Q7" s="64"/>
      <c r="R7" s="64"/>
      <c r="S7" s="64"/>
      <c r="T7" s="64"/>
      <c r="U7" s="64"/>
      <c r="V7" s="64"/>
      <c r="W7" s="64"/>
      <c r="X7" s="64"/>
      <c r="Y7" s="64"/>
      <c r="Z7" s="64"/>
      <c r="AA7" s="64"/>
      <c r="AB7" s="64"/>
      <c r="AC7" s="64"/>
      <c r="AD7" s="64"/>
      <c r="AE7" s="64"/>
      <c r="AF7" s="64"/>
      <c r="AG7" s="64"/>
      <c r="AH7" s="64"/>
      <c r="AI7" s="64"/>
      <c r="AJ7" s="64"/>
    </row>
    <row r="8">
      <c r="A8" s="70">
        <v>44508.0</v>
      </c>
      <c r="B8" s="59" t="s">
        <v>2173</v>
      </c>
      <c r="C8" s="64"/>
      <c r="D8" s="64"/>
      <c r="E8" s="64"/>
      <c r="F8" s="64"/>
      <c r="G8" s="64"/>
      <c r="H8" s="62" t="s">
        <v>2338</v>
      </c>
      <c r="I8" s="62" t="s">
        <v>2339</v>
      </c>
      <c r="J8" s="62">
        <v>7.524099934E9</v>
      </c>
      <c r="K8" s="62" t="s">
        <v>2340</v>
      </c>
      <c r="L8" s="64"/>
      <c r="M8" s="59"/>
      <c r="N8" s="60"/>
      <c r="O8" s="60"/>
      <c r="P8" s="60"/>
      <c r="Q8" s="64"/>
      <c r="R8" s="64"/>
      <c r="S8" s="64"/>
      <c r="T8" s="64"/>
      <c r="U8" s="64"/>
      <c r="V8" s="64"/>
      <c r="W8" s="64"/>
      <c r="X8" s="64"/>
      <c r="Y8" s="64"/>
      <c r="Z8" s="64"/>
      <c r="AA8" s="64"/>
      <c r="AB8" s="64"/>
      <c r="AC8" s="64"/>
      <c r="AD8" s="64"/>
      <c r="AE8" s="64"/>
      <c r="AF8" s="64"/>
      <c r="AG8" s="64"/>
      <c r="AH8" s="64"/>
      <c r="AI8" s="64"/>
      <c r="AJ8" s="64"/>
    </row>
    <row r="9">
      <c r="A9" s="70">
        <v>44508.0</v>
      </c>
      <c r="B9" s="59" t="s">
        <v>2173</v>
      </c>
      <c r="C9" s="64"/>
      <c r="D9" s="62" t="s">
        <v>2341</v>
      </c>
      <c r="E9" s="64"/>
      <c r="F9" s="64"/>
      <c r="G9" s="64"/>
      <c r="H9" s="62" t="s">
        <v>2342</v>
      </c>
      <c r="I9" s="64" t="s">
        <v>2343</v>
      </c>
      <c r="J9" s="62">
        <v>7.989324097E9</v>
      </c>
      <c r="K9" s="62" t="s">
        <v>2344</v>
      </c>
      <c r="L9" s="64"/>
      <c r="M9" s="59"/>
      <c r="N9" s="60"/>
      <c r="O9" s="60"/>
      <c r="P9" s="60"/>
      <c r="Q9" s="64"/>
      <c r="R9" s="64"/>
      <c r="S9" s="64"/>
      <c r="T9" s="64"/>
      <c r="U9" s="64"/>
      <c r="V9" s="64"/>
      <c r="W9" s="64"/>
      <c r="X9" s="64"/>
      <c r="Y9" s="64"/>
      <c r="Z9" s="64"/>
      <c r="AA9" s="64"/>
      <c r="AB9" s="64"/>
      <c r="AC9" s="64"/>
      <c r="AD9" s="64"/>
      <c r="AE9" s="64"/>
      <c r="AF9" s="64"/>
      <c r="AG9" s="64"/>
      <c r="AH9" s="64"/>
      <c r="AI9" s="64"/>
      <c r="AJ9" s="64"/>
    </row>
    <row r="10">
      <c r="A10" s="61">
        <v>44509.0</v>
      </c>
      <c r="B10" s="62" t="s">
        <v>2173</v>
      </c>
      <c r="C10" s="62" t="s">
        <v>2345</v>
      </c>
      <c r="D10" s="62" t="s">
        <v>2210</v>
      </c>
      <c r="E10" s="62" t="s">
        <v>2346</v>
      </c>
      <c r="F10" s="62" t="s">
        <v>2345</v>
      </c>
      <c r="G10" s="64"/>
      <c r="H10" s="62" t="s">
        <v>2347</v>
      </c>
      <c r="I10" s="62" t="s">
        <v>2348</v>
      </c>
      <c r="J10" s="62" t="s">
        <v>2349</v>
      </c>
      <c r="K10" s="62" t="s">
        <v>2350</v>
      </c>
      <c r="L10" s="62" t="s">
        <v>2337</v>
      </c>
      <c r="M10" s="71"/>
      <c r="N10" s="60"/>
      <c r="O10" s="60"/>
      <c r="P10" s="60"/>
      <c r="Q10" s="64"/>
      <c r="R10" s="64"/>
      <c r="S10" s="64"/>
      <c r="T10" s="64"/>
      <c r="U10" s="64"/>
      <c r="V10" s="64"/>
      <c r="W10" s="64"/>
      <c r="X10" s="64"/>
      <c r="Y10" s="64"/>
      <c r="Z10" s="64"/>
      <c r="AA10" s="64"/>
      <c r="AB10" s="64"/>
      <c r="AC10" s="64"/>
      <c r="AD10" s="64"/>
      <c r="AE10" s="64"/>
      <c r="AF10" s="64"/>
      <c r="AG10" s="64"/>
      <c r="AH10" s="64"/>
      <c r="AI10" s="64"/>
      <c r="AJ10" s="64"/>
    </row>
    <row r="11">
      <c r="A11" s="61">
        <v>44513.0</v>
      </c>
      <c r="B11" s="62" t="s">
        <v>2173</v>
      </c>
      <c r="C11" s="62" t="s">
        <v>2351</v>
      </c>
      <c r="D11" s="62" t="s">
        <v>2352</v>
      </c>
      <c r="E11" s="62" t="s">
        <v>2353</v>
      </c>
      <c r="F11" s="62" t="s">
        <v>2351</v>
      </c>
      <c r="G11" s="64"/>
      <c r="H11" s="62" t="s">
        <v>2354</v>
      </c>
      <c r="I11" s="64" t="s">
        <v>2355</v>
      </c>
      <c r="J11" s="64">
        <v>8.409937767E9</v>
      </c>
      <c r="K11" s="64" t="s">
        <v>2356</v>
      </c>
      <c r="L11" s="64"/>
      <c r="M11" s="59"/>
      <c r="N11" s="60"/>
      <c r="O11" s="60"/>
      <c r="P11" s="60"/>
      <c r="Q11" s="64"/>
      <c r="R11" s="64"/>
      <c r="S11" s="64"/>
      <c r="T11" s="64"/>
      <c r="U11" s="64"/>
      <c r="V11" s="64"/>
      <c r="W11" s="64"/>
      <c r="X11" s="64"/>
      <c r="Y11" s="64"/>
      <c r="Z11" s="64"/>
      <c r="AA11" s="64"/>
      <c r="AB11" s="64"/>
      <c r="AC11" s="64"/>
      <c r="AD11" s="64"/>
      <c r="AE11" s="64"/>
      <c r="AF11" s="64"/>
      <c r="AG11" s="64"/>
      <c r="AH11" s="64"/>
      <c r="AI11" s="64"/>
      <c r="AJ11" s="64"/>
    </row>
    <row r="12">
      <c r="A12" s="70">
        <v>44516.0</v>
      </c>
      <c r="B12" s="59" t="s">
        <v>2173</v>
      </c>
      <c r="C12" s="59" t="s">
        <v>2357</v>
      </c>
      <c r="D12" s="59" t="s">
        <v>2306</v>
      </c>
      <c r="E12" s="59" t="s">
        <v>2358</v>
      </c>
      <c r="F12" s="59" t="s">
        <v>2357</v>
      </c>
      <c r="G12" s="60"/>
      <c r="H12" s="59" t="s">
        <v>2359</v>
      </c>
      <c r="I12" s="60" t="s">
        <v>2360</v>
      </c>
      <c r="J12" s="60">
        <v>8.668174478E9</v>
      </c>
      <c r="K12" s="59" t="s">
        <v>2361</v>
      </c>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row>
    <row r="13">
      <c r="A13" s="61">
        <v>44527.0</v>
      </c>
      <c r="B13" s="62" t="s">
        <v>2304</v>
      </c>
      <c r="C13" s="72"/>
      <c r="D13" s="62"/>
      <c r="E13" s="62"/>
      <c r="F13" s="62"/>
      <c r="G13" s="64"/>
      <c r="H13" s="73" t="s">
        <v>2362</v>
      </c>
      <c r="I13" s="64"/>
      <c r="J13" s="67">
        <f>919837997268</f>
        <v>919837997268</v>
      </c>
      <c r="K13" s="74" t="s">
        <v>2363</v>
      </c>
      <c r="L13" s="64"/>
      <c r="M13" s="59"/>
      <c r="N13" s="60"/>
      <c r="O13" s="60"/>
      <c r="P13" s="60"/>
      <c r="Q13" s="64"/>
      <c r="R13" s="64"/>
      <c r="S13" s="64"/>
      <c r="T13" s="64"/>
      <c r="U13" s="64"/>
      <c r="V13" s="64"/>
      <c r="W13" s="64"/>
      <c r="X13" s="64"/>
      <c r="Y13" s="64"/>
      <c r="Z13" s="64"/>
      <c r="AA13" s="64"/>
      <c r="AB13" s="64"/>
      <c r="AC13" s="64"/>
      <c r="AD13" s="64"/>
      <c r="AE13" s="64"/>
      <c r="AF13" s="64"/>
      <c r="AG13" s="64"/>
      <c r="AH13" s="64"/>
      <c r="AI13" s="64"/>
      <c r="AJ13" s="64"/>
    </row>
    <row r="14">
      <c r="A14" s="61">
        <v>44527.0</v>
      </c>
      <c r="B14" s="62" t="s">
        <v>2304</v>
      </c>
      <c r="C14" s="74" t="s">
        <v>2364</v>
      </c>
      <c r="D14" s="62" t="s">
        <v>2365</v>
      </c>
      <c r="E14" s="62"/>
      <c r="F14" s="62" t="s">
        <v>2364</v>
      </c>
      <c r="G14" s="64"/>
      <c r="H14" s="62" t="s">
        <v>2366</v>
      </c>
      <c r="I14" s="64"/>
      <c r="J14" s="67">
        <v>6.0090796E9</v>
      </c>
      <c r="K14" s="62" t="s">
        <v>2367</v>
      </c>
      <c r="L14" s="64"/>
      <c r="M14" s="59"/>
      <c r="N14" s="60"/>
      <c r="O14" s="60"/>
      <c r="P14" s="60"/>
      <c r="Q14" s="64"/>
      <c r="R14" s="64"/>
      <c r="S14" s="64"/>
      <c r="T14" s="64"/>
      <c r="U14" s="64"/>
      <c r="V14" s="64"/>
      <c r="W14" s="64"/>
      <c r="X14" s="64"/>
      <c r="Y14" s="64"/>
      <c r="Z14" s="64"/>
      <c r="AA14" s="64"/>
      <c r="AB14" s="64"/>
      <c r="AC14" s="64"/>
      <c r="AD14" s="64"/>
      <c r="AE14" s="64"/>
      <c r="AF14" s="64"/>
      <c r="AG14" s="64"/>
      <c r="AH14" s="64"/>
      <c r="AI14" s="64"/>
      <c r="AJ14" s="64"/>
    </row>
    <row r="15">
      <c r="A15" s="61">
        <v>44527.0</v>
      </c>
      <c r="B15" s="62" t="s">
        <v>2304</v>
      </c>
      <c r="C15" s="74" t="s">
        <v>2368</v>
      </c>
      <c r="D15" s="62" t="s">
        <v>2324</v>
      </c>
      <c r="E15" s="62" t="s">
        <v>2369</v>
      </c>
      <c r="F15" s="64"/>
      <c r="G15" s="64"/>
      <c r="H15" s="62" t="s">
        <v>2370</v>
      </c>
      <c r="I15" s="64"/>
      <c r="J15" s="67">
        <v>9.044000403E9</v>
      </c>
      <c r="K15" s="62" t="s">
        <v>2371</v>
      </c>
      <c r="L15" s="62" t="s">
        <v>2337</v>
      </c>
      <c r="M15" s="71"/>
      <c r="N15" s="60"/>
      <c r="O15" s="60"/>
      <c r="P15" s="60"/>
      <c r="Q15" s="64"/>
      <c r="R15" s="64"/>
      <c r="S15" s="64"/>
      <c r="T15" s="64"/>
      <c r="U15" s="64"/>
      <c r="V15" s="64"/>
      <c r="W15" s="64"/>
      <c r="X15" s="64"/>
      <c r="Y15" s="64"/>
      <c r="Z15" s="64"/>
      <c r="AA15" s="64"/>
      <c r="AB15" s="64"/>
      <c r="AC15" s="64"/>
      <c r="AD15" s="64"/>
      <c r="AE15" s="64"/>
      <c r="AF15" s="64"/>
      <c r="AG15" s="64"/>
      <c r="AH15" s="64"/>
      <c r="AI15" s="64"/>
      <c r="AJ15" s="64"/>
    </row>
    <row r="16">
      <c r="A16" s="75" t="s">
        <v>2372</v>
      </c>
      <c r="B16" s="76"/>
      <c r="C16" s="76"/>
      <c r="D16" s="76"/>
      <c r="E16" s="76"/>
      <c r="F16" s="76"/>
      <c r="G16" s="77"/>
      <c r="H16" s="76"/>
      <c r="I16" s="76"/>
      <c r="J16" s="76"/>
      <c r="K16" s="76"/>
      <c r="L16" s="77"/>
      <c r="M16" s="71"/>
      <c r="N16" s="59"/>
      <c r="O16" s="60"/>
      <c r="P16" s="60"/>
      <c r="Q16" s="77"/>
      <c r="R16" s="77"/>
      <c r="S16" s="77"/>
      <c r="T16" s="77"/>
      <c r="U16" s="77"/>
      <c r="V16" s="77"/>
      <c r="W16" s="77"/>
      <c r="X16" s="77"/>
      <c r="Y16" s="77"/>
      <c r="Z16" s="77"/>
      <c r="AA16" s="77"/>
      <c r="AB16" s="77"/>
      <c r="AC16" s="77"/>
      <c r="AD16" s="77"/>
      <c r="AE16" s="77"/>
      <c r="AF16" s="77"/>
      <c r="AG16" s="77"/>
      <c r="AH16" s="77"/>
      <c r="AI16" s="77"/>
      <c r="AJ16" s="77"/>
    </row>
    <row r="17">
      <c r="A17" s="61">
        <v>44531.0</v>
      </c>
      <c r="B17" s="62" t="s">
        <v>2173</v>
      </c>
      <c r="C17" s="62" t="s">
        <v>2373</v>
      </c>
      <c r="D17" s="62" t="s">
        <v>2324</v>
      </c>
      <c r="E17" s="62" t="s">
        <v>2374</v>
      </c>
      <c r="F17" s="62" t="s">
        <v>2358</v>
      </c>
      <c r="G17" s="64"/>
      <c r="H17" s="62" t="s">
        <v>2375</v>
      </c>
      <c r="I17" s="62" t="s">
        <v>2376</v>
      </c>
      <c r="J17" s="62">
        <v>9.919681319E9</v>
      </c>
      <c r="K17" s="62" t="s">
        <v>2377</v>
      </c>
      <c r="L17" s="64"/>
      <c r="M17" s="71"/>
      <c r="N17" s="59"/>
      <c r="O17" s="60"/>
      <c r="P17" s="60"/>
      <c r="Q17" s="64"/>
      <c r="R17" s="64"/>
      <c r="S17" s="64"/>
      <c r="T17" s="64"/>
      <c r="U17" s="64"/>
      <c r="V17" s="64"/>
      <c r="W17" s="64"/>
      <c r="X17" s="64"/>
      <c r="Y17" s="64"/>
      <c r="Z17" s="64"/>
      <c r="AA17" s="64"/>
      <c r="AB17" s="64"/>
      <c r="AC17" s="64"/>
      <c r="AD17" s="64"/>
      <c r="AE17" s="64"/>
      <c r="AF17" s="64"/>
      <c r="AG17" s="64"/>
      <c r="AH17" s="64"/>
      <c r="AI17" s="64"/>
      <c r="AJ17" s="64"/>
    </row>
    <row r="18">
      <c r="A18" s="61">
        <v>44531.0</v>
      </c>
      <c r="B18" s="62" t="s">
        <v>2304</v>
      </c>
      <c r="C18" s="67" t="s">
        <v>2378</v>
      </c>
      <c r="D18" s="62" t="s">
        <v>2379</v>
      </c>
      <c r="E18" s="62" t="s">
        <v>2380</v>
      </c>
      <c r="F18" s="67" t="s">
        <v>2378</v>
      </c>
      <c r="G18" s="60"/>
      <c r="H18" s="62" t="s">
        <v>2381</v>
      </c>
      <c r="I18" s="62">
        <v>8.275298444E9</v>
      </c>
      <c r="J18" s="62">
        <v>9.420684424E9</v>
      </c>
      <c r="K18" s="62" t="s">
        <v>2382</v>
      </c>
      <c r="L18" s="64"/>
      <c r="M18" s="71"/>
      <c r="N18" s="59"/>
      <c r="O18" s="60"/>
      <c r="P18" s="60"/>
      <c r="Q18" s="64"/>
      <c r="R18" s="64"/>
      <c r="S18" s="64"/>
      <c r="T18" s="64"/>
      <c r="U18" s="64"/>
      <c r="V18" s="64"/>
      <c r="W18" s="64"/>
      <c r="X18" s="64"/>
      <c r="Y18" s="64"/>
      <c r="Z18" s="64"/>
      <c r="AA18" s="64"/>
      <c r="AB18" s="64"/>
      <c r="AC18" s="64"/>
      <c r="AD18" s="64"/>
      <c r="AE18" s="64"/>
      <c r="AF18" s="64"/>
      <c r="AG18" s="64"/>
      <c r="AH18" s="64"/>
      <c r="AI18" s="64"/>
      <c r="AJ18" s="64"/>
    </row>
    <row r="19">
      <c r="A19" s="61">
        <v>44531.0</v>
      </c>
      <c r="B19" s="62" t="s">
        <v>2304</v>
      </c>
      <c r="C19" s="62" t="s">
        <v>2383</v>
      </c>
      <c r="D19" s="62" t="s">
        <v>2384</v>
      </c>
      <c r="E19" s="64"/>
      <c r="F19" s="64"/>
      <c r="G19" s="64"/>
      <c r="H19" s="62" t="s">
        <v>2385</v>
      </c>
      <c r="I19" s="64"/>
      <c r="J19" s="62">
        <v>9.906067123E9</v>
      </c>
      <c r="K19" s="62" t="s">
        <v>2386</v>
      </c>
      <c r="L19" s="62"/>
      <c r="M19" s="71"/>
      <c r="N19" s="59"/>
      <c r="O19" s="60"/>
      <c r="P19" s="60"/>
      <c r="Q19" s="64"/>
      <c r="R19" s="64"/>
      <c r="S19" s="64"/>
      <c r="T19" s="64"/>
      <c r="U19" s="64"/>
      <c r="V19" s="64"/>
      <c r="W19" s="64"/>
      <c r="X19" s="64"/>
      <c r="Y19" s="64"/>
      <c r="Z19" s="64"/>
      <c r="AA19" s="64"/>
      <c r="AB19" s="64"/>
      <c r="AC19" s="64"/>
      <c r="AD19" s="64"/>
      <c r="AE19" s="64"/>
      <c r="AF19" s="64"/>
      <c r="AG19" s="64"/>
      <c r="AH19" s="64"/>
      <c r="AI19" s="64"/>
      <c r="AJ19" s="64"/>
    </row>
    <row r="20">
      <c r="A20" s="61">
        <v>44532.0</v>
      </c>
      <c r="B20" s="62" t="s">
        <v>2304</v>
      </c>
      <c r="C20" s="62" t="s">
        <v>2387</v>
      </c>
      <c r="D20" s="62" t="s">
        <v>2341</v>
      </c>
      <c r="E20" s="64"/>
      <c r="F20" s="64"/>
      <c r="G20" s="64"/>
      <c r="H20" s="62" t="s">
        <v>2388</v>
      </c>
      <c r="I20" s="64"/>
      <c r="J20" s="62">
        <v>9.989509795E9</v>
      </c>
      <c r="K20" s="62" t="s">
        <v>2389</v>
      </c>
      <c r="L20" s="62" t="s">
        <v>2337</v>
      </c>
      <c r="M20" s="71"/>
      <c r="N20" s="59"/>
      <c r="O20" s="60"/>
      <c r="P20" s="60"/>
      <c r="Q20" s="64"/>
      <c r="R20" s="64"/>
      <c r="S20" s="64"/>
      <c r="T20" s="64"/>
      <c r="U20" s="64"/>
      <c r="V20" s="64"/>
      <c r="W20" s="64"/>
      <c r="X20" s="64"/>
      <c r="Y20" s="64"/>
      <c r="Z20" s="64"/>
      <c r="AA20" s="64"/>
      <c r="AB20" s="64"/>
      <c r="AC20" s="64"/>
      <c r="AD20" s="64"/>
      <c r="AE20" s="64"/>
      <c r="AF20" s="64"/>
      <c r="AG20" s="64"/>
      <c r="AH20" s="64"/>
      <c r="AI20" s="64"/>
      <c r="AJ20" s="64"/>
    </row>
    <row r="21">
      <c r="A21" s="61">
        <v>44532.0</v>
      </c>
      <c r="B21" s="62" t="s">
        <v>2304</v>
      </c>
      <c r="C21" s="62" t="s">
        <v>2390</v>
      </c>
      <c r="D21" s="62" t="s">
        <v>2324</v>
      </c>
      <c r="E21" s="64"/>
      <c r="F21" s="62"/>
      <c r="G21" s="62"/>
      <c r="H21" s="62" t="s">
        <v>2391</v>
      </c>
      <c r="I21" s="64"/>
      <c r="J21" s="62">
        <v>9.058808018E9</v>
      </c>
      <c r="K21" s="62" t="s">
        <v>2392</v>
      </c>
      <c r="L21" s="64"/>
      <c r="M21" s="59"/>
      <c r="N21" s="59"/>
      <c r="O21" s="60"/>
      <c r="P21" s="60"/>
      <c r="Q21" s="64"/>
      <c r="R21" s="64"/>
      <c r="S21" s="64"/>
      <c r="T21" s="64"/>
      <c r="U21" s="64"/>
      <c r="V21" s="64"/>
      <c r="W21" s="64"/>
      <c r="X21" s="64"/>
      <c r="Y21" s="64"/>
      <c r="Z21" s="64"/>
      <c r="AA21" s="64"/>
      <c r="AB21" s="64"/>
      <c r="AC21" s="64"/>
      <c r="AD21" s="64"/>
      <c r="AE21" s="64"/>
      <c r="AF21" s="64"/>
      <c r="AG21" s="64"/>
      <c r="AH21" s="64"/>
      <c r="AI21" s="64"/>
      <c r="AJ21" s="64"/>
    </row>
    <row r="22">
      <c r="A22" s="61">
        <v>44532.0</v>
      </c>
      <c r="B22" s="62" t="s">
        <v>2304</v>
      </c>
      <c r="C22" s="62" t="s">
        <v>2393</v>
      </c>
      <c r="D22" s="62" t="s">
        <v>2352</v>
      </c>
      <c r="E22" s="62" t="s">
        <v>2394</v>
      </c>
      <c r="F22" s="62" t="s">
        <v>2395</v>
      </c>
      <c r="G22" s="64"/>
      <c r="H22" s="62" t="s">
        <v>2396</v>
      </c>
      <c r="I22" s="64"/>
      <c r="J22" s="62">
        <v>9.931113822E9</v>
      </c>
      <c r="K22" s="62" t="s">
        <v>2397</v>
      </c>
      <c r="L22" s="64"/>
      <c r="M22" s="59"/>
      <c r="N22" s="59"/>
      <c r="O22" s="60"/>
      <c r="P22" s="60"/>
      <c r="Q22" s="64"/>
      <c r="R22" s="64"/>
      <c r="S22" s="64"/>
      <c r="T22" s="64"/>
      <c r="U22" s="64"/>
      <c r="V22" s="64"/>
      <c r="W22" s="64"/>
      <c r="X22" s="64"/>
      <c r="Y22" s="64"/>
      <c r="Z22" s="64"/>
      <c r="AA22" s="64"/>
      <c r="AB22" s="64"/>
      <c r="AC22" s="64"/>
      <c r="AD22" s="64"/>
      <c r="AE22" s="64"/>
      <c r="AF22" s="64"/>
      <c r="AG22" s="64"/>
      <c r="AH22" s="64"/>
      <c r="AI22" s="64"/>
      <c r="AJ22" s="64"/>
    </row>
    <row r="23">
      <c r="A23" s="61">
        <v>44536.0</v>
      </c>
      <c r="B23" s="62" t="s">
        <v>2304</v>
      </c>
      <c r="C23" s="62" t="s">
        <v>2398</v>
      </c>
      <c r="D23" s="64" t="s">
        <v>2399</v>
      </c>
      <c r="E23" s="62" t="s">
        <v>2400</v>
      </c>
      <c r="F23" s="64"/>
      <c r="G23" s="64"/>
      <c r="H23" s="64" t="s">
        <v>2401</v>
      </c>
      <c r="I23" s="64"/>
      <c r="J23" s="64">
        <v>8.722851234E9</v>
      </c>
      <c r="K23" s="62" t="s">
        <v>2402</v>
      </c>
      <c r="L23" s="62" t="s">
        <v>2337</v>
      </c>
      <c r="M23" s="71"/>
      <c r="N23" s="59"/>
      <c r="O23" s="60"/>
      <c r="P23" s="60"/>
      <c r="Q23" s="64"/>
      <c r="R23" s="64"/>
      <c r="S23" s="64"/>
      <c r="T23" s="64"/>
      <c r="U23" s="64"/>
      <c r="V23" s="64"/>
      <c r="W23" s="64"/>
      <c r="X23" s="64"/>
      <c r="Y23" s="64"/>
      <c r="Z23" s="64"/>
      <c r="AA23" s="64"/>
      <c r="AB23" s="64"/>
      <c r="AC23" s="64"/>
      <c r="AD23" s="64"/>
      <c r="AE23" s="64"/>
      <c r="AF23" s="64"/>
      <c r="AG23" s="64"/>
      <c r="AH23" s="64"/>
      <c r="AI23" s="64"/>
      <c r="AJ23" s="64"/>
    </row>
    <row r="24">
      <c r="A24" s="61">
        <v>44536.0</v>
      </c>
      <c r="B24" s="62" t="s">
        <v>2304</v>
      </c>
      <c r="C24" s="62" t="s">
        <v>2403</v>
      </c>
      <c r="D24" s="62" t="s">
        <v>2210</v>
      </c>
      <c r="E24" s="62" t="s">
        <v>2404</v>
      </c>
      <c r="F24" s="62"/>
      <c r="G24" s="64"/>
      <c r="H24" s="62" t="s">
        <v>2405</v>
      </c>
      <c r="I24" s="64"/>
      <c r="J24" s="62">
        <v>7.727866129E9</v>
      </c>
      <c r="K24" s="62" t="s">
        <v>2406</v>
      </c>
      <c r="L24" s="64"/>
      <c r="M24" s="60"/>
      <c r="N24" s="59"/>
      <c r="O24" s="60"/>
      <c r="P24" s="60"/>
      <c r="Q24" s="64"/>
      <c r="R24" s="64"/>
      <c r="S24" s="64"/>
      <c r="T24" s="64"/>
      <c r="U24" s="64"/>
      <c r="V24" s="64"/>
      <c r="W24" s="64"/>
      <c r="X24" s="64"/>
      <c r="Y24" s="64"/>
      <c r="Z24" s="64"/>
      <c r="AA24" s="64"/>
      <c r="AB24" s="64"/>
      <c r="AC24" s="64"/>
      <c r="AD24" s="64"/>
      <c r="AE24" s="64"/>
      <c r="AF24" s="64"/>
      <c r="AG24" s="64"/>
      <c r="AH24" s="64"/>
      <c r="AI24" s="64"/>
      <c r="AJ24" s="64"/>
    </row>
    <row r="25">
      <c r="A25" s="61">
        <v>44536.0</v>
      </c>
      <c r="B25" s="62" t="s">
        <v>2304</v>
      </c>
      <c r="C25" s="62" t="s">
        <v>2407</v>
      </c>
      <c r="D25" s="64"/>
      <c r="E25" s="62" t="s">
        <v>2408</v>
      </c>
      <c r="F25" s="64"/>
      <c r="G25" s="64"/>
      <c r="H25" s="78" t="s">
        <v>2409</v>
      </c>
      <c r="I25" s="64"/>
      <c r="J25" s="62">
        <v>9.452702944E9</v>
      </c>
      <c r="K25" s="62" t="s">
        <v>2410</v>
      </c>
      <c r="L25" s="64"/>
      <c r="M25" s="60"/>
      <c r="N25" s="59"/>
      <c r="O25" s="60"/>
      <c r="P25" s="60"/>
      <c r="Q25" s="64"/>
      <c r="R25" s="64"/>
      <c r="S25" s="64"/>
      <c r="T25" s="64"/>
      <c r="U25" s="64"/>
      <c r="V25" s="64"/>
      <c r="W25" s="64"/>
      <c r="X25" s="64"/>
      <c r="Y25" s="64"/>
      <c r="Z25" s="64"/>
      <c r="AA25" s="64"/>
      <c r="AB25" s="64"/>
      <c r="AC25" s="64"/>
      <c r="AD25" s="64"/>
      <c r="AE25" s="64"/>
      <c r="AF25" s="64"/>
      <c r="AG25" s="64"/>
      <c r="AH25" s="64"/>
      <c r="AI25" s="64"/>
      <c r="AJ25" s="64"/>
    </row>
    <row r="26">
      <c r="A26" s="61">
        <v>44536.0</v>
      </c>
      <c r="B26" s="62" t="s">
        <v>2304</v>
      </c>
      <c r="C26" s="64"/>
      <c r="D26" s="64"/>
      <c r="E26" s="64"/>
      <c r="F26" s="62"/>
      <c r="G26" s="64"/>
      <c r="H26" s="62" t="s">
        <v>2411</v>
      </c>
      <c r="I26" s="64"/>
      <c r="J26" s="62">
        <v>9.622737605E9</v>
      </c>
      <c r="K26" s="62" t="s">
        <v>2412</v>
      </c>
      <c r="L26" s="64"/>
      <c r="M26" s="60"/>
      <c r="N26" s="59"/>
      <c r="O26" s="60"/>
      <c r="P26" s="60"/>
      <c r="Q26" s="64"/>
      <c r="R26" s="64"/>
      <c r="S26" s="64"/>
      <c r="T26" s="64"/>
      <c r="U26" s="64"/>
      <c r="V26" s="64"/>
      <c r="W26" s="64"/>
      <c r="X26" s="64"/>
      <c r="Y26" s="64"/>
      <c r="Z26" s="64"/>
      <c r="AA26" s="64"/>
      <c r="AB26" s="64"/>
      <c r="AC26" s="64"/>
      <c r="AD26" s="64"/>
      <c r="AE26" s="64"/>
      <c r="AF26" s="64"/>
      <c r="AG26" s="64"/>
      <c r="AH26" s="64"/>
      <c r="AI26" s="64"/>
      <c r="AJ26" s="64"/>
    </row>
    <row r="27">
      <c r="A27" s="61">
        <v>44537.0</v>
      </c>
      <c r="B27" s="62" t="s">
        <v>2304</v>
      </c>
      <c r="C27" s="62" t="s">
        <v>2413</v>
      </c>
      <c r="D27" s="62" t="s">
        <v>2414</v>
      </c>
      <c r="E27" s="62" t="s">
        <v>2415</v>
      </c>
      <c r="F27" s="64"/>
      <c r="G27" s="64"/>
      <c r="H27" s="62" t="s">
        <v>2416</v>
      </c>
      <c r="I27" s="64"/>
      <c r="J27" s="62">
        <v>9.425334462E9</v>
      </c>
      <c r="K27" s="62" t="s">
        <v>2417</v>
      </c>
      <c r="L27" s="64"/>
      <c r="M27" s="60"/>
      <c r="N27" s="59"/>
      <c r="O27" s="60"/>
      <c r="P27" s="60"/>
      <c r="Q27" s="64"/>
      <c r="R27" s="64"/>
      <c r="S27" s="64"/>
      <c r="T27" s="64"/>
      <c r="U27" s="64"/>
      <c r="V27" s="64"/>
      <c r="W27" s="64"/>
      <c r="X27" s="64"/>
      <c r="Y27" s="64"/>
      <c r="Z27" s="64"/>
      <c r="AA27" s="64"/>
      <c r="AB27" s="64"/>
      <c r="AC27" s="64"/>
      <c r="AD27" s="64"/>
      <c r="AE27" s="64"/>
      <c r="AF27" s="64"/>
      <c r="AG27" s="64"/>
      <c r="AH27" s="64"/>
      <c r="AI27" s="64"/>
      <c r="AJ27" s="64"/>
    </row>
    <row r="28">
      <c r="A28" s="64"/>
      <c r="B28" s="62" t="s">
        <v>2304</v>
      </c>
      <c r="C28" s="62" t="s">
        <v>2418</v>
      </c>
      <c r="D28" s="62" t="s">
        <v>2419</v>
      </c>
      <c r="E28" s="62" t="s">
        <v>2420</v>
      </c>
      <c r="F28" s="64"/>
      <c r="G28" s="64"/>
      <c r="H28" s="62" t="s">
        <v>2421</v>
      </c>
      <c r="I28" s="64"/>
      <c r="J28" s="78">
        <v>6.388142543E9</v>
      </c>
      <c r="K28" s="62" t="s">
        <v>2422</v>
      </c>
      <c r="L28" s="64"/>
      <c r="M28" s="59"/>
      <c r="N28" s="59"/>
      <c r="O28" s="60"/>
      <c r="P28" s="60"/>
      <c r="Q28" s="64"/>
      <c r="R28" s="64"/>
      <c r="S28" s="64"/>
      <c r="T28" s="64"/>
      <c r="U28" s="64"/>
      <c r="V28" s="64"/>
      <c r="W28" s="64"/>
      <c r="X28" s="64"/>
      <c r="Y28" s="64"/>
      <c r="Z28" s="64"/>
      <c r="AA28" s="64"/>
      <c r="AB28" s="64"/>
      <c r="AC28" s="64"/>
      <c r="AD28" s="64"/>
      <c r="AE28" s="64"/>
      <c r="AF28" s="64"/>
      <c r="AG28" s="64"/>
      <c r="AH28" s="64"/>
      <c r="AI28" s="64"/>
      <c r="AJ28" s="64"/>
    </row>
    <row r="29">
      <c r="A29" s="61">
        <v>44543.0</v>
      </c>
      <c r="B29" s="62" t="s">
        <v>2304</v>
      </c>
      <c r="C29" s="62"/>
      <c r="D29" s="62"/>
      <c r="E29" s="72"/>
      <c r="F29" s="64"/>
      <c r="G29" s="64"/>
      <c r="H29" s="62" t="s">
        <v>2423</v>
      </c>
      <c r="I29" s="64"/>
      <c r="J29" s="62">
        <v>9.415046034E9</v>
      </c>
      <c r="K29" s="62" t="s">
        <v>2424</v>
      </c>
      <c r="L29" s="64"/>
      <c r="M29" s="60"/>
      <c r="N29" s="59"/>
      <c r="O29" s="60"/>
      <c r="P29" s="60"/>
      <c r="Q29" s="64"/>
      <c r="R29" s="64"/>
      <c r="S29" s="64"/>
      <c r="T29" s="64"/>
      <c r="U29" s="64"/>
      <c r="V29" s="64"/>
      <c r="W29" s="64"/>
      <c r="X29" s="64"/>
      <c r="Y29" s="64"/>
      <c r="Z29" s="64"/>
      <c r="AA29" s="64"/>
      <c r="AB29" s="64"/>
      <c r="AC29" s="64"/>
      <c r="AD29" s="64"/>
      <c r="AE29" s="64"/>
      <c r="AF29" s="64"/>
      <c r="AG29" s="64"/>
      <c r="AH29" s="64"/>
      <c r="AI29" s="64"/>
      <c r="AJ29" s="64"/>
    </row>
    <row r="30">
      <c r="A30" s="61">
        <v>44545.0</v>
      </c>
      <c r="B30" s="62" t="s">
        <v>2304</v>
      </c>
      <c r="C30" s="62" t="s">
        <v>2425</v>
      </c>
      <c r="D30" s="62" t="s">
        <v>2249</v>
      </c>
      <c r="E30" s="62" t="s">
        <v>2426</v>
      </c>
      <c r="F30" s="64"/>
      <c r="G30" s="64"/>
      <c r="H30" s="62" t="s">
        <v>2427</v>
      </c>
      <c r="I30" s="64"/>
      <c r="J30" s="79">
        <v>9.850633786E9</v>
      </c>
      <c r="K30" s="62" t="s">
        <v>2428</v>
      </c>
      <c r="L30" s="64"/>
      <c r="M30" s="60"/>
      <c r="N30" s="59"/>
      <c r="O30" s="60"/>
      <c r="P30" s="60"/>
      <c r="Q30" s="64"/>
      <c r="R30" s="64"/>
      <c r="S30" s="64"/>
      <c r="T30" s="64"/>
      <c r="U30" s="64"/>
      <c r="V30" s="64"/>
      <c r="W30" s="64"/>
      <c r="X30" s="64"/>
      <c r="Y30" s="64"/>
      <c r="Z30" s="64"/>
      <c r="AA30" s="64"/>
      <c r="AB30" s="64"/>
      <c r="AC30" s="64"/>
      <c r="AD30" s="64"/>
      <c r="AE30" s="64"/>
      <c r="AF30" s="64"/>
      <c r="AG30" s="64"/>
      <c r="AH30" s="64"/>
      <c r="AI30" s="64"/>
      <c r="AJ30" s="64"/>
    </row>
    <row r="31">
      <c r="A31" s="61">
        <v>44543.0</v>
      </c>
      <c r="B31" s="62" t="s">
        <v>2304</v>
      </c>
      <c r="C31" s="80" t="s">
        <v>2429</v>
      </c>
      <c r="D31" s="80" t="s">
        <v>2430</v>
      </c>
      <c r="E31" s="80" t="s">
        <v>2431</v>
      </c>
      <c r="F31" s="80" t="s">
        <v>2432</v>
      </c>
      <c r="G31" s="64"/>
      <c r="H31" s="62" t="s">
        <v>2433</v>
      </c>
      <c r="I31" s="64"/>
      <c r="J31" s="80">
        <v>7.902915715E9</v>
      </c>
      <c r="K31" s="62" t="s">
        <v>2434</v>
      </c>
      <c r="L31" s="81" t="s">
        <v>2435</v>
      </c>
      <c r="M31" s="60"/>
      <c r="N31" s="59"/>
      <c r="O31" s="60"/>
      <c r="P31" s="60"/>
      <c r="Q31" s="64"/>
      <c r="R31" s="64"/>
      <c r="S31" s="64"/>
      <c r="T31" s="64"/>
      <c r="U31" s="64"/>
      <c r="V31" s="64"/>
      <c r="W31" s="64"/>
      <c r="X31" s="64"/>
      <c r="Y31" s="64"/>
      <c r="Z31" s="64"/>
      <c r="AA31" s="64"/>
      <c r="AB31" s="64"/>
      <c r="AC31" s="64"/>
      <c r="AD31" s="64"/>
      <c r="AE31" s="64"/>
      <c r="AF31" s="64"/>
      <c r="AG31" s="64"/>
      <c r="AH31" s="64"/>
      <c r="AI31" s="64"/>
      <c r="AJ31" s="64"/>
    </row>
    <row r="32">
      <c r="A32" s="61">
        <v>44544.0</v>
      </c>
      <c r="B32" s="62" t="s">
        <v>2436</v>
      </c>
      <c r="C32" s="80" t="s">
        <v>2437</v>
      </c>
      <c r="D32" s="82" t="s">
        <v>2438</v>
      </c>
      <c r="E32" s="62"/>
      <c r="F32" s="64"/>
      <c r="G32" s="64"/>
      <c r="H32" s="80" t="s">
        <v>2439</v>
      </c>
      <c r="I32" s="64"/>
      <c r="J32" s="62">
        <v>9.797074767E9</v>
      </c>
      <c r="K32" s="62" t="s">
        <v>2440</v>
      </c>
      <c r="L32" s="64"/>
      <c r="M32" s="60"/>
      <c r="N32" s="59"/>
      <c r="O32" s="60"/>
      <c r="P32" s="60"/>
      <c r="Q32" s="64"/>
      <c r="R32" s="64"/>
      <c r="S32" s="64"/>
      <c r="T32" s="64"/>
      <c r="U32" s="64"/>
      <c r="V32" s="64"/>
      <c r="W32" s="64"/>
      <c r="X32" s="64"/>
      <c r="Y32" s="64"/>
      <c r="Z32" s="64"/>
      <c r="AA32" s="64"/>
      <c r="AB32" s="64"/>
      <c r="AC32" s="64"/>
      <c r="AD32" s="64"/>
      <c r="AE32" s="64"/>
      <c r="AF32" s="64"/>
      <c r="AG32" s="64"/>
      <c r="AH32" s="64"/>
      <c r="AI32" s="64"/>
      <c r="AJ32" s="64"/>
    </row>
    <row r="33">
      <c r="A33" s="61">
        <v>44546.0</v>
      </c>
      <c r="B33" s="62" t="s">
        <v>2304</v>
      </c>
      <c r="C33" s="72"/>
      <c r="D33" s="72"/>
      <c r="E33" s="83"/>
      <c r="F33" s="83"/>
      <c r="G33" s="83"/>
      <c r="H33" s="84" t="s">
        <v>2441</v>
      </c>
      <c r="I33" s="60"/>
      <c r="J33" s="84">
        <v>9.906777781E9</v>
      </c>
      <c r="K33" s="59" t="s">
        <v>2442</v>
      </c>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row>
    <row r="34">
      <c r="A34" s="61">
        <v>44547.0</v>
      </c>
      <c r="B34" s="62" t="s">
        <v>2304</v>
      </c>
      <c r="C34" s="62" t="s">
        <v>2443</v>
      </c>
      <c r="D34" s="62" t="s">
        <v>2419</v>
      </c>
      <c r="E34" s="62" t="s">
        <v>2444</v>
      </c>
      <c r="F34" s="64"/>
      <c r="G34" s="64"/>
      <c r="H34" s="62" t="s">
        <v>2445</v>
      </c>
      <c r="I34" s="64"/>
      <c r="J34" s="85">
        <v>9.56576909E9</v>
      </c>
      <c r="K34" s="62" t="s">
        <v>2446</v>
      </c>
      <c r="L34" s="62" t="s">
        <v>2447</v>
      </c>
      <c r="M34" s="60"/>
      <c r="N34" s="59"/>
      <c r="O34" s="60"/>
      <c r="P34" s="60"/>
      <c r="Q34" s="64"/>
      <c r="R34" s="64"/>
      <c r="S34" s="64"/>
      <c r="T34" s="64"/>
      <c r="U34" s="64"/>
      <c r="V34" s="64"/>
      <c r="W34" s="64"/>
      <c r="X34" s="64"/>
      <c r="Y34" s="64"/>
      <c r="Z34" s="64"/>
      <c r="AA34" s="64"/>
      <c r="AB34" s="64"/>
      <c r="AC34" s="64"/>
      <c r="AD34" s="64"/>
      <c r="AE34" s="64"/>
      <c r="AF34" s="64"/>
      <c r="AG34" s="64"/>
      <c r="AH34" s="64"/>
      <c r="AI34" s="64"/>
      <c r="AJ34" s="64"/>
    </row>
    <row r="35">
      <c r="A35" s="61">
        <v>44548.0</v>
      </c>
      <c r="B35" s="62" t="s">
        <v>2304</v>
      </c>
      <c r="C35" s="62" t="s">
        <v>2448</v>
      </c>
      <c r="D35" s="62" t="s">
        <v>2449</v>
      </c>
      <c r="E35" s="62" t="s">
        <v>2450</v>
      </c>
      <c r="F35" s="64"/>
      <c r="G35" s="64"/>
      <c r="H35" s="80" t="s">
        <v>2451</v>
      </c>
      <c r="I35" s="64"/>
      <c r="J35" s="86">
        <v>7.702578738E9</v>
      </c>
      <c r="K35" s="62" t="s">
        <v>2452</v>
      </c>
      <c r="L35" s="64"/>
      <c r="M35" s="60"/>
      <c r="N35" s="59"/>
      <c r="O35" s="60"/>
      <c r="P35" s="60"/>
      <c r="Q35" s="64"/>
      <c r="R35" s="64"/>
      <c r="S35" s="64"/>
      <c r="T35" s="64"/>
      <c r="U35" s="64"/>
      <c r="V35" s="64"/>
      <c r="W35" s="64"/>
      <c r="X35" s="64"/>
      <c r="Y35" s="64"/>
      <c r="Z35" s="64"/>
      <c r="AA35" s="64"/>
      <c r="AB35" s="64"/>
      <c r="AC35" s="64"/>
      <c r="AD35" s="64"/>
      <c r="AE35" s="64"/>
      <c r="AF35" s="64"/>
      <c r="AG35" s="64"/>
      <c r="AH35" s="64"/>
      <c r="AI35" s="64"/>
      <c r="AJ35" s="64"/>
    </row>
    <row r="36">
      <c r="A36" s="61">
        <v>44548.0</v>
      </c>
      <c r="B36" s="62" t="s">
        <v>2304</v>
      </c>
      <c r="C36" s="72"/>
      <c r="D36" s="72"/>
      <c r="E36" s="83"/>
      <c r="F36" s="83"/>
      <c r="G36" s="83"/>
      <c r="H36" s="84" t="s">
        <v>2453</v>
      </c>
      <c r="I36" s="60"/>
      <c r="J36" s="84">
        <v>9.494469274E9</v>
      </c>
      <c r="K36" s="59" t="s">
        <v>2454</v>
      </c>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row>
    <row r="37">
      <c r="A37" s="70">
        <v>44550.0</v>
      </c>
      <c r="B37" s="59" t="s">
        <v>2304</v>
      </c>
      <c r="C37" s="87" t="s">
        <v>2455</v>
      </c>
      <c r="D37" s="87" t="s">
        <v>2456</v>
      </c>
      <c r="E37" s="60"/>
      <c r="F37" s="60"/>
      <c r="G37" s="60"/>
      <c r="H37" s="88" t="s">
        <v>2457</v>
      </c>
      <c r="I37" s="60"/>
      <c r="J37" s="88">
        <v>9.751999353E9</v>
      </c>
      <c r="K37" s="59" t="s">
        <v>2458</v>
      </c>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row>
    <row r="38">
      <c r="A38" s="61">
        <v>44552.0</v>
      </c>
      <c r="B38" s="62" t="s">
        <v>2304</v>
      </c>
      <c r="C38" s="80" t="s">
        <v>2459</v>
      </c>
      <c r="D38" s="80" t="s">
        <v>2384</v>
      </c>
      <c r="E38" s="83"/>
      <c r="F38" s="83"/>
      <c r="G38" s="83"/>
      <c r="H38" s="84" t="s">
        <v>2460</v>
      </c>
      <c r="I38" s="62" t="s">
        <v>2461</v>
      </c>
      <c r="J38" s="84">
        <v>9.419189485E9</v>
      </c>
      <c r="K38" s="62" t="s">
        <v>2462</v>
      </c>
      <c r="L38" s="62" t="s">
        <v>2318</v>
      </c>
      <c r="M38" s="59"/>
      <c r="N38" s="59"/>
      <c r="O38" s="60"/>
      <c r="P38" s="60"/>
      <c r="Q38" s="64"/>
      <c r="R38" s="64"/>
      <c r="S38" s="64"/>
      <c r="T38" s="64"/>
      <c r="U38" s="64"/>
      <c r="V38" s="64"/>
      <c r="W38" s="64"/>
      <c r="X38" s="64"/>
      <c r="Y38" s="64"/>
      <c r="Z38" s="64"/>
      <c r="AA38" s="64"/>
      <c r="AB38" s="64"/>
      <c r="AC38" s="64"/>
      <c r="AD38" s="64"/>
      <c r="AE38" s="64"/>
      <c r="AF38" s="64"/>
      <c r="AG38" s="64"/>
      <c r="AH38" s="64"/>
      <c r="AI38" s="64"/>
      <c r="AJ38" s="64"/>
    </row>
    <row r="39">
      <c r="A39" s="61">
        <v>44552.0</v>
      </c>
      <c r="B39" s="62" t="s">
        <v>2304</v>
      </c>
      <c r="C39" s="83" t="s">
        <v>2463</v>
      </c>
      <c r="D39" s="80" t="s">
        <v>2249</v>
      </c>
      <c r="E39" s="89" t="s">
        <v>2464</v>
      </c>
      <c r="F39" s="83" t="s">
        <v>2463</v>
      </c>
      <c r="G39" s="83"/>
      <c r="H39" s="84" t="s">
        <v>2465</v>
      </c>
      <c r="I39" s="62" t="s">
        <v>2466</v>
      </c>
      <c r="J39" s="84">
        <v>8.624991387E9</v>
      </c>
      <c r="K39" s="62" t="s">
        <v>2467</v>
      </c>
      <c r="L39" s="62" t="s">
        <v>2318</v>
      </c>
      <c r="M39" s="59"/>
      <c r="N39" s="59"/>
      <c r="O39" s="60"/>
      <c r="P39" s="60"/>
      <c r="Q39" s="64"/>
      <c r="R39" s="64"/>
      <c r="S39" s="64"/>
      <c r="T39" s="64"/>
      <c r="U39" s="64"/>
      <c r="V39" s="64"/>
      <c r="W39" s="64"/>
      <c r="X39" s="64"/>
      <c r="Y39" s="64"/>
      <c r="Z39" s="64"/>
      <c r="AA39" s="64"/>
      <c r="AB39" s="64"/>
      <c r="AC39" s="64"/>
      <c r="AD39" s="64"/>
      <c r="AE39" s="64"/>
      <c r="AF39" s="64"/>
      <c r="AG39" s="64"/>
      <c r="AH39" s="64"/>
      <c r="AI39" s="64"/>
      <c r="AJ39" s="64"/>
    </row>
    <row r="40">
      <c r="A40" s="64"/>
      <c r="B40" s="62" t="s">
        <v>2304</v>
      </c>
      <c r="C40" s="62" t="s">
        <v>2468</v>
      </c>
      <c r="D40" s="62" t="s">
        <v>2419</v>
      </c>
      <c r="E40" s="72"/>
      <c r="F40" s="64"/>
      <c r="G40" s="64"/>
      <c r="H40" s="86" t="s">
        <v>2469</v>
      </c>
      <c r="I40" s="64"/>
      <c r="J40" s="80">
        <v>6.38728568E9</v>
      </c>
      <c r="K40" s="62" t="s">
        <v>2470</v>
      </c>
      <c r="L40" s="64"/>
      <c r="M40" s="59"/>
      <c r="N40" s="59"/>
      <c r="O40" s="60"/>
      <c r="P40" s="60"/>
      <c r="Q40" s="64"/>
      <c r="R40" s="64"/>
      <c r="S40" s="64"/>
      <c r="T40" s="64"/>
      <c r="U40" s="64"/>
      <c r="V40" s="64"/>
      <c r="W40" s="64"/>
      <c r="X40" s="64"/>
      <c r="Y40" s="64"/>
      <c r="Z40" s="64"/>
      <c r="AA40" s="64"/>
      <c r="AB40" s="64"/>
      <c r="AC40" s="64"/>
      <c r="AD40" s="64"/>
      <c r="AE40" s="64"/>
      <c r="AF40" s="64"/>
      <c r="AG40" s="64"/>
      <c r="AH40" s="64"/>
      <c r="AI40" s="64"/>
      <c r="AJ40" s="64"/>
    </row>
    <row r="41">
      <c r="A41" s="61">
        <v>44553.0</v>
      </c>
      <c r="B41" s="62" t="s">
        <v>2304</v>
      </c>
      <c r="C41" s="72"/>
      <c r="D41" s="72"/>
      <c r="E41" s="83"/>
      <c r="F41" s="84"/>
      <c r="G41" s="83"/>
      <c r="H41" s="84" t="s">
        <v>2471</v>
      </c>
      <c r="I41" s="64"/>
      <c r="J41" s="84">
        <v>9.729138952E9</v>
      </c>
      <c r="K41" s="62" t="s">
        <v>2472</v>
      </c>
      <c r="L41" s="64"/>
      <c r="M41" s="60"/>
      <c r="N41" s="60"/>
      <c r="O41" s="60"/>
      <c r="P41" s="60"/>
      <c r="Q41" s="64"/>
      <c r="R41" s="64"/>
      <c r="S41" s="64"/>
      <c r="T41" s="64"/>
      <c r="U41" s="64"/>
      <c r="V41" s="64"/>
      <c r="W41" s="64"/>
      <c r="X41" s="64"/>
      <c r="Y41" s="64"/>
      <c r="Z41" s="64"/>
      <c r="AA41" s="64"/>
      <c r="AB41" s="64"/>
      <c r="AC41" s="64"/>
      <c r="AD41" s="64"/>
      <c r="AE41" s="64"/>
      <c r="AF41" s="64"/>
      <c r="AG41" s="64"/>
      <c r="AH41" s="64"/>
      <c r="AI41" s="64"/>
      <c r="AJ41" s="64"/>
    </row>
    <row r="42">
      <c r="A42" s="61">
        <v>44554.0</v>
      </c>
      <c r="B42" s="62" t="s">
        <v>2304</v>
      </c>
      <c r="C42" s="72"/>
      <c r="D42" s="84" t="s">
        <v>2473</v>
      </c>
      <c r="E42" s="83"/>
      <c r="F42" s="72"/>
      <c r="G42" s="83"/>
      <c r="H42" s="84" t="s">
        <v>2474</v>
      </c>
      <c r="I42" s="64"/>
      <c r="J42" s="84" t="s">
        <v>2475</v>
      </c>
      <c r="K42" s="62" t="s">
        <v>2476</v>
      </c>
      <c r="L42" s="64"/>
      <c r="M42" s="60"/>
      <c r="N42" s="60"/>
      <c r="O42" s="60"/>
      <c r="P42" s="60"/>
      <c r="Q42" s="64"/>
      <c r="R42" s="64"/>
      <c r="S42" s="64"/>
      <c r="T42" s="64"/>
      <c r="U42" s="64"/>
      <c r="V42" s="64"/>
      <c r="W42" s="64"/>
      <c r="X42" s="64"/>
      <c r="Y42" s="64"/>
      <c r="Z42" s="64"/>
      <c r="AA42" s="64"/>
      <c r="AB42" s="64"/>
      <c r="AC42" s="64"/>
      <c r="AD42" s="64"/>
      <c r="AE42" s="64"/>
      <c r="AF42" s="64"/>
      <c r="AG42" s="64"/>
      <c r="AH42" s="64"/>
      <c r="AI42" s="64"/>
      <c r="AJ42" s="64"/>
    </row>
    <row r="43">
      <c r="A43" s="61">
        <v>44554.0</v>
      </c>
      <c r="B43" s="62" t="s">
        <v>2304</v>
      </c>
      <c r="C43" s="72"/>
      <c r="D43" s="72"/>
      <c r="E43" s="83"/>
      <c r="F43" s="84"/>
      <c r="G43" s="72"/>
      <c r="H43" s="84" t="s">
        <v>2477</v>
      </c>
      <c r="I43" s="64"/>
      <c r="J43" s="84">
        <v>9.436120646E9</v>
      </c>
      <c r="K43" s="83" t="s">
        <v>2478</v>
      </c>
      <c r="L43" s="64"/>
      <c r="M43" s="60"/>
      <c r="N43" s="60"/>
      <c r="O43" s="60"/>
      <c r="P43" s="60"/>
      <c r="Q43" s="64"/>
      <c r="R43" s="64"/>
      <c r="S43" s="64"/>
      <c r="T43" s="64"/>
      <c r="U43" s="64"/>
      <c r="V43" s="64"/>
      <c r="W43" s="64"/>
      <c r="X43" s="64"/>
      <c r="Y43" s="64"/>
      <c r="Z43" s="64"/>
      <c r="AA43" s="64"/>
      <c r="AB43" s="64"/>
      <c r="AC43" s="64"/>
      <c r="AD43" s="64"/>
      <c r="AE43" s="64"/>
      <c r="AF43" s="64"/>
      <c r="AG43" s="64"/>
      <c r="AH43" s="64"/>
      <c r="AI43" s="64"/>
      <c r="AJ43" s="64"/>
    </row>
    <row r="44">
      <c r="A44" s="61">
        <v>44557.0</v>
      </c>
      <c r="B44" s="62" t="s">
        <v>2304</v>
      </c>
      <c r="C44" s="86" t="s">
        <v>2479</v>
      </c>
      <c r="D44" s="80" t="s">
        <v>2480</v>
      </c>
      <c r="E44" s="83" t="s">
        <v>2481</v>
      </c>
      <c r="F44" s="89" t="s">
        <v>2482</v>
      </c>
      <c r="G44" s="83"/>
      <c r="H44" s="83" t="s">
        <v>2483</v>
      </c>
      <c r="I44" s="64"/>
      <c r="J44" s="90">
        <v>7.005439807E9</v>
      </c>
      <c r="K44" s="62" t="s">
        <v>2484</v>
      </c>
      <c r="L44" s="64"/>
      <c r="M44" s="60"/>
      <c r="N44" s="60"/>
      <c r="O44" s="60"/>
      <c r="P44" s="60"/>
      <c r="Q44" s="64"/>
      <c r="R44" s="64"/>
      <c r="S44" s="64"/>
      <c r="T44" s="64"/>
      <c r="U44" s="64"/>
      <c r="V44" s="64"/>
      <c r="W44" s="64"/>
      <c r="X44" s="64"/>
      <c r="Y44" s="64"/>
      <c r="Z44" s="64"/>
      <c r="AA44" s="64"/>
      <c r="AB44" s="64"/>
      <c r="AC44" s="64"/>
      <c r="AD44" s="64"/>
      <c r="AE44" s="64"/>
      <c r="AF44" s="64"/>
      <c r="AG44" s="64"/>
      <c r="AH44" s="64"/>
      <c r="AI44" s="64"/>
      <c r="AJ44" s="64"/>
    </row>
    <row r="45">
      <c r="A45" s="61">
        <v>44559.0</v>
      </c>
      <c r="B45" s="79" t="s">
        <v>2436</v>
      </c>
      <c r="C45" s="83" t="s">
        <v>2485</v>
      </c>
      <c r="D45" s="62" t="s">
        <v>2414</v>
      </c>
      <c r="E45" s="83" t="s">
        <v>2486</v>
      </c>
      <c r="F45" s="83" t="s">
        <v>2485</v>
      </c>
      <c r="G45" s="64"/>
      <c r="H45" s="91" t="s">
        <v>2487</v>
      </c>
      <c r="I45" s="64"/>
      <c r="J45" s="92">
        <v>9.754111334E9</v>
      </c>
      <c r="K45" s="62" t="s">
        <v>2488</v>
      </c>
      <c r="L45" s="64"/>
      <c r="M45" s="60"/>
      <c r="N45" s="60"/>
      <c r="O45" s="60"/>
      <c r="P45" s="60"/>
      <c r="Q45" s="64"/>
      <c r="R45" s="64"/>
      <c r="S45" s="64"/>
      <c r="T45" s="64"/>
      <c r="U45" s="64"/>
      <c r="V45" s="64"/>
      <c r="W45" s="64"/>
      <c r="X45" s="64"/>
      <c r="Y45" s="64"/>
      <c r="Z45" s="64"/>
      <c r="AA45" s="64"/>
      <c r="AB45" s="64"/>
      <c r="AC45" s="64"/>
      <c r="AD45" s="64"/>
      <c r="AE45" s="64"/>
      <c r="AF45" s="64"/>
      <c r="AG45" s="64"/>
      <c r="AH45" s="64"/>
      <c r="AI45" s="64"/>
      <c r="AJ45" s="64"/>
    </row>
    <row r="46">
      <c r="A46" s="61">
        <v>44559.0</v>
      </c>
      <c r="B46" s="62" t="s">
        <v>2304</v>
      </c>
      <c r="C46" s="89" t="s">
        <v>2489</v>
      </c>
      <c r="D46" s="80" t="s">
        <v>2490</v>
      </c>
      <c r="E46" s="83" t="s">
        <v>2491</v>
      </c>
      <c r="F46" s="72"/>
      <c r="G46" s="83"/>
      <c r="H46" s="84" t="s">
        <v>2492</v>
      </c>
      <c r="I46" s="64"/>
      <c r="J46" s="84">
        <v>7.009517774E9</v>
      </c>
      <c r="K46" s="62" t="s">
        <v>2493</v>
      </c>
      <c r="L46" s="64"/>
      <c r="M46" s="60"/>
      <c r="N46" s="60"/>
      <c r="O46" s="60"/>
      <c r="P46" s="60"/>
      <c r="Q46" s="64"/>
      <c r="R46" s="64"/>
      <c r="S46" s="64"/>
      <c r="T46" s="64"/>
      <c r="U46" s="64"/>
      <c r="V46" s="64"/>
      <c r="W46" s="64"/>
      <c r="X46" s="64"/>
      <c r="Y46" s="64"/>
      <c r="Z46" s="64"/>
      <c r="AA46" s="64"/>
      <c r="AB46" s="64"/>
      <c r="AC46" s="64"/>
      <c r="AD46" s="64"/>
      <c r="AE46" s="64"/>
      <c r="AF46" s="64"/>
      <c r="AG46" s="64"/>
      <c r="AH46" s="64"/>
      <c r="AI46" s="64"/>
      <c r="AJ46" s="64"/>
    </row>
    <row r="47">
      <c r="A47" s="61">
        <v>44559.0</v>
      </c>
      <c r="B47" s="62" t="s">
        <v>2304</v>
      </c>
      <c r="C47" s="80" t="s">
        <v>2494</v>
      </c>
      <c r="D47" s="80" t="s">
        <v>2495</v>
      </c>
      <c r="E47" s="89" t="s">
        <v>2496</v>
      </c>
      <c r="F47" s="89" t="s">
        <v>2496</v>
      </c>
      <c r="G47" s="89" t="s">
        <v>2496</v>
      </c>
      <c r="H47" s="84" t="s">
        <v>2497</v>
      </c>
      <c r="I47" s="64"/>
      <c r="J47" s="84">
        <v>9.350110288E9</v>
      </c>
      <c r="K47" s="62" t="s">
        <v>2498</v>
      </c>
      <c r="L47" s="64"/>
      <c r="M47" s="60"/>
      <c r="N47" s="60"/>
      <c r="O47" s="60"/>
      <c r="P47" s="60"/>
      <c r="Q47" s="64"/>
      <c r="R47" s="64"/>
      <c r="S47" s="64"/>
      <c r="T47" s="64"/>
      <c r="U47" s="64"/>
      <c r="V47" s="64"/>
      <c r="W47" s="64"/>
      <c r="X47" s="64"/>
      <c r="Y47" s="64"/>
      <c r="Z47" s="64"/>
      <c r="AA47" s="64"/>
      <c r="AB47" s="64"/>
      <c r="AC47" s="64"/>
      <c r="AD47" s="64"/>
      <c r="AE47" s="64"/>
      <c r="AF47" s="64"/>
      <c r="AG47" s="64"/>
      <c r="AH47" s="64"/>
      <c r="AI47" s="64"/>
      <c r="AJ47" s="64"/>
    </row>
    <row r="48">
      <c r="A48" s="61">
        <v>44559.0</v>
      </c>
      <c r="B48" s="62" t="s">
        <v>2304</v>
      </c>
      <c r="C48" s="89" t="s">
        <v>2499</v>
      </c>
      <c r="D48" s="80" t="s">
        <v>2249</v>
      </c>
      <c r="E48" s="89" t="s">
        <v>2496</v>
      </c>
      <c r="F48" s="72"/>
      <c r="G48" s="83" t="s">
        <v>2500</v>
      </c>
      <c r="H48" s="84" t="s">
        <v>2501</v>
      </c>
      <c r="I48" s="64"/>
      <c r="J48" s="84">
        <v>9.860661568E9</v>
      </c>
      <c r="K48" s="62" t="s">
        <v>2500</v>
      </c>
      <c r="L48" s="64"/>
      <c r="M48" s="59"/>
      <c r="N48" s="60"/>
      <c r="O48" s="60"/>
      <c r="P48" s="60"/>
      <c r="Q48" s="64"/>
      <c r="R48" s="64"/>
      <c r="S48" s="64"/>
      <c r="T48" s="64"/>
      <c r="U48" s="64"/>
      <c r="V48" s="64"/>
      <c r="W48" s="64"/>
      <c r="X48" s="64"/>
      <c r="Y48" s="64"/>
      <c r="Z48" s="64"/>
      <c r="AA48" s="64"/>
      <c r="AB48" s="64"/>
      <c r="AC48" s="64"/>
      <c r="AD48" s="64"/>
      <c r="AE48" s="64"/>
      <c r="AF48" s="64"/>
      <c r="AG48" s="64"/>
      <c r="AH48" s="64"/>
      <c r="AI48" s="64"/>
      <c r="AJ48" s="64"/>
    </row>
    <row r="49">
      <c r="A49" s="61">
        <v>44560.0</v>
      </c>
      <c r="B49" s="62" t="s">
        <v>2304</v>
      </c>
      <c r="C49" s="62" t="s">
        <v>2502</v>
      </c>
      <c r="D49" s="62" t="s">
        <v>2202</v>
      </c>
      <c r="E49" s="83" t="s">
        <v>2503</v>
      </c>
      <c r="F49" s="83" t="s">
        <v>2504</v>
      </c>
      <c r="G49" s="64"/>
      <c r="H49" s="91" t="s">
        <v>2505</v>
      </c>
      <c r="I49" s="64"/>
      <c r="J49" s="62">
        <v>7.012202539E9</v>
      </c>
      <c r="K49" s="62" t="s">
        <v>2506</v>
      </c>
      <c r="L49" s="64"/>
      <c r="M49" s="59"/>
      <c r="N49" s="60"/>
      <c r="O49" s="60"/>
      <c r="P49" s="60"/>
      <c r="Q49" s="64"/>
      <c r="R49" s="64"/>
      <c r="S49" s="64"/>
      <c r="T49" s="64"/>
      <c r="U49" s="64"/>
      <c r="V49" s="64"/>
      <c r="W49" s="64"/>
      <c r="X49" s="64"/>
      <c r="Y49" s="64"/>
      <c r="Z49" s="64"/>
      <c r="AA49" s="64"/>
      <c r="AB49" s="64"/>
      <c r="AC49" s="64"/>
      <c r="AD49" s="64"/>
      <c r="AE49" s="64"/>
      <c r="AF49" s="64"/>
      <c r="AG49" s="64"/>
      <c r="AH49" s="64"/>
      <c r="AI49" s="64"/>
      <c r="AJ49" s="64"/>
    </row>
    <row r="50">
      <c r="A50" s="61">
        <v>44560.0</v>
      </c>
      <c r="B50" s="62" t="s">
        <v>2304</v>
      </c>
      <c r="C50" s="83" t="s">
        <v>2507</v>
      </c>
      <c r="D50" s="59" t="s">
        <v>2508</v>
      </c>
      <c r="E50" s="84" t="s">
        <v>2509</v>
      </c>
      <c r="F50" s="83" t="s">
        <v>2507</v>
      </c>
      <c r="G50" s="60"/>
      <c r="H50" s="84" t="s">
        <v>2510</v>
      </c>
      <c r="I50" s="59"/>
      <c r="J50" s="84">
        <v>9.932519877E9</v>
      </c>
      <c r="K50" s="59" t="s">
        <v>2511</v>
      </c>
      <c r="L50" s="60"/>
      <c r="M50" s="60"/>
      <c r="N50" s="59"/>
      <c r="O50" s="60"/>
      <c r="P50" s="60"/>
      <c r="Q50" s="60"/>
      <c r="R50" s="60"/>
      <c r="S50" s="60"/>
      <c r="T50" s="60"/>
      <c r="U50" s="60"/>
      <c r="V50" s="60"/>
      <c r="W50" s="60"/>
      <c r="X50" s="60"/>
      <c r="Y50" s="60"/>
      <c r="Z50" s="60"/>
      <c r="AA50" s="60"/>
      <c r="AB50" s="60"/>
      <c r="AC50" s="60"/>
      <c r="AD50" s="60"/>
      <c r="AE50" s="60"/>
      <c r="AF50" s="60"/>
      <c r="AG50" s="60"/>
      <c r="AH50" s="60"/>
      <c r="AI50" s="60"/>
      <c r="AJ50" s="60"/>
    </row>
    <row r="51">
      <c r="A51" s="76" t="s">
        <v>2512</v>
      </c>
      <c r="B51" s="76"/>
      <c r="C51" s="76"/>
      <c r="D51" s="76"/>
      <c r="E51" s="93"/>
      <c r="F51" s="76"/>
      <c r="G51" s="77"/>
      <c r="H51" s="76"/>
      <c r="I51" s="76"/>
      <c r="J51" s="94"/>
      <c r="K51" s="76"/>
      <c r="L51" s="77"/>
      <c r="M51" s="60"/>
      <c r="N51" s="60"/>
      <c r="O51" s="60"/>
      <c r="P51" s="60"/>
      <c r="Q51" s="77"/>
      <c r="R51" s="77"/>
      <c r="S51" s="77"/>
      <c r="T51" s="77"/>
      <c r="U51" s="77"/>
      <c r="V51" s="77"/>
      <c r="W51" s="77"/>
      <c r="X51" s="77"/>
      <c r="Y51" s="77"/>
      <c r="Z51" s="77"/>
      <c r="AA51" s="77"/>
      <c r="AB51" s="77"/>
      <c r="AC51" s="77"/>
      <c r="AD51" s="77"/>
      <c r="AE51" s="77"/>
      <c r="AF51" s="77"/>
      <c r="AG51" s="77"/>
      <c r="AH51" s="77"/>
      <c r="AI51" s="77"/>
      <c r="AJ51" s="77"/>
    </row>
    <row r="52">
      <c r="A52" s="61">
        <v>44564.0</v>
      </c>
      <c r="B52" s="62" t="s">
        <v>2304</v>
      </c>
      <c r="C52" s="89" t="s">
        <v>2513</v>
      </c>
      <c r="D52" s="86" t="s">
        <v>2249</v>
      </c>
      <c r="E52" s="84" t="s">
        <v>2514</v>
      </c>
      <c r="F52" s="84" t="s">
        <v>2515</v>
      </c>
      <c r="G52" s="83"/>
      <c r="H52" s="84" t="s">
        <v>2516</v>
      </c>
      <c r="I52" s="95"/>
      <c r="J52" s="84">
        <v>9.59595889E9</v>
      </c>
      <c r="K52" s="96" t="s">
        <v>2517</v>
      </c>
      <c r="L52" s="97" t="s">
        <v>2518</v>
      </c>
      <c r="M52" s="98"/>
      <c r="N52" s="98"/>
      <c r="O52" s="98"/>
      <c r="P52" s="98"/>
      <c r="Q52" s="99"/>
      <c r="R52" s="99"/>
      <c r="S52" s="99"/>
      <c r="T52" s="99"/>
      <c r="U52" s="99"/>
      <c r="V52" s="99"/>
      <c r="W52" s="99"/>
      <c r="X52" s="99"/>
      <c r="Y52" s="99"/>
      <c r="Z52" s="99"/>
      <c r="AA52" s="60"/>
      <c r="AB52" s="60"/>
      <c r="AC52" s="60"/>
      <c r="AD52" s="60"/>
      <c r="AE52" s="60"/>
      <c r="AF52" s="60"/>
      <c r="AG52" s="60"/>
      <c r="AH52" s="60"/>
      <c r="AI52" s="60"/>
      <c r="AJ52" s="60"/>
    </row>
    <row r="53">
      <c r="A53" s="61">
        <v>44564.0</v>
      </c>
      <c r="B53" s="62" t="s">
        <v>2519</v>
      </c>
      <c r="C53" s="100" t="s">
        <v>2520</v>
      </c>
      <c r="D53" s="86" t="s">
        <v>2249</v>
      </c>
      <c r="E53" s="100" t="s">
        <v>2374</v>
      </c>
      <c r="F53" s="100" t="s">
        <v>2520</v>
      </c>
      <c r="G53" s="101"/>
      <c r="H53" s="100" t="s">
        <v>2521</v>
      </c>
      <c r="I53" s="100" t="s">
        <v>2522</v>
      </c>
      <c r="J53" s="86">
        <v>9.821711459E9</v>
      </c>
      <c r="K53" s="102" t="s">
        <v>2523</v>
      </c>
      <c r="L53" s="72"/>
      <c r="M53" s="101"/>
      <c r="N53" s="101"/>
      <c r="O53" s="101"/>
      <c r="P53" s="101"/>
      <c r="Q53" s="101" t="s">
        <v>2523</v>
      </c>
      <c r="R53" s="101"/>
      <c r="S53" s="101"/>
      <c r="T53" s="101"/>
      <c r="U53" s="101"/>
      <c r="V53" s="101"/>
      <c r="W53" s="101"/>
      <c r="X53" s="101"/>
      <c r="Y53" s="101"/>
      <c r="Z53" s="101"/>
      <c r="AA53" s="101"/>
      <c r="AB53" s="101"/>
      <c r="AC53" s="64"/>
      <c r="AD53" s="64"/>
      <c r="AE53" s="64"/>
      <c r="AF53" s="64"/>
      <c r="AG53" s="64"/>
      <c r="AH53" s="64"/>
      <c r="AI53" s="64"/>
      <c r="AJ53" s="64"/>
    </row>
    <row r="54">
      <c r="A54" s="61">
        <v>44565.0</v>
      </c>
      <c r="B54" s="62" t="s">
        <v>2519</v>
      </c>
      <c r="C54" s="62" t="s">
        <v>2524</v>
      </c>
      <c r="D54" s="62" t="s">
        <v>2430</v>
      </c>
      <c r="E54" s="100" t="s">
        <v>2525</v>
      </c>
      <c r="F54" s="62" t="s">
        <v>2524</v>
      </c>
      <c r="G54" s="64"/>
      <c r="H54" s="62" t="s">
        <v>2526</v>
      </c>
      <c r="I54" s="62" t="s">
        <v>2527</v>
      </c>
      <c r="J54" s="103">
        <v>6.362921319E9</v>
      </c>
      <c r="K54" s="62" t="s">
        <v>2528</v>
      </c>
      <c r="L54" s="59" t="s">
        <v>2529</v>
      </c>
      <c r="M54" s="60"/>
      <c r="N54" s="60"/>
      <c r="O54" s="60"/>
      <c r="P54" s="60"/>
      <c r="Q54" s="64"/>
      <c r="R54" s="64"/>
      <c r="S54" s="64"/>
      <c r="T54" s="64"/>
      <c r="U54" s="64"/>
      <c r="V54" s="64"/>
      <c r="W54" s="64"/>
      <c r="X54" s="64"/>
      <c r="Y54" s="64"/>
      <c r="Z54" s="64"/>
      <c r="AA54" s="64"/>
      <c r="AB54" s="64"/>
      <c r="AC54" s="64"/>
      <c r="AD54" s="64"/>
      <c r="AE54" s="64"/>
      <c r="AF54" s="64"/>
      <c r="AG54" s="64"/>
      <c r="AH54" s="64"/>
      <c r="AI54" s="64"/>
      <c r="AJ54" s="64"/>
    </row>
    <row r="55">
      <c r="A55" s="61">
        <v>44565.0</v>
      </c>
      <c r="B55" s="62" t="s">
        <v>2304</v>
      </c>
      <c r="C55" s="89" t="s">
        <v>2530</v>
      </c>
      <c r="D55" s="90" t="s">
        <v>2531</v>
      </c>
      <c r="E55" s="84" t="s">
        <v>2503</v>
      </c>
      <c r="F55" s="89" t="s">
        <v>2530</v>
      </c>
      <c r="G55" s="60"/>
      <c r="H55" s="84" t="s">
        <v>2532</v>
      </c>
      <c r="I55" s="59"/>
      <c r="J55" s="84">
        <v>8.140761041E9</v>
      </c>
      <c r="K55" s="59" t="s">
        <v>2533</v>
      </c>
      <c r="L55" s="59" t="s">
        <v>2529</v>
      </c>
      <c r="M55" s="60"/>
      <c r="N55" s="60"/>
      <c r="O55" s="60"/>
      <c r="P55" s="60"/>
      <c r="Q55" s="60"/>
      <c r="R55" s="60"/>
      <c r="S55" s="60"/>
      <c r="T55" s="60"/>
      <c r="U55" s="60"/>
      <c r="V55" s="60"/>
      <c r="W55" s="60"/>
      <c r="X55" s="60"/>
      <c r="Y55" s="60"/>
      <c r="Z55" s="60"/>
      <c r="AA55" s="60"/>
      <c r="AB55" s="60"/>
      <c r="AC55" s="60"/>
      <c r="AD55" s="60"/>
      <c r="AE55" s="60"/>
      <c r="AF55" s="60"/>
      <c r="AG55" s="60"/>
      <c r="AH55" s="60"/>
      <c r="AI55" s="60"/>
      <c r="AJ55" s="60"/>
    </row>
    <row r="56">
      <c r="A56" s="61">
        <v>44565.0</v>
      </c>
      <c r="B56" s="62" t="s">
        <v>2304</v>
      </c>
      <c r="C56" s="84" t="s">
        <v>2503</v>
      </c>
      <c r="D56" s="83" t="s">
        <v>2503</v>
      </c>
      <c r="E56" s="84" t="s">
        <v>2503</v>
      </c>
      <c r="F56" s="89" t="s">
        <v>2358</v>
      </c>
      <c r="G56" s="60"/>
      <c r="H56" s="84" t="s">
        <v>2534</v>
      </c>
      <c r="I56" s="59"/>
      <c r="J56" s="84">
        <v>9.041768058E9</v>
      </c>
      <c r="K56" s="59" t="s">
        <v>2535</v>
      </c>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row>
    <row r="57">
      <c r="A57" s="61">
        <v>44566.0</v>
      </c>
      <c r="B57" s="62" t="s">
        <v>2304</v>
      </c>
      <c r="C57" s="80" t="s">
        <v>2374</v>
      </c>
      <c r="D57" s="80" t="s">
        <v>2536</v>
      </c>
      <c r="E57" s="89" t="s">
        <v>2374</v>
      </c>
      <c r="F57" s="89" t="s">
        <v>2358</v>
      </c>
      <c r="G57" s="83"/>
      <c r="H57" s="84" t="s">
        <v>2537</v>
      </c>
      <c r="I57" s="59"/>
      <c r="J57" s="84">
        <v>7.569196424E9</v>
      </c>
      <c r="K57" s="59" t="s">
        <v>2538</v>
      </c>
      <c r="L57" s="59" t="s">
        <v>2539</v>
      </c>
      <c r="M57" s="60"/>
      <c r="N57" s="60"/>
      <c r="O57" s="60"/>
      <c r="P57" s="60"/>
      <c r="Q57" s="60"/>
      <c r="R57" s="60"/>
      <c r="S57" s="60"/>
      <c r="T57" s="60"/>
      <c r="U57" s="60"/>
      <c r="V57" s="60"/>
      <c r="W57" s="60"/>
      <c r="X57" s="60"/>
      <c r="Y57" s="60"/>
      <c r="Z57" s="60"/>
      <c r="AA57" s="60"/>
      <c r="AB57" s="60"/>
      <c r="AC57" s="60"/>
      <c r="AD57" s="60"/>
      <c r="AE57" s="60"/>
      <c r="AF57" s="60"/>
      <c r="AG57" s="60"/>
      <c r="AH57" s="60"/>
      <c r="AI57" s="60"/>
      <c r="AJ57" s="60"/>
    </row>
    <row r="58">
      <c r="A58" s="61">
        <v>44566.0</v>
      </c>
      <c r="B58" s="59" t="s">
        <v>2519</v>
      </c>
      <c r="C58" s="59" t="s">
        <v>2374</v>
      </c>
      <c r="D58" s="59" t="s">
        <v>2540</v>
      </c>
      <c r="E58" s="100" t="s">
        <v>2374</v>
      </c>
      <c r="F58" s="59" t="s">
        <v>2358</v>
      </c>
      <c r="G58" s="60"/>
      <c r="H58" s="59" t="s">
        <v>2541</v>
      </c>
      <c r="I58" s="59" t="s">
        <v>2542</v>
      </c>
      <c r="J58" s="86">
        <v>9.4384233E9</v>
      </c>
      <c r="K58" s="59" t="s">
        <v>2543</v>
      </c>
      <c r="L58" s="59" t="s">
        <v>2529</v>
      </c>
      <c r="M58" s="60"/>
      <c r="N58" s="60"/>
      <c r="O58" s="60"/>
      <c r="P58" s="60"/>
      <c r="Q58" s="60"/>
      <c r="R58" s="60"/>
      <c r="S58" s="60"/>
      <c r="T58" s="60"/>
      <c r="U58" s="60"/>
      <c r="V58" s="60"/>
      <c r="W58" s="60"/>
      <c r="X58" s="60"/>
      <c r="Y58" s="60"/>
      <c r="Z58" s="60"/>
      <c r="AA58" s="60"/>
      <c r="AB58" s="60"/>
      <c r="AC58" s="60"/>
      <c r="AD58" s="60"/>
      <c r="AE58" s="60"/>
      <c r="AF58" s="60"/>
      <c r="AG58" s="60"/>
      <c r="AH58" s="60"/>
      <c r="AI58" s="60"/>
      <c r="AJ58" s="60"/>
    </row>
    <row r="59">
      <c r="A59" s="61">
        <v>44568.0</v>
      </c>
      <c r="B59" s="62" t="s">
        <v>2304</v>
      </c>
      <c r="C59" s="59" t="s">
        <v>2544</v>
      </c>
      <c r="D59" s="59" t="s">
        <v>2540</v>
      </c>
      <c r="E59" s="100" t="s">
        <v>2545</v>
      </c>
      <c r="F59" s="59"/>
      <c r="G59" s="60"/>
      <c r="H59" s="104" t="s">
        <v>2546</v>
      </c>
      <c r="I59" s="59"/>
      <c r="J59" s="86">
        <v>9.777200494E9</v>
      </c>
      <c r="K59" s="59" t="s">
        <v>2547</v>
      </c>
      <c r="L59" s="59" t="s">
        <v>2529</v>
      </c>
      <c r="M59" s="60"/>
      <c r="N59" s="60"/>
      <c r="O59" s="60"/>
      <c r="P59" s="60"/>
      <c r="Q59" s="60"/>
      <c r="R59" s="60"/>
      <c r="S59" s="60"/>
      <c r="T59" s="60"/>
      <c r="U59" s="60"/>
      <c r="V59" s="60"/>
      <c r="W59" s="60"/>
      <c r="X59" s="60"/>
      <c r="Y59" s="60"/>
      <c r="Z59" s="60"/>
      <c r="AA59" s="60"/>
      <c r="AB59" s="60"/>
      <c r="AC59" s="60"/>
      <c r="AD59" s="60"/>
      <c r="AE59" s="60"/>
      <c r="AF59" s="60"/>
      <c r="AG59" s="60"/>
      <c r="AH59" s="60"/>
      <c r="AI59" s="60"/>
      <c r="AJ59" s="60"/>
    </row>
    <row r="60">
      <c r="A60" s="105">
        <v>44576.0</v>
      </c>
      <c r="B60" s="106" t="s">
        <v>2548</v>
      </c>
      <c r="C60" s="106" t="s">
        <v>2549</v>
      </c>
      <c r="D60" s="107" t="s">
        <v>2550</v>
      </c>
      <c r="E60" s="106" t="s">
        <v>2551</v>
      </c>
      <c r="F60" s="108"/>
      <c r="G60" s="109"/>
      <c r="H60" s="109" t="s">
        <v>2552</v>
      </c>
      <c r="I60" s="106" t="s">
        <v>2553</v>
      </c>
      <c r="J60" s="109">
        <v>9.582962692E9</v>
      </c>
      <c r="K60" s="106" t="s">
        <v>2554</v>
      </c>
      <c r="L60" s="110" t="s">
        <v>2337</v>
      </c>
      <c r="M60" s="60"/>
      <c r="N60" s="98"/>
      <c r="O60" s="98"/>
      <c r="P60" s="98"/>
      <c r="Q60" s="111"/>
      <c r="R60" s="111"/>
      <c r="S60" s="111"/>
      <c r="T60" s="111"/>
      <c r="U60" s="111"/>
      <c r="V60" s="111"/>
      <c r="W60" s="111"/>
      <c r="X60" s="111"/>
      <c r="Y60" s="111"/>
      <c r="Z60" s="111"/>
      <c r="AA60" s="111"/>
      <c r="AB60" s="111"/>
      <c r="AC60" s="111"/>
      <c r="AD60" s="111"/>
      <c r="AE60" s="111"/>
      <c r="AF60" s="111"/>
      <c r="AG60" s="111"/>
      <c r="AH60" s="111"/>
      <c r="AI60" s="111"/>
      <c r="AJ60" s="111"/>
    </row>
    <row r="61">
      <c r="A61" s="105">
        <v>44577.0</v>
      </c>
      <c r="B61" s="109" t="s">
        <v>2548</v>
      </c>
      <c r="C61" s="109" t="s">
        <v>2323</v>
      </c>
      <c r="D61" s="109" t="s">
        <v>2555</v>
      </c>
      <c r="E61" s="109" t="s">
        <v>2556</v>
      </c>
      <c r="F61" s="109" t="s">
        <v>2557</v>
      </c>
      <c r="G61" s="112">
        <v>284128.0</v>
      </c>
      <c r="H61" s="109" t="s">
        <v>2558</v>
      </c>
      <c r="I61" s="109" t="s">
        <v>2559</v>
      </c>
      <c r="J61" s="109">
        <v>9.455719038E9</v>
      </c>
      <c r="K61" s="109" t="s">
        <v>2560</v>
      </c>
      <c r="L61" s="110" t="s">
        <v>2337</v>
      </c>
      <c r="M61" s="98"/>
      <c r="N61" s="98"/>
      <c r="O61" s="98"/>
      <c r="P61" s="98"/>
      <c r="Q61" s="111"/>
      <c r="R61" s="111"/>
      <c r="S61" s="111"/>
      <c r="T61" s="111"/>
      <c r="U61" s="111"/>
      <c r="V61" s="111"/>
      <c r="W61" s="111"/>
      <c r="X61" s="111"/>
      <c r="Y61" s="111"/>
      <c r="Z61" s="111"/>
      <c r="AA61" s="111"/>
      <c r="AB61" s="111"/>
      <c r="AC61" s="111"/>
      <c r="AD61" s="111"/>
      <c r="AE61" s="111"/>
      <c r="AF61" s="111"/>
      <c r="AG61" s="111"/>
      <c r="AH61" s="111"/>
      <c r="AI61" s="111"/>
      <c r="AJ61" s="111"/>
    </row>
    <row r="62">
      <c r="A62" s="113">
        <v>44581.0</v>
      </c>
      <c r="B62" s="109" t="s">
        <v>2548</v>
      </c>
      <c r="C62" s="80" t="s">
        <v>2561</v>
      </c>
      <c r="D62" s="80" t="s">
        <v>2550</v>
      </c>
      <c r="E62" s="80" t="s">
        <v>2562</v>
      </c>
      <c r="F62" s="80" t="s">
        <v>2563</v>
      </c>
      <c r="G62" s="72"/>
      <c r="H62" s="80" t="s">
        <v>2564</v>
      </c>
      <c r="I62" s="72"/>
      <c r="J62" s="80">
        <v>9.308717698E9</v>
      </c>
      <c r="K62" s="80" t="s">
        <v>2565</v>
      </c>
      <c r="L62" s="72"/>
      <c r="M62" s="71"/>
      <c r="N62" s="71"/>
      <c r="O62" s="71"/>
      <c r="P62" s="71"/>
      <c r="Q62" s="72"/>
      <c r="R62" s="72"/>
      <c r="S62" s="72"/>
      <c r="T62" s="72"/>
      <c r="U62" s="72"/>
      <c r="V62" s="72"/>
      <c r="W62" s="72"/>
      <c r="X62" s="72"/>
      <c r="Y62" s="72"/>
      <c r="Z62" s="72"/>
      <c r="AA62" s="72"/>
      <c r="AB62" s="72"/>
      <c r="AC62" s="72"/>
      <c r="AD62" s="72"/>
      <c r="AE62" s="72"/>
      <c r="AF62" s="72"/>
      <c r="AG62" s="72"/>
      <c r="AH62" s="72"/>
      <c r="AI62" s="72"/>
      <c r="AJ62" s="72"/>
    </row>
    <row r="63">
      <c r="A63" s="114">
        <v>44583.0</v>
      </c>
      <c r="B63" s="109" t="s">
        <v>2548</v>
      </c>
      <c r="C63" s="80" t="s">
        <v>2566</v>
      </c>
      <c r="D63" s="115" t="s">
        <v>2249</v>
      </c>
      <c r="E63" s="80" t="s">
        <v>2567</v>
      </c>
      <c r="F63" s="115" t="s">
        <v>2568</v>
      </c>
      <c r="G63" s="82">
        <v>443001.0</v>
      </c>
      <c r="H63" s="80" t="s">
        <v>2569</v>
      </c>
      <c r="I63" s="72"/>
      <c r="J63" s="82">
        <v>9.82269779E9</v>
      </c>
      <c r="K63" s="80" t="s">
        <v>2570</v>
      </c>
      <c r="L63" s="110" t="s">
        <v>2337</v>
      </c>
      <c r="M63" s="71"/>
      <c r="N63" s="71"/>
      <c r="O63" s="71"/>
      <c r="P63" s="71"/>
      <c r="Q63" s="72"/>
      <c r="R63" s="72"/>
      <c r="S63" s="72"/>
      <c r="T63" s="72"/>
      <c r="U63" s="72"/>
      <c r="V63" s="72"/>
      <c r="W63" s="72"/>
      <c r="X63" s="72"/>
      <c r="Y63" s="72"/>
      <c r="Z63" s="72"/>
      <c r="AA63" s="72"/>
      <c r="AB63" s="72"/>
      <c r="AC63" s="72"/>
      <c r="AD63" s="72"/>
      <c r="AE63" s="72"/>
      <c r="AF63" s="72"/>
      <c r="AG63" s="72"/>
      <c r="AH63" s="72"/>
      <c r="AI63" s="72"/>
      <c r="AJ63" s="72"/>
    </row>
    <row r="64">
      <c r="A64" s="116">
        <v>44593.0</v>
      </c>
      <c r="B64" s="117"/>
      <c r="C64" s="118"/>
      <c r="D64" s="118"/>
      <c r="E64" s="119"/>
      <c r="F64" s="118"/>
      <c r="G64" s="118"/>
      <c r="H64" s="120"/>
      <c r="I64" s="119"/>
      <c r="J64" s="121"/>
      <c r="K64" s="122"/>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7"/>
      <c r="AI64" s="117"/>
      <c r="AJ64" s="117"/>
    </row>
    <row r="65">
      <c r="A65" s="64"/>
      <c r="B65" s="109" t="s">
        <v>2548</v>
      </c>
      <c r="C65" s="101"/>
      <c r="D65" s="101"/>
      <c r="E65" s="72"/>
      <c r="F65" s="101"/>
      <c r="G65" s="101"/>
      <c r="H65" s="123" t="s">
        <v>2571</v>
      </c>
      <c r="I65" s="72"/>
      <c r="J65" s="124">
        <v>8.294028777E9</v>
      </c>
      <c r="K65" s="62" t="s">
        <v>2572</v>
      </c>
      <c r="L65" s="64"/>
      <c r="M65" s="60"/>
      <c r="N65" s="60"/>
      <c r="O65" s="60"/>
      <c r="P65" s="60"/>
      <c r="Q65" s="64"/>
      <c r="R65" s="64"/>
      <c r="S65" s="64"/>
      <c r="T65" s="64"/>
      <c r="U65" s="64"/>
      <c r="V65" s="64"/>
      <c r="W65" s="64"/>
      <c r="X65" s="64"/>
      <c r="Y65" s="64"/>
      <c r="Z65" s="64"/>
      <c r="AA65" s="64"/>
      <c r="AB65" s="64"/>
      <c r="AC65" s="64"/>
      <c r="AD65" s="64"/>
      <c r="AE65" s="64"/>
      <c r="AF65" s="64"/>
      <c r="AG65" s="64"/>
      <c r="AH65" s="64"/>
      <c r="AI65" s="64"/>
      <c r="AJ65" s="64"/>
    </row>
    <row r="66">
      <c r="A66" s="114">
        <v>44596.0</v>
      </c>
      <c r="B66" s="109" t="s">
        <v>2548</v>
      </c>
      <c r="C66" s="64"/>
      <c r="D66" s="64"/>
      <c r="E66" s="62" t="s">
        <v>2573</v>
      </c>
      <c r="F66" s="64"/>
      <c r="G66" s="64"/>
      <c r="H66" s="62" t="s">
        <v>2574</v>
      </c>
      <c r="I66" s="64"/>
      <c r="J66" s="62">
        <v>9.811171555E9</v>
      </c>
      <c r="K66" s="62" t="s">
        <v>2575</v>
      </c>
      <c r="L66" s="64"/>
      <c r="M66" s="60"/>
      <c r="N66" s="60"/>
      <c r="O66" s="60"/>
      <c r="P66" s="60"/>
      <c r="Q66" s="64"/>
      <c r="R66" s="64"/>
      <c r="S66" s="64"/>
      <c r="T66" s="64"/>
      <c r="U66" s="64"/>
      <c r="V66" s="64"/>
      <c r="W66" s="64"/>
      <c r="X66" s="64"/>
      <c r="Y66" s="64"/>
      <c r="Z66" s="64"/>
      <c r="AA66" s="64"/>
      <c r="AB66" s="64"/>
      <c r="AC66" s="64"/>
      <c r="AD66" s="64"/>
      <c r="AE66" s="64"/>
      <c r="AF66" s="64"/>
      <c r="AG66" s="64"/>
      <c r="AH66" s="64"/>
      <c r="AI66" s="64"/>
      <c r="AJ66" s="64"/>
    </row>
    <row r="67">
      <c r="A67" s="125">
        <v>44596.0</v>
      </c>
      <c r="B67" s="60" t="s">
        <v>2548</v>
      </c>
      <c r="C67" s="59" t="s">
        <v>2576</v>
      </c>
      <c r="D67" s="59" t="s">
        <v>2176</v>
      </c>
      <c r="E67" s="60"/>
      <c r="F67" s="60"/>
      <c r="G67" s="60"/>
      <c r="H67" s="59" t="s">
        <v>2577</v>
      </c>
      <c r="I67" s="60"/>
      <c r="J67" s="59" t="s">
        <v>2578</v>
      </c>
      <c r="K67" s="59" t="s">
        <v>2579</v>
      </c>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row>
    <row r="68">
      <c r="A68" s="114">
        <v>44596.0</v>
      </c>
      <c r="B68" s="109" t="s">
        <v>2548</v>
      </c>
      <c r="C68" s="89" t="s">
        <v>2580</v>
      </c>
      <c r="D68" s="89" t="s">
        <v>2581</v>
      </c>
      <c r="E68" s="72"/>
      <c r="F68" s="72"/>
      <c r="G68" s="83"/>
      <c r="H68" s="62" t="s">
        <v>2582</v>
      </c>
      <c r="I68" s="64"/>
      <c r="J68" s="62">
        <v>9.288800006E9</v>
      </c>
      <c r="K68" s="62" t="s">
        <v>2583</v>
      </c>
      <c r="L68" s="64"/>
      <c r="M68" s="60"/>
      <c r="N68" s="60"/>
      <c r="O68" s="60"/>
      <c r="P68" s="60"/>
      <c r="Q68" s="64"/>
      <c r="R68" s="64"/>
      <c r="S68" s="64"/>
      <c r="T68" s="64"/>
      <c r="U68" s="64"/>
      <c r="V68" s="64"/>
      <c r="W68" s="64"/>
      <c r="X68" s="64"/>
      <c r="Y68" s="64"/>
      <c r="Z68" s="64"/>
      <c r="AA68" s="64"/>
      <c r="AB68" s="64"/>
      <c r="AC68" s="64"/>
      <c r="AD68" s="64"/>
      <c r="AE68" s="64"/>
      <c r="AF68" s="64"/>
      <c r="AG68" s="64"/>
      <c r="AH68" s="64"/>
      <c r="AI68" s="64"/>
      <c r="AJ68" s="64"/>
    </row>
    <row r="69">
      <c r="A69" s="125">
        <v>44596.0</v>
      </c>
      <c r="B69" s="60" t="s">
        <v>2548</v>
      </c>
      <c r="C69" s="59" t="s">
        <v>2584</v>
      </c>
      <c r="D69" s="59" t="s">
        <v>2550</v>
      </c>
      <c r="E69" s="60"/>
      <c r="F69" s="71"/>
      <c r="G69" s="71"/>
      <c r="H69" s="126" t="s">
        <v>2585</v>
      </c>
      <c r="I69" s="60"/>
      <c r="J69" s="59">
        <v>9.911325549E9</v>
      </c>
      <c r="K69" s="59" t="s">
        <v>2579</v>
      </c>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row>
    <row r="70">
      <c r="A70" s="114">
        <v>44596.0</v>
      </c>
      <c r="B70" s="62" t="s">
        <v>2519</v>
      </c>
      <c r="C70" s="62" t="s">
        <v>2586</v>
      </c>
      <c r="D70" s="62" t="s">
        <v>2550</v>
      </c>
      <c r="E70" s="64"/>
      <c r="F70" s="64"/>
      <c r="G70" s="64"/>
      <c r="H70" s="62" t="s">
        <v>2587</v>
      </c>
      <c r="I70" s="62" t="s">
        <v>2588</v>
      </c>
      <c r="J70" s="62">
        <v>6.38611909E9</v>
      </c>
      <c r="K70" s="62" t="s">
        <v>2589</v>
      </c>
      <c r="L70" s="64"/>
      <c r="M70" s="60"/>
      <c r="N70" s="60"/>
      <c r="O70" s="60"/>
      <c r="P70" s="60"/>
      <c r="Q70" s="64"/>
      <c r="R70" s="64"/>
      <c r="S70" s="64"/>
      <c r="T70" s="64"/>
      <c r="U70" s="64"/>
      <c r="V70" s="64"/>
      <c r="W70" s="64"/>
      <c r="X70" s="64"/>
      <c r="Y70" s="64"/>
      <c r="Z70" s="64"/>
      <c r="AA70" s="64"/>
      <c r="AB70" s="64"/>
      <c r="AC70" s="64"/>
      <c r="AD70" s="64"/>
      <c r="AE70" s="64"/>
      <c r="AF70" s="64"/>
      <c r="AG70" s="64"/>
      <c r="AH70" s="64"/>
      <c r="AI70" s="64"/>
      <c r="AJ70" s="64"/>
    </row>
    <row r="71">
      <c r="A71" s="114">
        <v>44596.0</v>
      </c>
      <c r="B71" s="62" t="s">
        <v>2519</v>
      </c>
      <c r="C71" s="89" t="s">
        <v>2590</v>
      </c>
      <c r="D71" s="89" t="s">
        <v>2591</v>
      </c>
      <c r="E71" s="83"/>
      <c r="F71" s="83"/>
      <c r="G71" s="83"/>
      <c r="H71" s="62" t="s">
        <v>2592</v>
      </c>
      <c r="I71" s="62" t="s">
        <v>2593</v>
      </c>
      <c r="J71" s="62" t="s">
        <v>2594</v>
      </c>
      <c r="K71" s="62" t="s">
        <v>2595</v>
      </c>
      <c r="L71" s="64"/>
      <c r="M71" s="60"/>
      <c r="N71" s="60"/>
      <c r="O71" s="60"/>
      <c r="P71" s="60"/>
      <c r="Q71" s="64"/>
      <c r="R71" s="64"/>
      <c r="S71" s="64"/>
      <c r="T71" s="64"/>
      <c r="U71" s="64"/>
      <c r="V71" s="64"/>
      <c r="W71" s="64"/>
      <c r="X71" s="64"/>
      <c r="Y71" s="64"/>
      <c r="Z71" s="64"/>
      <c r="AA71" s="64"/>
      <c r="AB71" s="64"/>
      <c r="AC71" s="64"/>
      <c r="AD71" s="64"/>
      <c r="AE71" s="64"/>
      <c r="AF71" s="64"/>
      <c r="AG71" s="64"/>
      <c r="AH71" s="64"/>
      <c r="AI71" s="64"/>
      <c r="AJ71" s="64"/>
    </row>
    <row r="72">
      <c r="A72" s="64"/>
      <c r="B72" s="64"/>
      <c r="C72" s="64"/>
      <c r="D72" s="64"/>
      <c r="E72" s="64"/>
      <c r="F72" s="64"/>
      <c r="G72" s="64"/>
      <c r="H72" s="64"/>
      <c r="I72" s="64"/>
      <c r="J72" s="64"/>
      <c r="K72" s="64"/>
      <c r="L72" s="64"/>
      <c r="M72" s="60"/>
      <c r="N72" s="60"/>
      <c r="O72" s="60"/>
      <c r="P72" s="60"/>
      <c r="Q72" s="64"/>
      <c r="R72" s="64"/>
      <c r="S72" s="64"/>
      <c r="T72" s="64"/>
      <c r="U72" s="64"/>
      <c r="V72" s="64"/>
      <c r="W72" s="64"/>
      <c r="X72" s="64"/>
      <c r="Y72" s="64"/>
      <c r="Z72" s="64"/>
      <c r="AA72" s="64"/>
      <c r="AB72" s="64"/>
      <c r="AC72" s="64"/>
      <c r="AD72" s="64"/>
      <c r="AE72" s="64"/>
      <c r="AF72" s="64"/>
      <c r="AG72" s="64"/>
      <c r="AH72" s="64"/>
      <c r="AI72" s="64"/>
      <c r="AJ72" s="64"/>
    </row>
    <row r="73">
      <c r="A73" s="64"/>
      <c r="B73" s="64"/>
      <c r="C73" s="62"/>
      <c r="D73" s="64"/>
      <c r="E73" s="64"/>
      <c r="F73" s="64"/>
      <c r="G73" s="64"/>
      <c r="H73" s="64"/>
      <c r="I73" s="64"/>
      <c r="J73" s="64"/>
      <c r="K73" s="64"/>
      <c r="L73" s="64"/>
      <c r="M73" s="60"/>
      <c r="N73" s="60"/>
      <c r="O73" s="60"/>
      <c r="P73" s="60"/>
      <c r="Q73" s="64"/>
      <c r="R73" s="64"/>
      <c r="S73" s="64"/>
      <c r="T73" s="64"/>
      <c r="U73" s="64"/>
      <c r="V73" s="64"/>
      <c r="W73" s="64"/>
      <c r="X73" s="64"/>
      <c r="Y73" s="64"/>
      <c r="Z73" s="64"/>
      <c r="AA73" s="64"/>
      <c r="AB73" s="64"/>
      <c r="AC73" s="64"/>
      <c r="AD73" s="64"/>
      <c r="AE73" s="64"/>
      <c r="AF73" s="64"/>
      <c r="AG73" s="64"/>
      <c r="AH73" s="64"/>
      <c r="AI73" s="64"/>
      <c r="AJ73" s="64"/>
    </row>
    <row r="74">
      <c r="A74" s="64"/>
      <c r="B74" s="64"/>
      <c r="C74" s="64"/>
      <c r="D74" s="64"/>
      <c r="E74" s="64"/>
      <c r="F74" s="62" t="s">
        <v>2596</v>
      </c>
      <c r="G74" s="64"/>
      <c r="H74" s="64"/>
      <c r="I74" s="64"/>
      <c r="J74" s="64"/>
      <c r="K74" s="64"/>
      <c r="L74" s="64"/>
      <c r="M74" s="60"/>
      <c r="N74" s="60"/>
      <c r="O74" s="60"/>
      <c r="P74" s="60"/>
      <c r="Q74" s="64"/>
      <c r="R74" s="64"/>
      <c r="S74" s="64"/>
      <c r="T74" s="64"/>
      <c r="U74" s="64"/>
      <c r="V74" s="64"/>
      <c r="W74" s="64"/>
      <c r="X74" s="64"/>
      <c r="Y74" s="64"/>
      <c r="Z74" s="64"/>
      <c r="AA74" s="64"/>
      <c r="AB74" s="64"/>
      <c r="AC74" s="64"/>
      <c r="AD74" s="64"/>
      <c r="AE74" s="64"/>
      <c r="AF74" s="64"/>
      <c r="AG74" s="64"/>
      <c r="AH74" s="64"/>
      <c r="AI74" s="64"/>
      <c r="AJ74" s="64"/>
    </row>
    <row r="75">
      <c r="A75" s="64"/>
      <c r="B75" s="64"/>
      <c r="C75" s="64"/>
      <c r="D75" s="64"/>
      <c r="E75" s="64"/>
      <c r="F75" s="64"/>
      <c r="G75" s="64"/>
      <c r="H75" s="64"/>
      <c r="I75" s="64"/>
      <c r="J75" s="64"/>
      <c r="K75" s="64"/>
      <c r="L75" s="64"/>
      <c r="M75" s="60"/>
      <c r="N75" s="60"/>
      <c r="O75" s="60"/>
      <c r="P75" s="60"/>
      <c r="Q75" s="64"/>
      <c r="R75" s="64"/>
      <c r="S75" s="64"/>
      <c r="T75" s="64"/>
      <c r="U75" s="64"/>
      <c r="V75" s="64"/>
      <c r="W75" s="64"/>
      <c r="X75" s="64"/>
      <c r="Y75" s="64"/>
      <c r="Z75" s="64"/>
      <c r="AA75" s="64"/>
      <c r="AB75" s="64"/>
      <c r="AC75" s="64"/>
      <c r="AD75" s="64"/>
      <c r="AE75" s="64"/>
      <c r="AF75" s="64"/>
      <c r="AG75" s="64"/>
      <c r="AH75" s="64"/>
      <c r="AI75" s="64"/>
      <c r="AJ75" s="64"/>
    </row>
    <row r="76">
      <c r="A76" s="64"/>
      <c r="B76" s="64"/>
      <c r="C76" s="64"/>
      <c r="D76" s="64"/>
      <c r="E76" s="64"/>
      <c r="F76" s="64"/>
      <c r="G76" s="64"/>
      <c r="H76" s="64"/>
      <c r="I76" s="64"/>
      <c r="J76" s="64"/>
      <c r="K76" s="64"/>
      <c r="L76" s="64"/>
      <c r="M76" s="60"/>
      <c r="N76" s="60"/>
      <c r="O76" s="60"/>
      <c r="P76" s="60"/>
      <c r="Q76" s="64"/>
      <c r="R76" s="64"/>
      <c r="S76" s="64"/>
      <c r="T76" s="64"/>
      <c r="U76" s="64"/>
      <c r="V76" s="64"/>
      <c r="W76" s="64"/>
      <c r="X76" s="64"/>
      <c r="Y76" s="64"/>
      <c r="Z76" s="64"/>
      <c r="AA76" s="64"/>
      <c r="AB76" s="64"/>
      <c r="AC76" s="64"/>
      <c r="AD76" s="64"/>
      <c r="AE76" s="64"/>
      <c r="AF76" s="64"/>
      <c r="AG76" s="64"/>
      <c r="AH76" s="64"/>
      <c r="AI76" s="64"/>
      <c r="AJ76" s="64"/>
    </row>
    <row r="77">
      <c r="A77" s="64"/>
      <c r="B77" s="64"/>
      <c r="C77" s="64"/>
      <c r="D77" s="64"/>
      <c r="E77" s="64"/>
      <c r="F77" s="64"/>
      <c r="G77" s="64"/>
      <c r="H77" s="64"/>
      <c r="I77" s="64"/>
      <c r="J77" s="64"/>
      <c r="K77" s="64"/>
      <c r="L77" s="64"/>
      <c r="M77" s="60"/>
      <c r="N77" s="60"/>
      <c r="O77" s="60"/>
      <c r="P77" s="60"/>
      <c r="Q77" s="64"/>
      <c r="R77" s="64"/>
      <c r="S77" s="64"/>
      <c r="T77" s="64"/>
      <c r="U77" s="64"/>
      <c r="V77" s="64"/>
      <c r="W77" s="64"/>
      <c r="X77" s="64"/>
      <c r="Y77" s="64"/>
      <c r="Z77" s="64"/>
      <c r="AA77" s="64"/>
      <c r="AB77" s="64"/>
      <c r="AC77" s="64"/>
      <c r="AD77" s="64"/>
      <c r="AE77" s="64"/>
      <c r="AF77" s="64"/>
      <c r="AG77" s="64"/>
      <c r="AH77" s="64"/>
      <c r="AI77" s="64"/>
      <c r="AJ77" s="64"/>
    </row>
    <row r="78">
      <c r="A78" s="64"/>
      <c r="B78" s="64"/>
      <c r="C78" s="64"/>
      <c r="D78" s="64"/>
      <c r="E78" s="64"/>
      <c r="F78" s="64"/>
      <c r="G78" s="64"/>
      <c r="H78" s="64"/>
      <c r="I78" s="64"/>
      <c r="J78" s="64"/>
      <c r="K78" s="64"/>
      <c r="L78" s="64"/>
      <c r="M78" s="60"/>
      <c r="N78" s="60"/>
      <c r="O78" s="60"/>
      <c r="P78" s="60"/>
      <c r="Q78" s="64"/>
      <c r="R78" s="64"/>
      <c r="S78" s="64"/>
      <c r="T78" s="64"/>
      <c r="U78" s="64"/>
      <c r="V78" s="64"/>
      <c r="W78" s="64"/>
      <c r="X78" s="64"/>
      <c r="Y78" s="64"/>
      <c r="Z78" s="64"/>
      <c r="AA78" s="64"/>
      <c r="AB78" s="64"/>
      <c r="AC78" s="64"/>
      <c r="AD78" s="64"/>
      <c r="AE78" s="64"/>
      <c r="AF78" s="64"/>
      <c r="AG78" s="64"/>
      <c r="AH78" s="64"/>
      <c r="AI78" s="64"/>
      <c r="AJ78" s="64"/>
    </row>
    <row r="79">
      <c r="A79" s="64"/>
      <c r="B79" s="64"/>
      <c r="C79" s="64"/>
      <c r="D79" s="64"/>
      <c r="E79" s="64"/>
      <c r="F79" s="64"/>
      <c r="G79" s="64"/>
      <c r="H79" s="64"/>
      <c r="I79" s="64"/>
      <c r="J79" s="64"/>
      <c r="K79" s="64"/>
      <c r="L79" s="64"/>
      <c r="M79" s="60"/>
      <c r="N79" s="60"/>
      <c r="O79" s="60"/>
      <c r="P79" s="60"/>
      <c r="Q79" s="64"/>
      <c r="R79" s="64"/>
      <c r="S79" s="64"/>
      <c r="T79" s="64"/>
      <c r="U79" s="64"/>
      <c r="V79" s="64"/>
      <c r="W79" s="64"/>
      <c r="X79" s="64"/>
      <c r="Y79" s="64"/>
      <c r="Z79" s="64"/>
      <c r="AA79" s="64"/>
      <c r="AB79" s="64"/>
      <c r="AC79" s="64"/>
      <c r="AD79" s="64"/>
      <c r="AE79" s="64"/>
      <c r="AF79" s="64"/>
      <c r="AG79" s="64"/>
      <c r="AH79" s="64"/>
      <c r="AI79" s="64"/>
      <c r="AJ79" s="64"/>
    </row>
    <row r="80">
      <c r="A80" s="64"/>
      <c r="B80" s="64"/>
      <c r="C80" s="64"/>
      <c r="D80" s="64"/>
      <c r="E80" s="64"/>
      <c r="F80" s="64"/>
      <c r="G80" s="64"/>
      <c r="H80" s="64"/>
      <c r="I80" s="64"/>
      <c r="J80" s="64"/>
      <c r="K80" s="64"/>
      <c r="L80" s="64"/>
      <c r="M80" s="60"/>
      <c r="N80" s="60"/>
      <c r="O80" s="60"/>
      <c r="P80" s="60"/>
      <c r="Q80" s="64"/>
      <c r="R80" s="64"/>
      <c r="S80" s="64"/>
      <c r="T80" s="64"/>
      <c r="U80" s="64"/>
      <c r="V80" s="64"/>
      <c r="W80" s="64"/>
      <c r="X80" s="64"/>
      <c r="Y80" s="64"/>
      <c r="Z80" s="64"/>
      <c r="AA80" s="64"/>
      <c r="AB80" s="64"/>
      <c r="AC80" s="64"/>
      <c r="AD80" s="64"/>
      <c r="AE80" s="64"/>
      <c r="AF80" s="64"/>
      <c r="AG80" s="64"/>
      <c r="AH80" s="64"/>
      <c r="AI80" s="64"/>
      <c r="AJ80" s="64"/>
    </row>
    <row r="81">
      <c r="A81" s="64"/>
      <c r="B81" s="64"/>
      <c r="C81" s="64"/>
      <c r="D81" s="64"/>
      <c r="E81" s="64"/>
      <c r="F81" s="64"/>
      <c r="G81" s="64"/>
      <c r="H81" s="64"/>
      <c r="I81" s="64"/>
      <c r="J81" s="64"/>
      <c r="K81" s="64"/>
      <c r="L81" s="64"/>
      <c r="M81" s="60"/>
      <c r="N81" s="60"/>
      <c r="O81" s="60"/>
      <c r="P81" s="60"/>
      <c r="Q81" s="64"/>
      <c r="R81" s="64"/>
      <c r="S81" s="64"/>
      <c r="T81" s="64"/>
      <c r="U81" s="64"/>
      <c r="V81" s="64"/>
      <c r="W81" s="64"/>
      <c r="X81" s="64"/>
      <c r="Y81" s="64"/>
      <c r="Z81" s="64"/>
      <c r="AA81" s="64"/>
      <c r="AB81" s="64"/>
      <c r="AC81" s="64"/>
      <c r="AD81" s="64"/>
      <c r="AE81" s="64"/>
      <c r="AF81" s="64"/>
      <c r="AG81" s="64"/>
      <c r="AH81" s="64"/>
      <c r="AI81" s="64"/>
      <c r="AJ81" s="64"/>
    </row>
    <row r="82">
      <c r="A82" s="64"/>
      <c r="B82" s="64"/>
      <c r="C82" s="64"/>
      <c r="D82" s="64"/>
      <c r="E82" s="64"/>
      <c r="F82" s="64"/>
      <c r="G82" s="64"/>
      <c r="H82" s="64"/>
      <c r="I82" s="64"/>
      <c r="J82" s="64"/>
      <c r="K82" s="64"/>
      <c r="L82" s="64"/>
      <c r="M82" s="60"/>
      <c r="N82" s="60"/>
      <c r="O82" s="60"/>
      <c r="P82" s="60"/>
      <c r="Q82" s="64"/>
      <c r="R82" s="64"/>
      <c r="S82" s="64"/>
      <c r="T82" s="64"/>
      <c r="U82" s="64"/>
      <c r="V82" s="64"/>
      <c r="W82" s="64"/>
      <c r="X82" s="64"/>
      <c r="Y82" s="64"/>
      <c r="Z82" s="64"/>
      <c r="AA82" s="64"/>
      <c r="AB82" s="64"/>
      <c r="AC82" s="64"/>
      <c r="AD82" s="64"/>
      <c r="AE82" s="64"/>
      <c r="AF82" s="64"/>
      <c r="AG82" s="64"/>
      <c r="AH82" s="64"/>
      <c r="AI82" s="64"/>
      <c r="AJ82" s="64"/>
    </row>
    <row r="83">
      <c r="A83" s="64"/>
      <c r="B83" s="64"/>
      <c r="C83" s="64"/>
      <c r="D83" s="64"/>
      <c r="E83" s="64"/>
      <c r="F83" s="64"/>
      <c r="G83" s="64"/>
      <c r="H83" s="64"/>
      <c r="I83" s="64"/>
      <c r="J83" s="64"/>
      <c r="K83" s="64"/>
      <c r="L83" s="64"/>
      <c r="M83" s="60"/>
      <c r="N83" s="60"/>
      <c r="O83" s="60"/>
      <c r="P83" s="60"/>
      <c r="Q83" s="64"/>
      <c r="R83" s="64"/>
      <c r="S83" s="64"/>
      <c r="T83" s="64"/>
      <c r="U83" s="64"/>
      <c r="V83" s="64"/>
      <c r="W83" s="64"/>
      <c r="X83" s="64"/>
      <c r="Y83" s="64"/>
      <c r="Z83" s="64"/>
      <c r="AA83" s="64"/>
      <c r="AB83" s="64"/>
      <c r="AC83" s="64"/>
      <c r="AD83" s="64"/>
      <c r="AE83" s="64"/>
      <c r="AF83" s="64"/>
      <c r="AG83" s="64"/>
      <c r="AH83" s="64"/>
      <c r="AI83" s="64"/>
      <c r="AJ83" s="64"/>
    </row>
    <row r="84">
      <c r="A84" s="64"/>
      <c r="B84" s="64"/>
      <c r="C84" s="64"/>
      <c r="D84" s="64"/>
      <c r="E84" s="64"/>
      <c r="F84" s="64"/>
      <c r="G84" s="64"/>
      <c r="H84" s="64"/>
      <c r="I84" s="64"/>
      <c r="J84" s="64"/>
      <c r="K84" s="64"/>
      <c r="L84" s="64"/>
      <c r="M84" s="60"/>
      <c r="N84" s="60"/>
      <c r="O84" s="60"/>
      <c r="P84" s="60"/>
      <c r="Q84" s="64"/>
      <c r="R84" s="64"/>
      <c r="S84" s="64"/>
      <c r="T84" s="64"/>
      <c r="U84" s="64"/>
      <c r="V84" s="64"/>
      <c r="W84" s="64"/>
      <c r="X84" s="64"/>
      <c r="Y84" s="64"/>
      <c r="Z84" s="64"/>
      <c r="AA84" s="64"/>
      <c r="AB84" s="64"/>
      <c r="AC84" s="64"/>
      <c r="AD84" s="64"/>
      <c r="AE84" s="64"/>
      <c r="AF84" s="64"/>
      <c r="AG84" s="64"/>
      <c r="AH84" s="64"/>
      <c r="AI84" s="64"/>
      <c r="AJ84" s="64"/>
    </row>
    <row r="85">
      <c r="A85" s="64"/>
      <c r="B85" s="64"/>
      <c r="C85" s="64"/>
      <c r="D85" s="64"/>
      <c r="E85" s="64"/>
      <c r="F85" s="64"/>
      <c r="G85" s="64"/>
      <c r="H85" s="64"/>
      <c r="I85" s="64"/>
      <c r="J85" s="64"/>
      <c r="K85" s="64"/>
      <c r="L85" s="64"/>
      <c r="M85" s="60"/>
      <c r="N85" s="60"/>
      <c r="O85" s="60"/>
      <c r="P85" s="60"/>
      <c r="Q85" s="64"/>
      <c r="R85" s="64"/>
      <c r="S85" s="64"/>
      <c r="T85" s="64"/>
      <c r="U85" s="64"/>
      <c r="V85" s="64"/>
      <c r="W85" s="64"/>
      <c r="X85" s="64"/>
      <c r="Y85" s="64"/>
      <c r="Z85" s="64"/>
      <c r="AA85" s="64"/>
      <c r="AB85" s="64"/>
      <c r="AC85" s="64"/>
      <c r="AD85" s="64"/>
      <c r="AE85" s="64"/>
      <c r="AF85" s="64"/>
      <c r="AG85" s="64"/>
      <c r="AH85" s="64"/>
      <c r="AI85" s="64"/>
      <c r="AJ85" s="64"/>
    </row>
    <row r="86">
      <c r="A86" s="64"/>
      <c r="B86" s="64"/>
      <c r="C86" s="64"/>
      <c r="D86" s="64"/>
      <c r="E86" s="64"/>
      <c r="F86" s="64"/>
      <c r="G86" s="64"/>
      <c r="H86" s="64"/>
      <c r="I86" s="64"/>
      <c r="J86" s="64"/>
      <c r="K86" s="64"/>
      <c r="L86" s="64"/>
      <c r="M86" s="60"/>
      <c r="N86" s="60"/>
      <c r="O86" s="60"/>
      <c r="P86" s="60"/>
      <c r="Q86" s="64"/>
      <c r="R86" s="64"/>
      <c r="S86" s="64"/>
      <c r="T86" s="64"/>
      <c r="U86" s="64"/>
      <c r="V86" s="64"/>
      <c r="W86" s="64"/>
      <c r="X86" s="64"/>
      <c r="Y86" s="64"/>
      <c r="Z86" s="64"/>
      <c r="AA86" s="64"/>
      <c r="AB86" s="64"/>
      <c r="AC86" s="64"/>
      <c r="AD86" s="64"/>
      <c r="AE86" s="64"/>
      <c r="AF86" s="64"/>
      <c r="AG86" s="64"/>
      <c r="AH86" s="64"/>
      <c r="AI86" s="64"/>
      <c r="AJ86" s="64"/>
    </row>
    <row r="87">
      <c r="A87" s="64"/>
      <c r="B87" s="64"/>
      <c r="C87" s="64"/>
      <c r="D87" s="64"/>
      <c r="E87" s="64"/>
      <c r="F87" s="64"/>
      <c r="G87" s="64"/>
      <c r="H87" s="64"/>
      <c r="I87" s="64"/>
      <c r="J87" s="64"/>
      <c r="K87" s="64"/>
      <c r="L87" s="64"/>
      <c r="M87" s="60"/>
      <c r="N87" s="60"/>
      <c r="O87" s="60"/>
      <c r="P87" s="60"/>
      <c r="Q87" s="64"/>
      <c r="R87" s="64"/>
      <c r="S87" s="64"/>
      <c r="T87" s="64"/>
      <c r="U87" s="64"/>
      <c r="V87" s="64"/>
      <c r="W87" s="64"/>
      <c r="X87" s="64"/>
      <c r="Y87" s="64"/>
      <c r="Z87" s="64"/>
      <c r="AA87" s="64"/>
      <c r="AB87" s="64"/>
      <c r="AC87" s="64"/>
      <c r="AD87" s="64"/>
      <c r="AE87" s="64"/>
      <c r="AF87" s="64"/>
      <c r="AG87" s="64"/>
      <c r="AH87" s="64"/>
      <c r="AI87" s="64"/>
      <c r="AJ87" s="64"/>
    </row>
    <row r="88">
      <c r="A88" s="64"/>
      <c r="B88" s="64"/>
      <c r="C88" s="64"/>
      <c r="D88" s="64"/>
      <c r="E88" s="64"/>
      <c r="F88" s="64"/>
      <c r="G88" s="64"/>
      <c r="H88" s="64"/>
      <c r="I88" s="64"/>
      <c r="J88" s="64"/>
      <c r="K88" s="64"/>
      <c r="L88" s="64"/>
      <c r="M88" s="60"/>
      <c r="N88" s="60"/>
      <c r="O88" s="60"/>
      <c r="P88" s="60"/>
      <c r="Q88" s="64"/>
      <c r="R88" s="64"/>
      <c r="S88" s="64"/>
      <c r="T88" s="64"/>
      <c r="U88" s="64"/>
      <c r="V88" s="64"/>
      <c r="W88" s="64"/>
      <c r="X88" s="64"/>
      <c r="Y88" s="64"/>
      <c r="Z88" s="64"/>
      <c r="AA88" s="64"/>
      <c r="AB88" s="64"/>
      <c r="AC88" s="64"/>
      <c r="AD88" s="64"/>
      <c r="AE88" s="64"/>
      <c r="AF88" s="64"/>
      <c r="AG88" s="64"/>
      <c r="AH88" s="64"/>
      <c r="AI88" s="64"/>
      <c r="AJ88" s="64"/>
    </row>
    <row r="89">
      <c r="A89" s="64"/>
      <c r="B89" s="64"/>
      <c r="C89" s="64"/>
      <c r="D89" s="64"/>
      <c r="E89" s="64"/>
      <c r="F89" s="64"/>
      <c r="G89" s="64"/>
      <c r="H89" s="64"/>
      <c r="I89" s="64"/>
      <c r="J89" s="64"/>
      <c r="K89" s="64"/>
      <c r="L89" s="64"/>
      <c r="M89" s="60"/>
      <c r="N89" s="60"/>
      <c r="O89" s="60"/>
      <c r="P89" s="60"/>
      <c r="Q89" s="64"/>
      <c r="R89" s="64"/>
      <c r="S89" s="64"/>
      <c r="T89" s="64"/>
      <c r="U89" s="64"/>
      <c r="V89" s="64"/>
      <c r="W89" s="64"/>
      <c r="X89" s="64"/>
      <c r="Y89" s="64"/>
      <c r="Z89" s="64"/>
      <c r="AA89" s="64"/>
      <c r="AB89" s="64"/>
      <c r="AC89" s="64"/>
      <c r="AD89" s="64"/>
      <c r="AE89" s="64"/>
      <c r="AF89" s="64"/>
      <c r="AG89" s="64"/>
      <c r="AH89" s="64"/>
      <c r="AI89" s="64"/>
      <c r="AJ89" s="64"/>
    </row>
    <row r="90">
      <c r="A90" s="64"/>
      <c r="B90" s="64"/>
      <c r="C90" s="64"/>
      <c r="D90" s="64"/>
      <c r="E90" s="64"/>
      <c r="F90" s="64"/>
      <c r="G90" s="64"/>
      <c r="H90" s="64"/>
      <c r="I90" s="64"/>
      <c r="J90" s="64"/>
      <c r="K90" s="64"/>
      <c r="L90" s="64"/>
      <c r="M90" s="60"/>
      <c r="N90" s="60"/>
      <c r="O90" s="60"/>
      <c r="P90" s="60"/>
      <c r="Q90" s="64"/>
      <c r="R90" s="64"/>
      <c r="S90" s="64"/>
      <c r="T90" s="64"/>
      <c r="U90" s="64"/>
      <c r="V90" s="64"/>
      <c r="W90" s="64"/>
      <c r="X90" s="64"/>
      <c r="Y90" s="64"/>
      <c r="Z90" s="64"/>
      <c r="AA90" s="64"/>
      <c r="AB90" s="64"/>
      <c r="AC90" s="64"/>
      <c r="AD90" s="64"/>
      <c r="AE90" s="64"/>
      <c r="AF90" s="64"/>
      <c r="AG90" s="64"/>
      <c r="AH90" s="64"/>
      <c r="AI90" s="64"/>
      <c r="AJ90" s="64"/>
    </row>
    <row r="91">
      <c r="A91" s="64"/>
      <c r="B91" s="64"/>
      <c r="C91" s="64"/>
      <c r="D91" s="64"/>
      <c r="E91" s="64"/>
      <c r="F91" s="64"/>
      <c r="G91" s="64"/>
      <c r="H91" s="64"/>
      <c r="I91" s="64"/>
      <c r="J91" s="64"/>
      <c r="K91" s="64"/>
      <c r="L91" s="64"/>
      <c r="M91" s="60"/>
      <c r="N91" s="60"/>
      <c r="O91" s="60"/>
      <c r="P91" s="60"/>
      <c r="Q91" s="64"/>
      <c r="R91" s="64"/>
      <c r="S91" s="64"/>
      <c r="T91" s="64"/>
      <c r="U91" s="64"/>
      <c r="V91" s="64"/>
      <c r="W91" s="64"/>
      <c r="X91" s="64"/>
      <c r="Y91" s="64"/>
      <c r="Z91" s="64"/>
      <c r="AA91" s="64"/>
      <c r="AB91" s="64"/>
      <c r="AC91" s="64"/>
      <c r="AD91" s="64"/>
      <c r="AE91" s="64"/>
      <c r="AF91" s="64"/>
      <c r="AG91" s="64"/>
      <c r="AH91" s="64"/>
      <c r="AI91" s="64"/>
      <c r="AJ91" s="64"/>
    </row>
    <row r="92">
      <c r="A92" s="62" t="s">
        <v>2459</v>
      </c>
      <c r="B92" s="64"/>
      <c r="C92" s="64"/>
      <c r="D92" s="64"/>
      <c r="E92" s="64"/>
      <c r="F92" s="64"/>
      <c r="G92" s="64"/>
      <c r="H92" s="64"/>
      <c r="I92" s="64"/>
      <c r="J92" s="64"/>
      <c r="K92" s="64"/>
      <c r="L92" s="64"/>
      <c r="M92" s="60"/>
      <c r="N92" s="60"/>
      <c r="O92" s="60"/>
      <c r="P92" s="60"/>
      <c r="Q92" s="64"/>
      <c r="R92" s="64"/>
      <c r="S92" s="64"/>
      <c r="T92" s="64"/>
      <c r="U92" s="64"/>
      <c r="V92" s="64"/>
      <c r="W92" s="64"/>
      <c r="X92" s="64"/>
      <c r="Y92" s="64"/>
      <c r="Z92" s="64"/>
      <c r="AA92" s="64"/>
      <c r="AB92" s="64"/>
      <c r="AC92" s="64"/>
      <c r="AD92" s="64"/>
      <c r="AE92" s="64"/>
      <c r="AF92" s="64"/>
      <c r="AG92" s="64"/>
      <c r="AH92" s="64"/>
      <c r="AI92" s="64"/>
      <c r="AJ92" s="64"/>
    </row>
    <row r="93">
      <c r="A93" s="64"/>
      <c r="B93" s="64"/>
      <c r="C93" s="64"/>
      <c r="D93" s="64"/>
      <c r="E93" s="64"/>
      <c r="F93" s="64"/>
      <c r="G93" s="64"/>
      <c r="H93" s="64"/>
      <c r="I93" s="64"/>
      <c r="J93" s="64"/>
      <c r="K93" s="64"/>
      <c r="L93" s="64"/>
      <c r="M93" s="60"/>
      <c r="N93" s="60"/>
      <c r="O93" s="60"/>
      <c r="P93" s="60"/>
      <c r="Q93" s="64"/>
      <c r="R93" s="64"/>
      <c r="S93" s="64"/>
      <c r="T93" s="64"/>
      <c r="U93" s="64"/>
      <c r="V93" s="64"/>
      <c r="W93" s="64"/>
      <c r="X93" s="64"/>
      <c r="Y93" s="64"/>
      <c r="Z93" s="64"/>
      <c r="AA93" s="64"/>
      <c r="AB93" s="64"/>
      <c r="AC93" s="64"/>
      <c r="AD93" s="64"/>
      <c r="AE93" s="64"/>
      <c r="AF93" s="64"/>
      <c r="AG93" s="64"/>
      <c r="AH93" s="64"/>
      <c r="AI93" s="64"/>
      <c r="AJ93" s="64"/>
    </row>
    <row r="94">
      <c r="A94" s="64"/>
      <c r="B94" s="64"/>
      <c r="C94" s="64"/>
      <c r="D94" s="64"/>
      <c r="E94" s="64"/>
      <c r="F94" s="64"/>
      <c r="G94" s="64"/>
      <c r="H94" s="64"/>
      <c r="I94" s="64"/>
      <c r="J94" s="64"/>
      <c r="K94" s="64"/>
      <c r="L94" s="64"/>
      <c r="M94" s="60"/>
      <c r="N94" s="60"/>
      <c r="O94" s="60"/>
      <c r="P94" s="60"/>
      <c r="Q94" s="64"/>
      <c r="R94" s="64"/>
      <c r="S94" s="64"/>
      <c r="T94" s="64"/>
      <c r="U94" s="64"/>
      <c r="V94" s="64"/>
      <c r="W94" s="64"/>
      <c r="X94" s="64"/>
      <c r="Y94" s="64"/>
      <c r="Z94" s="64"/>
      <c r="AA94" s="64"/>
      <c r="AB94" s="64"/>
      <c r="AC94" s="64"/>
      <c r="AD94" s="64"/>
      <c r="AE94" s="64"/>
      <c r="AF94" s="64"/>
      <c r="AG94" s="64"/>
      <c r="AH94" s="64"/>
      <c r="AI94" s="64"/>
      <c r="AJ94" s="64"/>
    </row>
    <row r="95">
      <c r="A95" s="64"/>
      <c r="B95" s="64"/>
      <c r="C95" s="64"/>
      <c r="D95" s="64"/>
      <c r="E95" s="64"/>
      <c r="F95" s="64"/>
      <c r="G95" s="64"/>
      <c r="H95" s="64"/>
      <c r="I95" s="64"/>
      <c r="J95" s="64"/>
      <c r="K95" s="64"/>
      <c r="L95" s="64"/>
      <c r="M95" s="60"/>
      <c r="N95" s="60"/>
      <c r="O95" s="60"/>
      <c r="P95" s="60"/>
      <c r="Q95" s="64"/>
      <c r="R95" s="64"/>
      <c r="S95" s="64"/>
      <c r="T95" s="64"/>
      <c r="U95" s="64"/>
      <c r="V95" s="64"/>
      <c r="W95" s="64"/>
      <c r="X95" s="64"/>
      <c r="Y95" s="64"/>
      <c r="Z95" s="64"/>
      <c r="AA95" s="64"/>
      <c r="AB95" s="64"/>
      <c r="AC95" s="64"/>
      <c r="AD95" s="64"/>
      <c r="AE95" s="64"/>
      <c r="AF95" s="64"/>
      <c r="AG95" s="64"/>
      <c r="AH95" s="64"/>
      <c r="AI95" s="64"/>
      <c r="AJ95" s="64"/>
    </row>
    <row r="96">
      <c r="A96" s="64"/>
      <c r="B96" s="64"/>
      <c r="C96" s="64"/>
      <c r="D96" s="64"/>
      <c r="E96" s="64"/>
      <c r="F96" s="64"/>
      <c r="G96" s="64"/>
      <c r="H96" s="64"/>
      <c r="I96" s="64"/>
      <c r="J96" s="64"/>
      <c r="K96" s="64"/>
      <c r="L96" s="64"/>
      <c r="M96" s="60"/>
      <c r="N96" s="60"/>
      <c r="O96" s="60"/>
      <c r="P96" s="60"/>
      <c r="Q96" s="64"/>
      <c r="R96" s="64"/>
      <c r="S96" s="64"/>
      <c r="T96" s="64"/>
      <c r="U96" s="64"/>
      <c r="V96" s="64"/>
      <c r="W96" s="64"/>
      <c r="X96" s="64"/>
      <c r="Y96" s="64"/>
      <c r="Z96" s="64"/>
      <c r="AA96" s="64"/>
      <c r="AB96" s="64"/>
      <c r="AC96" s="64"/>
      <c r="AD96" s="64"/>
      <c r="AE96" s="64"/>
      <c r="AF96" s="64"/>
      <c r="AG96" s="64"/>
      <c r="AH96" s="64"/>
      <c r="AI96" s="64"/>
      <c r="AJ96" s="64"/>
    </row>
    <row r="97">
      <c r="A97" s="64"/>
      <c r="B97" s="64"/>
      <c r="C97" s="64"/>
      <c r="D97" s="64"/>
      <c r="E97" s="64"/>
      <c r="F97" s="64"/>
      <c r="G97" s="64"/>
      <c r="H97" s="64"/>
      <c r="I97" s="64"/>
      <c r="J97" s="64"/>
      <c r="K97" s="64"/>
      <c r="L97" s="64"/>
      <c r="M97" s="60"/>
      <c r="N97" s="60"/>
      <c r="O97" s="60"/>
      <c r="P97" s="60"/>
      <c r="Q97" s="64"/>
      <c r="R97" s="64"/>
      <c r="S97" s="64"/>
      <c r="T97" s="64"/>
      <c r="U97" s="64"/>
      <c r="V97" s="64"/>
      <c r="W97" s="64"/>
      <c r="X97" s="64"/>
      <c r="Y97" s="64"/>
      <c r="Z97" s="64"/>
      <c r="AA97" s="64"/>
      <c r="AB97" s="64"/>
      <c r="AC97" s="64"/>
      <c r="AD97" s="64"/>
      <c r="AE97" s="64"/>
      <c r="AF97" s="64"/>
      <c r="AG97" s="64"/>
      <c r="AH97" s="64"/>
      <c r="AI97" s="64"/>
      <c r="AJ97" s="64"/>
    </row>
    <row r="98">
      <c r="A98" s="64"/>
      <c r="B98" s="64"/>
      <c r="C98" s="64"/>
      <c r="D98" s="64"/>
      <c r="E98" s="64"/>
      <c r="F98" s="64"/>
      <c r="G98" s="64"/>
      <c r="H98" s="64"/>
      <c r="I98" s="64"/>
      <c r="J98" s="64"/>
      <c r="K98" s="64"/>
      <c r="L98" s="64"/>
      <c r="M98" s="60"/>
      <c r="N98" s="60"/>
      <c r="O98" s="60"/>
      <c r="P98" s="60"/>
      <c r="Q98" s="64"/>
      <c r="R98" s="64"/>
      <c r="S98" s="64"/>
      <c r="T98" s="64"/>
      <c r="U98" s="64"/>
      <c r="V98" s="64"/>
      <c r="W98" s="64"/>
      <c r="X98" s="64"/>
      <c r="Y98" s="64"/>
      <c r="Z98" s="64"/>
      <c r="AA98" s="64"/>
      <c r="AB98" s="64"/>
      <c r="AC98" s="64"/>
      <c r="AD98" s="64"/>
      <c r="AE98" s="64"/>
      <c r="AF98" s="64"/>
      <c r="AG98" s="64"/>
      <c r="AH98" s="64"/>
      <c r="AI98" s="64"/>
      <c r="AJ98" s="64"/>
    </row>
    <row r="99">
      <c r="A99" s="64"/>
      <c r="B99" s="64"/>
      <c r="C99" s="64"/>
      <c r="D99" s="64"/>
      <c r="E99" s="64"/>
      <c r="F99" s="64"/>
      <c r="G99" s="64"/>
      <c r="H99" s="64"/>
      <c r="I99" s="64"/>
      <c r="J99" s="64"/>
      <c r="K99" s="64"/>
      <c r="L99" s="64"/>
      <c r="M99" s="60"/>
      <c r="N99" s="60"/>
      <c r="O99" s="60"/>
      <c r="P99" s="60"/>
      <c r="Q99" s="64"/>
      <c r="R99" s="64"/>
      <c r="S99" s="64"/>
      <c r="T99" s="64"/>
      <c r="U99" s="64"/>
      <c r="V99" s="64"/>
      <c r="W99" s="64"/>
      <c r="X99" s="64"/>
      <c r="Y99" s="64"/>
      <c r="Z99" s="64"/>
      <c r="AA99" s="64"/>
      <c r="AB99" s="64"/>
      <c r="AC99" s="64"/>
      <c r="AD99" s="64"/>
      <c r="AE99" s="64"/>
      <c r="AF99" s="64"/>
      <c r="AG99" s="64"/>
      <c r="AH99" s="64"/>
      <c r="AI99" s="64"/>
      <c r="AJ99" s="64"/>
    </row>
    <row r="100">
      <c r="A100" s="64"/>
      <c r="B100" s="64"/>
      <c r="C100" s="64"/>
      <c r="D100" s="64"/>
      <c r="E100" s="64"/>
      <c r="F100" s="64"/>
      <c r="G100" s="64"/>
      <c r="H100" s="64"/>
      <c r="I100" s="64"/>
      <c r="J100" s="64"/>
      <c r="K100" s="64"/>
      <c r="L100" s="64"/>
      <c r="M100" s="60"/>
      <c r="N100" s="60"/>
      <c r="O100" s="60"/>
      <c r="P100" s="60"/>
      <c r="Q100" s="64"/>
      <c r="R100" s="64"/>
      <c r="S100" s="64"/>
      <c r="T100" s="64"/>
      <c r="U100" s="64"/>
      <c r="V100" s="64"/>
      <c r="W100" s="64"/>
      <c r="X100" s="64"/>
      <c r="Y100" s="64"/>
      <c r="Z100" s="64"/>
      <c r="AA100" s="64"/>
      <c r="AB100" s="64"/>
      <c r="AC100" s="64"/>
      <c r="AD100" s="64"/>
      <c r="AE100" s="64"/>
      <c r="AF100" s="64"/>
      <c r="AG100" s="64"/>
      <c r="AH100" s="64"/>
      <c r="AI100" s="64"/>
      <c r="AJ100" s="64"/>
    </row>
    <row r="101">
      <c r="A101" s="64"/>
      <c r="B101" s="64"/>
      <c r="C101" s="64"/>
      <c r="D101" s="64"/>
      <c r="E101" s="64"/>
      <c r="F101" s="64"/>
      <c r="G101" s="64"/>
      <c r="H101" s="64"/>
      <c r="I101" s="64"/>
      <c r="J101" s="64"/>
      <c r="K101" s="64"/>
      <c r="L101" s="64"/>
      <c r="M101" s="60"/>
      <c r="N101" s="60"/>
      <c r="O101" s="60"/>
      <c r="P101" s="60"/>
      <c r="Q101" s="64"/>
      <c r="R101" s="64"/>
      <c r="S101" s="64"/>
      <c r="T101" s="64"/>
      <c r="U101" s="64"/>
      <c r="V101" s="64"/>
      <c r="W101" s="64"/>
      <c r="X101" s="64"/>
      <c r="Y101" s="64"/>
      <c r="Z101" s="64"/>
      <c r="AA101" s="64"/>
      <c r="AB101" s="64"/>
      <c r="AC101" s="64"/>
      <c r="AD101" s="64"/>
      <c r="AE101" s="64"/>
      <c r="AF101" s="64"/>
      <c r="AG101" s="64"/>
      <c r="AH101" s="64"/>
      <c r="AI101" s="64"/>
      <c r="AJ101" s="64"/>
    </row>
    <row r="102">
      <c r="A102" s="64"/>
      <c r="B102" s="64"/>
      <c r="C102" s="64"/>
      <c r="D102" s="64"/>
      <c r="E102" s="64"/>
      <c r="F102" s="64"/>
      <c r="G102" s="64"/>
      <c r="H102" s="64"/>
      <c r="I102" s="64"/>
      <c r="J102" s="64"/>
      <c r="K102" s="64"/>
      <c r="L102" s="64"/>
      <c r="M102" s="60"/>
      <c r="N102" s="60"/>
      <c r="O102" s="60"/>
      <c r="P102" s="60"/>
      <c r="Q102" s="64"/>
      <c r="R102" s="64"/>
      <c r="S102" s="64"/>
      <c r="T102" s="64"/>
      <c r="U102" s="64"/>
      <c r="V102" s="64"/>
      <c r="W102" s="64"/>
      <c r="X102" s="64"/>
      <c r="Y102" s="64"/>
      <c r="Z102" s="64"/>
      <c r="AA102" s="64"/>
      <c r="AB102" s="64"/>
      <c r="AC102" s="64"/>
      <c r="AD102" s="64"/>
      <c r="AE102" s="64"/>
      <c r="AF102" s="64"/>
      <c r="AG102" s="64"/>
      <c r="AH102" s="64"/>
      <c r="AI102" s="64"/>
      <c r="AJ102" s="64"/>
    </row>
    <row r="103">
      <c r="A103" s="64"/>
      <c r="B103" s="64"/>
      <c r="C103" s="64"/>
      <c r="D103" s="64"/>
      <c r="E103" s="64"/>
      <c r="F103" s="64"/>
      <c r="G103" s="64"/>
      <c r="H103" s="64"/>
      <c r="I103" s="64"/>
      <c r="J103" s="64"/>
      <c r="K103" s="64"/>
      <c r="L103" s="64"/>
      <c r="M103" s="60"/>
      <c r="N103" s="60"/>
      <c r="O103" s="60"/>
      <c r="P103" s="60"/>
      <c r="Q103" s="64"/>
      <c r="R103" s="64"/>
      <c r="S103" s="64"/>
      <c r="T103" s="64"/>
      <c r="U103" s="64"/>
      <c r="V103" s="64"/>
      <c r="W103" s="64"/>
      <c r="X103" s="64"/>
      <c r="Y103" s="64"/>
      <c r="Z103" s="64"/>
      <c r="AA103" s="64"/>
      <c r="AB103" s="64"/>
      <c r="AC103" s="64"/>
      <c r="AD103" s="64"/>
      <c r="AE103" s="64"/>
      <c r="AF103" s="64"/>
      <c r="AG103" s="64"/>
      <c r="AH103" s="64"/>
      <c r="AI103" s="64"/>
      <c r="AJ103" s="64"/>
    </row>
    <row r="104">
      <c r="A104" s="64"/>
      <c r="B104" s="64"/>
      <c r="C104" s="64"/>
      <c r="D104" s="64"/>
      <c r="E104" s="64"/>
      <c r="F104" s="64"/>
      <c r="G104" s="64"/>
      <c r="H104" s="64"/>
      <c r="I104" s="64"/>
      <c r="J104" s="64"/>
      <c r="K104" s="64"/>
      <c r="L104" s="64"/>
      <c r="M104" s="60"/>
      <c r="N104" s="60"/>
      <c r="O104" s="60"/>
      <c r="P104" s="60"/>
      <c r="Q104" s="64"/>
      <c r="R104" s="64"/>
      <c r="S104" s="64"/>
      <c r="T104" s="64"/>
      <c r="U104" s="64"/>
      <c r="V104" s="64"/>
      <c r="W104" s="64"/>
      <c r="X104" s="64"/>
      <c r="Y104" s="64"/>
      <c r="Z104" s="64"/>
      <c r="AA104" s="64"/>
      <c r="AB104" s="64"/>
      <c r="AC104" s="64"/>
      <c r="AD104" s="64"/>
      <c r="AE104" s="64"/>
      <c r="AF104" s="64"/>
      <c r="AG104" s="64"/>
      <c r="AH104" s="64"/>
      <c r="AI104" s="64"/>
      <c r="AJ104" s="64"/>
    </row>
    <row r="105">
      <c r="A105" s="64"/>
      <c r="B105" s="64"/>
      <c r="C105" s="64"/>
      <c r="D105" s="64"/>
      <c r="E105" s="64"/>
      <c r="F105" s="64"/>
      <c r="G105" s="64"/>
      <c r="H105" s="64"/>
      <c r="I105" s="64"/>
      <c r="J105" s="64"/>
      <c r="K105" s="64"/>
      <c r="L105" s="64"/>
      <c r="M105" s="60"/>
      <c r="N105" s="60"/>
      <c r="O105" s="60"/>
      <c r="P105" s="60"/>
      <c r="Q105" s="64"/>
      <c r="R105" s="64"/>
      <c r="S105" s="64"/>
      <c r="T105" s="64"/>
      <c r="U105" s="64"/>
      <c r="V105" s="64"/>
      <c r="W105" s="64"/>
      <c r="X105" s="64"/>
      <c r="Y105" s="64"/>
      <c r="Z105" s="64"/>
      <c r="AA105" s="64"/>
      <c r="AB105" s="64"/>
      <c r="AC105" s="64"/>
      <c r="AD105" s="64"/>
      <c r="AE105" s="64"/>
      <c r="AF105" s="64"/>
      <c r="AG105" s="64"/>
      <c r="AH105" s="64"/>
      <c r="AI105" s="64"/>
      <c r="AJ105" s="64"/>
    </row>
    <row r="106">
      <c r="A106" s="64"/>
      <c r="B106" s="64"/>
      <c r="C106" s="64"/>
      <c r="D106" s="64"/>
      <c r="E106" s="64"/>
      <c r="F106" s="64"/>
      <c r="G106" s="64"/>
      <c r="H106" s="64"/>
      <c r="I106" s="64"/>
      <c r="J106" s="64"/>
      <c r="K106" s="64"/>
      <c r="L106" s="64"/>
      <c r="M106" s="60"/>
      <c r="N106" s="60"/>
      <c r="O106" s="60"/>
      <c r="P106" s="60"/>
      <c r="Q106" s="64"/>
      <c r="R106" s="64"/>
      <c r="S106" s="64"/>
      <c r="T106" s="64"/>
      <c r="U106" s="64"/>
      <c r="V106" s="64"/>
      <c r="W106" s="64"/>
      <c r="X106" s="64"/>
      <c r="Y106" s="64"/>
      <c r="Z106" s="64"/>
      <c r="AA106" s="64"/>
      <c r="AB106" s="64"/>
      <c r="AC106" s="64"/>
      <c r="AD106" s="64"/>
      <c r="AE106" s="64"/>
      <c r="AF106" s="64"/>
      <c r="AG106" s="64"/>
      <c r="AH106" s="64"/>
      <c r="AI106" s="64"/>
      <c r="AJ106" s="64"/>
    </row>
    <row r="107">
      <c r="A107" s="64"/>
      <c r="B107" s="64"/>
      <c r="C107" s="64"/>
      <c r="D107" s="64"/>
      <c r="E107" s="64"/>
      <c r="F107" s="64"/>
      <c r="G107" s="64"/>
      <c r="H107" s="64"/>
      <c r="I107" s="64"/>
      <c r="J107" s="64"/>
      <c r="K107" s="64"/>
      <c r="L107" s="64"/>
      <c r="M107" s="60"/>
      <c r="N107" s="60"/>
      <c r="O107" s="60"/>
      <c r="P107" s="60"/>
      <c r="Q107" s="64"/>
      <c r="R107" s="64"/>
      <c r="S107" s="64"/>
      <c r="T107" s="64"/>
      <c r="U107" s="64"/>
      <c r="V107" s="64"/>
      <c r="W107" s="64"/>
      <c r="X107" s="64"/>
      <c r="Y107" s="64"/>
      <c r="Z107" s="64"/>
      <c r="AA107" s="64"/>
      <c r="AB107" s="64"/>
      <c r="AC107" s="64"/>
      <c r="AD107" s="64"/>
      <c r="AE107" s="64"/>
      <c r="AF107" s="64"/>
      <c r="AG107" s="64"/>
      <c r="AH107" s="64"/>
      <c r="AI107" s="64"/>
      <c r="AJ107" s="64"/>
    </row>
    <row r="108">
      <c r="A108" s="64"/>
      <c r="B108" s="64"/>
      <c r="C108" s="64"/>
      <c r="D108" s="64"/>
      <c r="E108" s="64"/>
      <c r="F108" s="64"/>
      <c r="G108" s="64"/>
      <c r="H108" s="64"/>
      <c r="I108" s="64"/>
      <c r="J108" s="64"/>
      <c r="K108" s="64"/>
      <c r="L108" s="64"/>
      <c r="M108" s="60"/>
      <c r="N108" s="60"/>
      <c r="O108" s="60"/>
      <c r="P108" s="60"/>
      <c r="Q108" s="64"/>
      <c r="R108" s="64"/>
      <c r="S108" s="64"/>
      <c r="T108" s="64"/>
      <c r="U108" s="64"/>
      <c r="V108" s="64"/>
      <c r="W108" s="64"/>
      <c r="X108" s="64"/>
      <c r="Y108" s="64"/>
      <c r="Z108" s="64"/>
      <c r="AA108" s="64"/>
      <c r="AB108" s="64"/>
      <c r="AC108" s="64"/>
      <c r="AD108" s="64"/>
      <c r="AE108" s="64"/>
      <c r="AF108" s="64"/>
      <c r="AG108" s="64"/>
      <c r="AH108" s="64"/>
      <c r="AI108" s="64"/>
      <c r="AJ108" s="64"/>
    </row>
    <row r="109">
      <c r="A109" s="64"/>
      <c r="B109" s="64"/>
      <c r="C109" s="64"/>
      <c r="D109" s="64"/>
      <c r="E109" s="64"/>
      <c r="F109" s="64"/>
      <c r="G109" s="64"/>
      <c r="H109" s="64"/>
      <c r="I109" s="64"/>
      <c r="J109" s="64"/>
      <c r="K109" s="64"/>
      <c r="L109" s="64"/>
      <c r="M109" s="60"/>
      <c r="N109" s="60"/>
      <c r="O109" s="60"/>
      <c r="P109" s="60"/>
      <c r="Q109" s="64"/>
      <c r="R109" s="64"/>
      <c r="S109" s="64"/>
      <c r="T109" s="64"/>
      <c r="U109" s="64"/>
      <c r="V109" s="64"/>
      <c r="W109" s="64"/>
      <c r="X109" s="64"/>
      <c r="Y109" s="64"/>
      <c r="Z109" s="64"/>
      <c r="AA109" s="64"/>
      <c r="AB109" s="64"/>
      <c r="AC109" s="64"/>
      <c r="AD109" s="64"/>
      <c r="AE109" s="64"/>
      <c r="AF109" s="64"/>
      <c r="AG109" s="64"/>
      <c r="AH109" s="64"/>
      <c r="AI109" s="64"/>
      <c r="AJ109" s="64"/>
    </row>
    <row r="110">
      <c r="A110" s="64"/>
      <c r="B110" s="64"/>
      <c r="C110" s="64"/>
      <c r="D110" s="64"/>
      <c r="E110" s="64"/>
      <c r="F110" s="64"/>
      <c r="G110" s="64"/>
      <c r="H110" s="64"/>
      <c r="I110" s="64"/>
      <c r="J110" s="64"/>
      <c r="K110" s="64"/>
      <c r="L110" s="64"/>
      <c r="M110" s="60"/>
      <c r="N110" s="60"/>
      <c r="O110" s="60"/>
      <c r="P110" s="60"/>
      <c r="Q110" s="64"/>
      <c r="R110" s="64"/>
      <c r="S110" s="64"/>
      <c r="T110" s="64"/>
      <c r="U110" s="64"/>
      <c r="V110" s="64"/>
      <c r="W110" s="64"/>
      <c r="X110" s="64"/>
      <c r="Y110" s="64"/>
      <c r="Z110" s="64"/>
      <c r="AA110" s="64"/>
      <c r="AB110" s="64"/>
      <c r="AC110" s="64"/>
      <c r="AD110" s="64"/>
      <c r="AE110" s="64"/>
      <c r="AF110" s="64"/>
      <c r="AG110" s="64"/>
      <c r="AH110" s="64"/>
      <c r="AI110" s="64"/>
      <c r="AJ110" s="64"/>
    </row>
    <row r="111">
      <c r="A111" s="64"/>
      <c r="B111" s="64"/>
      <c r="C111" s="64"/>
      <c r="D111" s="64"/>
      <c r="E111" s="64"/>
      <c r="F111" s="64"/>
      <c r="G111" s="64"/>
      <c r="H111" s="64"/>
      <c r="I111" s="64"/>
      <c r="J111" s="64"/>
      <c r="K111" s="64"/>
      <c r="L111" s="64"/>
      <c r="M111" s="60"/>
      <c r="N111" s="60"/>
      <c r="O111" s="60"/>
      <c r="P111" s="60"/>
      <c r="Q111" s="64"/>
      <c r="R111" s="64"/>
      <c r="S111" s="64"/>
      <c r="T111" s="64"/>
      <c r="U111" s="64"/>
      <c r="V111" s="64"/>
      <c r="W111" s="64"/>
      <c r="X111" s="64"/>
      <c r="Y111" s="64"/>
      <c r="Z111" s="64"/>
      <c r="AA111" s="64"/>
      <c r="AB111" s="64"/>
      <c r="AC111" s="64"/>
      <c r="AD111" s="64"/>
      <c r="AE111" s="64"/>
      <c r="AF111" s="64"/>
      <c r="AG111" s="64"/>
      <c r="AH111" s="64"/>
      <c r="AI111" s="64"/>
      <c r="AJ111" s="64"/>
    </row>
    <row r="112">
      <c r="A112" s="64"/>
      <c r="B112" s="64"/>
      <c r="C112" s="64"/>
      <c r="D112" s="64"/>
      <c r="E112" s="64"/>
      <c r="F112" s="64"/>
      <c r="G112" s="64"/>
      <c r="H112" s="64"/>
      <c r="I112" s="64"/>
      <c r="J112" s="64"/>
      <c r="K112" s="64"/>
      <c r="L112" s="64"/>
      <c r="M112" s="60"/>
      <c r="N112" s="60"/>
      <c r="O112" s="60"/>
      <c r="P112" s="60"/>
      <c r="Q112" s="64"/>
      <c r="R112" s="64"/>
      <c r="S112" s="64"/>
      <c r="T112" s="64"/>
      <c r="U112" s="64"/>
      <c r="V112" s="64"/>
      <c r="W112" s="64"/>
      <c r="X112" s="64"/>
      <c r="Y112" s="64"/>
      <c r="Z112" s="64"/>
      <c r="AA112" s="64"/>
      <c r="AB112" s="64"/>
      <c r="AC112" s="64"/>
      <c r="AD112" s="64"/>
      <c r="AE112" s="64"/>
      <c r="AF112" s="64"/>
      <c r="AG112" s="64"/>
      <c r="AH112" s="64"/>
      <c r="AI112" s="64"/>
      <c r="AJ112" s="64"/>
    </row>
    <row r="113">
      <c r="A113" s="64"/>
      <c r="B113" s="64"/>
      <c r="C113" s="64"/>
      <c r="D113" s="64"/>
      <c r="E113" s="64"/>
      <c r="F113" s="64"/>
      <c r="G113" s="64"/>
      <c r="H113" s="64"/>
      <c r="I113" s="64"/>
      <c r="J113" s="64"/>
      <c r="K113" s="64"/>
      <c r="L113" s="64"/>
      <c r="M113" s="60"/>
      <c r="N113" s="60"/>
      <c r="O113" s="60"/>
      <c r="P113" s="60"/>
      <c r="Q113" s="64"/>
      <c r="R113" s="64"/>
      <c r="S113" s="64"/>
      <c r="T113" s="64"/>
      <c r="U113" s="64"/>
      <c r="V113" s="64"/>
      <c r="W113" s="64"/>
      <c r="X113" s="64"/>
      <c r="Y113" s="64"/>
      <c r="Z113" s="64"/>
      <c r="AA113" s="64"/>
      <c r="AB113" s="64"/>
      <c r="AC113" s="64"/>
      <c r="AD113" s="64"/>
      <c r="AE113" s="64"/>
      <c r="AF113" s="64"/>
      <c r="AG113" s="64"/>
      <c r="AH113" s="64"/>
      <c r="AI113" s="64"/>
      <c r="AJ113" s="64"/>
    </row>
    <row r="114">
      <c r="A114" s="64"/>
      <c r="B114" s="64"/>
      <c r="C114" s="64"/>
      <c r="D114" s="64"/>
      <c r="E114" s="64"/>
      <c r="F114" s="64"/>
      <c r="G114" s="64"/>
      <c r="H114" s="64"/>
      <c r="I114" s="64"/>
      <c r="J114" s="64"/>
      <c r="K114" s="64"/>
      <c r="L114" s="64"/>
      <c r="M114" s="60"/>
      <c r="N114" s="60"/>
      <c r="O114" s="60"/>
      <c r="P114" s="60"/>
      <c r="Q114" s="64"/>
      <c r="R114" s="64"/>
      <c r="S114" s="64"/>
      <c r="T114" s="64"/>
      <c r="U114" s="64"/>
      <c r="V114" s="64"/>
      <c r="W114" s="64"/>
      <c r="X114" s="64"/>
      <c r="Y114" s="64"/>
      <c r="Z114" s="64"/>
      <c r="AA114" s="64"/>
      <c r="AB114" s="64"/>
      <c r="AC114" s="64"/>
      <c r="AD114" s="64"/>
      <c r="AE114" s="64"/>
      <c r="AF114" s="64"/>
      <c r="AG114" s="64"/>
      <c r="AH114" s="64"/>
      <c r="AI114" s="64"/>
      <c r="AJ114" s="64"/>
    </row>
    <row r="115">
      <c r="A115" s="64"/>
      <c r="B115" s="64"/>
      <c r="C115" s="64"/>
      <c r="D115" s="64"/>
      <c r="E115" s="64"/>
      <c r="F115" s="64"/>
      <c r="G115" s="64"/>
      <c r="H115" s="64"/>
      <c r="I115" s="64"/>
      <c r="J115" s="64"/>
      <c r="K115" s="64"/>
      <c r="L115" s="64"/>
      <c r="M115" s="60"/>
      <c r="N115" s="60"/>
      <c r="O115" s="60"/>
      <c r="P115" s="60"/>
      <c r="Q115" s="64"/>
      <c r="R115" s="64"/>
      <c r="S115" s="64"/>
      <c r="T115" s="64"/>
      <c r="U115" s="64"/>
      <c r="V115" s="64"/>
      <c r="W115" s="64"/>
      <c r="X115" s="64"/>
      <c r="Y115" s="64"/>
      <c r="Z115" s="64"/>
      <c r="AA115" s="64"/>
      <c r="AB115" s="64"/>
      <c r="AC115" s="64"/>
      <c r="AD115" s="64"/>
      <c r="AE115" s="64"/>
      <c r="AF115" s="64"/>
      <c r="AG115" s="64"/>
      <c r="AH115" s="64"/>
      <c r="AI115" s="64"/>
      <c r="AJ115" s="64"/>
    </row>
    <row r="116">
      <c r="A116" s="64"/>
      <c r="B116" s="64"/>
      <c r="C116" s="64"/>
      <c r="D116" s="64"/>
      <c r="E116" s="64"/>
      <c r="F116" s="64"/>
      <c r="G116" s="64"/>
      <c r="H116" s="64"/>
      <c r="I116" s="64"/>
      <c r="J116" s="64"/>
      <c r="K116" s="64"/>
      <c r="L116" s="64"/>
      <c r="M116" s="60"/>
      <c r="N116" s="60"/>
      <c r="O116" s="60"/>
      <c r="P116" s="60"/>
      <c r="Q116" s="64"/>
      <c r="R116" s="64"/>
      <c r="S116" s="64"/>
      <c r="T116" s="64"/>
      <c r="U116" s="64"/>
      <c r="V116" s="64"/>
      <c r="W116" s="64"/>
      <c r="X116" s="64"/>
      <c r="Y116" s="64"/>
      <c r="Z116" s="64"/>
      <c r="AA116" s="64"/>
      <c r="AB116" s="64"/>
      <c r="AC116" s="64"/>
      <c r="AD116" s="64"/>
      <c r="AE116" s="64"/>
      <c r="AF116" s="64"/>
      <c r="AG116" s="64"/>
      <c r="AH116" s="64"/>
      <c r="AI116" s="64"/>
      <c r="AJ116" s="64"/>
    </row>
    <row r="117">
      <c r="A117" s="64"/>
      <c r="B117" s="64"/>
      <c r="C117" s="64"/>
      <c r="D117" s="64"/>
      <c r="E117" s="64"/>
      <c r="F117" s="64"/>
      <c r="G117" s="64"/>
      <c r="H117" s="64"/>
      <c r="I117" s="64"/>
      <c r="J117" s="64"/>
      <c r="K117" s="64"/>
      <c r="L117" s="64"/>
      <c r="M117" s="60"/>
      <c r="N117" s="60"/>
      <c r="O117" s="60"/>
      <c r="P117" s="60"/>
      <c r="Q117" s="64"/>
      <c r="R117" s="64"/>
      <c r="S117" s="64"/>
      <c r="T117" s="64"/>
      <c r="U117" s="64"/>
      <c r="V117" s="64"/>
      <c r="W117" s="64"/>
      <c r="X117" s="64"/>
      <c r="Y117" s="64"/>
      <c r="Z117" s="64"/>
      <c r="AA117" s="64"/>
      <c r="AB117" s="64"/>
      <c r="AC117" s="64"/>
      <c r="AD117" s="64"/>
      <c r="AE117" s="64"/>
      <c r="AF117" s="64"/>
      <c r="AG117" s="64"/>
      <c r="AH117" s="64"/>
      <c r="AI117" s="64"/>
      <c r="AJ117" s="64"/>
    </row>
    <row r="118">
      <c r="A118" s="64"/>
      <c r="B118" s="64"/>
      <c r="C118" s="64"/>
      <c r="D118" s="64"/>
      <c r="E118" s="64"/>
      <c r="F118" s="64"/>
      <c r="G118" s="64"/>
      <c r="H118" s="64"/>
      <c r="I118" s="64"/>
      <c r="J118" s="64"/>
      <c r="K118" s="64"/>
      <c r="L118" s="64"/>
      <c r="M118" s="60"/>
      <c r="N118" s="60"/>
      <c r="O118" s="60"/>
      <c r="P118" s="60"/>
      <c r="Q118" s="64"/>
      <c r="R118" s="64"/>
      <c r="S118" s="64"/>
      <c r="T118" s="64"/>
      <c r="U118" s="64"/>
      <c r="V118" s="64"/>
      <c r="W118" s="64"/>
      <c r="X118" s="64"/>
      <c r="Y118" s="64"/>
      <c r="Z118" s="64"/>
      <c r="AA118" s="64"/>
      <c r="AB118" s="64"/>
      <c r="AC118" s="64"/>
      <c r="AD118" s="64"/>
      <c r="AE118" s="64"/>
      <c r="AF118" s="64"/>
      <c r="AG118" s="64"/>
      <c r="AH118" s="64"/>
      <c r="AI118" s="64"/>
      <c r="AJ118" s="64"/>
    </row>
    <row r="119">
      <c r="A119" s="64"/>
      <c r="B119" s="64"/>
      <c r="C119" s="64"/>
      <c r="D119" s="64"/>
      <c r="E119" s="64"/>
      <c r="F119" s="64"/>
      <c r="G119" s="64"/>
      <c r="H119" s="64"/>
      <c r="I119" s="64"/>
      <c r="J119" s="64"/>
      <c r="K119" s="64"/>
      <c r="L119" s="64"/>
      <c r="M119" s="60"/>
      <c r="N119" s="60"/>
      <c r="O119" s="60"/>
      <c r="P119" s="60"/>
      <c r="Q119" s="64"/>
      <c r="R119" s="64"/>
      <c r="S119" s="64"/>
      <c r="T119" s="64"/>
      <c r="U119" s="64"/>
      <c r="V119" s="64"/>
      <c r="W119" s="64"/>
      <c r="X119" s="64"/>
      <c r="Y119" s="64"/>
      <c r="Z119" s="64"/>
      <c r="AA119" s="64"/>
      <c r="AB119" s="64"/>
      <c r="AC119" s="64"/>
      <c r="AD119" s="64"/>
      <c r="AE119" s="64"/>
      <c r="AF119" s="64"/>
      <c r="AG119" s="64"/>
      <c r="AH119" s="64"/>
      <c r="AI119" s="64"/>
      <c r="AJ119" s="64"/>
    </row>
    <row r="120">
      <c r="A120" s="64"/>
      <c r="B120" s="64"/>
      <c r="C120" s="64"/>
      <c r="D120" s="64"/>
      <c r="E120" s="64"/>
      <c r="F120" s="64"/>
      <c r="G120" s="64"/>
      <c r="H120" s="64"/>
      <c r="I120" s="64"/>
      <c r="J120" s="64"/>
      <c r="K120" s="64"/>
      <c r="L120" s="64"/>
      <c r="M120" s="60"/>
      <c r="N120" s="60"/>
      <c r="O120" s="60"/>
      <c r="P120" s="60"/>
      <c r="Q120" s="64"/>
      <c r="R120" s="64"/>
      <c r="S120" s="64"/>
      <c r="T120" s="64"/>
      <c r="U120" s="64"/>
      <c r="V120" s="64"/>
      <c r="W120" s="64"/>
      <c r="X120" s="64"/>
      <c r="Y120" s="64"/>
      <c r="Z120" s="64"/>
      <c r="AA120" s="64"/>
      <c r="AB120" s="64"/>
      <c r="AC120" s="64"/>
      <c r="AD120" s="64"/>
      <c r="AE120" s="64"/>
      <c r="AF120" s="64"/>
      <c r="AG120" s="64"/>
      <c r="AH120" s="64"/>
      <c r="AI120" s="64"/>
      <c r="AJ120" s="64"/>
    </row>
    <row r="121">
      <c r="A121" s="64"/>
      <c r="B121" s="64"/>
      <c r="C121" s="64"/>
      <c r="D121" s="64"/>
      <c r="E121" s="64"/>
      <c r="F121" s="64"/>
      <c r="G121" s="64"/>
      <c r="H121" s="64"/>
      <c r="I121" s="64"/>
      <c r="J121" s="64"/>
      <c r="K121" s="64"/>
      <c r="L121" s="64"/>
      <c r="M121" s="60"/>
      <c r="N121" s="60"/>
      <c r="O121" s="60"/>
      <c r="P121" s="60"/>
      <c r="Q121" s="64"/>
      <c r="R121" s="64"/>
      <c r="S121" s="64"/>
      <c r="T121" s="64"/>
      <c r="U121" s="64"/>
      <c r="V121" s="64"/>
      <c r="W121" s="64"/>
      <c r="X121" s="64"/>
      <c r="Y121" s="64"/>
      <c r="Z121" s="64"/>
      <c r="AA121" s="64"/>
      <c r="AB121" s="64"/>
      <c r="AC121" s="64"/>
      <c r="AD121" s="64"/>
      <c r="AE121" s="64"/>
      <c r="AF121" s="64"/>
      <c r="AG121" s="64"/>
      <c r="AH121" s="64"/>
      <c r="AI121" s="64"/>
      <c r="AJ121" s="64"/>
    </row>
    <row r="122">
      <c r="A122" s="64"/>
      <c r="B122" s="64"/>
      <c r="C122" s="64"/>
      <c r="D122" s="64"/>
      <c r="E122" s="64"/>
      <c r="F122" s="64"/>
      <c r="G122" s="64"/>
      <c r="H122" s="64"/>
      <c r="I122" s="64"/>
      <c r="J122" s="64"/>
      <c r="K122" s="64"/>
      <c r="L122" s="64"/>
      <c r="M122" s="60"/>
      <c r="N122" s="60"/>
      <c r="O122" s="60"/>
      <c r="P122" s="60"/>
      <c r="Q122" s="64"/>
      <c r="R122" s="64"/>
      <c r="S122" s="64"/>
      <c r="T122" s="64"/>
      <c r="U122" s="64"/>
      <c r="V122" s="64"/>
      <c r="W122" s="64"/>
      <c r="X122" s="64"/>
      <c r="Y122" s="64"/>
      <c r="Z122" s="64"/>
      <c r="AA122" s="64"/>
      <c r="AB122" s="64"/>
      <c r="AC122" s="64"/>
      <c r="AD122" s="64"/>
      <c r="AE122" s="64"/>
      <c r="AF122" s="64"/>
      <c r="AG122" s="64"/>
      <c r="AH122" s="64"/>
      <c r="AI122" s="64"/>
      <c r="AJ122" s="64"/>
    </row>
    <row r="123">
      <c r="A123" s="64"/>
      <c r="B123" s="64"/>
      <c r="C123" s="64"/>
      <c r="D123" s="64"/>
      <c r="E123" s="64"/>
      <c r="F123" s="64"/>
      <c r="G123" s="64"/>
      <c r="H123" s="64"/>
      <c r="I123" s="64"/>
      <c r="J123" s="64"/>
      <c r="K123" s="64"/>
      <c r="L123" s="64"/>
      <c r="M123" s="60"/>
      <c r="N123" s="60"/>
      <c r="O123" s="60"/>
      <c r="P123" s="60"/>
      <c r="Q123" s="64"/>
      <c r="R123" s="64"/>
      <c r="S123" s="64"/>
      <c r="T123" s="64"/>
      <c r="U123" s="64"/>
      <c r="V123" s="64"/>
      <c r="W123" s="64"/>
      <c r="X123" s="64"/>
      <c r="Y123" s="64"/>
      <c r="Z123" s="64"/>
      <c r="AA123" s="64"/>
      <c r="AB123" s="64"/>
      <c r="AC123" s="64"/>
      <c r="AD123" s="64"/>
      <c r="AE123" s="64"/>
      <c r="AF123" s="64"/>
      <c r="AG123" s="64"/>
      <c r="AH123" s="64"/>
      <c r="AI123" s="64"/>
      <c r="AJ123" s="64"/>
    </row>
    <row r="124">
      <c r="A124" s="64"/>
      <c r="B124" s="64"/>
      <c r="C124" s="64"/>
      <c r="D124" s="64"/>
      <c r="E124" s="64"/>
      <c r="F124" s="64"/>
      <c r="G124" s="64"/>
      <c r="H124" s="64"/>
      <c r="I124" s="64"/>
      <c r="J124" s="64"/>
      <c r="K124" s="64"/>
      <c r="L124" s="64"/>
      <c r="M124" s="60"/>
      <c r="N124" s="60"/>
      <c r="O124" s="60"/>
      <c r="P124" s="60"/>
      <c r="Q124" s="64"/>
      <c r="R124" s="64"/>
      <c r="S124" s="64"/>
      <c r="T124" s="64"/>
      <c r="U124" s="64"/>
      <c r="V124" s="64"/>
      <c r="W124" s="64"/>
      <c r="X124" s="64"/>
      <c r="Y124" s="64"/>
      <c r="Z124" s="64"/>
      <c r="AA124" s="64"/>
      <c r="AB124" s="64"/>
      <c r="AC124" s="64"/>
      <c r="AD124" s="64"/>
      <c r="AE124" s="64"/>
      <c r="AF124" s="64"/>
      <c r="AG124" s="64"/>
      <c r="AH124" s="64"/>
      <c r="AI124" s="64"/>
      <c r="AJ124" s="64"/>
    </row>
    <row r="125">
      <c r="A125" s="64"/>
      <c r="B125" s="64"/>
      <c r="C125" s="64"/>
      <c r="D125" s="64"/>
      <c r="E125" s="64"/>
      <c r="F125" s="64"/>
      <c r="G125" s="64"/>
      <c r="H125" s="64"/>
      <c r="I125" s="64"/>
      <c r="J125" s="64"/>
      <c r="K125" s="64"/>
      <c r="L125" s="64"/>
      <c r="M125" s="60"/>
      <c r="N125" s="60"/>
      <c r="O125" s="60"/>
      <c r="P125" s="60"/>
      <c r="Q125" s="64"/>
      <c r="R125" s="64"/>
      <c r="S125" s="64"/>
      <c r="T125" s="64"/>
      <c r="U125" s="64"/>
      <c r="V125" s="64"/>
      <c r="W125" s="64"/>
      <c r="X125" s="64"/>
      <c r="Y125" s="64"/>
      <c r="Z125" s="64"/>
      <c r="AA125" s="64"/>
      <c r="AB125" s="64"/>
      <c r="AC125" s="64"/>
      <c r="AD125" s="64"/>
      <c r="AE125" s="64"/>
      <c r="AF125" s="64"/>
      <c r="AG125" s="64"/>
      <c r="AH125" s="64"/>
      <c r="AI125" s="64"/>
      <c r="AJ125" s="64"/>
    </row>
    <row r="126">
      <c r="A126" s="64"/>
      <c r="B126" s="64"/>
      <c r="C126" s="64"/>
      <c r="D126" s="64"/>
      <c r="E126" s="64"/>
      <c r="F126" s="64"/>
      <c r="G126" s="64"/>
      <c r="H126" s="64"/>
      <c r="I126" s="64"/>
      <c r="J126" s="64"/>
      <c r="K126" s="64"/>
      <c r="L126" s="64"/>
      <c r="M126" s="60"/>
      <c r="N126" s="60"/>
      <c r="O126" s="60"/>
      <c r="P126" s="60"/>
      <c r="Q126" s="64"/>
      <c r="R126" s="64"/>
      <c r="S126" s="64"/>
      <c r="T126" s="64"/>
      <c r="U126" s="64"/>
      <c r="V126" s="64"/>
      <c r="W126" s="64"/>
      <c r="X126" s="64"/>
      <c r="Y126" s="64"/>
      <c r="Z126" s="64"/>
      <c r="AA126" s="64"/>
      <c r="AB126" s="64"/>
      <c r="AC126" s="64"/>
      <c r="AD126" s="64"/>
      <c r="AE126" s="64"/>
      <c r="AF126" s="64"/>
      <c r="AG126" s="64"/>
      <c r="AH126" s="64"/>
      <c r="AI126" s="64"/>
      <c r="AJ126" s="64"/>
    </row>
    <row r="127">
      <c r="A127" s="64"/>
      <c r="B127" s="64"/>
      <c r="C127" s="64"/>
      <c r="D127" s="64"/>
      <c r="E127" s="64"/>
      <c r="F127" s="64"/>
      <c r="G127" s="64"/>
      <c r="H127" s="64"/>
      <c r="I127" s="64"/>
      <c r="J127" s="64"/>
      <c r="K127" s="64"/>
      <c r="L127" s="64"/>
      <c r="M127" s="60"/>
      <c r="N127" s="60"/>
      <c r="O127" s="60"/>
      <c r="P127" s="60"/>
      <c r="Q127" s="64"/>
      <c r="R127" s="64"/>
      <c r="S127" s="64"/>
      <c r="T127" s="64"/>
      <c r="U127" s="64"/>
      <c r="V127" s="64"/>
      <c r="W127" s="64"/>
      <c r="X127" s="64"/>
      <c r="Y127" s="64"/>
      <c r="Z127" s="64"/>
      <c r="AA127" s="64"/>
      <c r="AB127" s="64"/>
      <c r="AC127" s="64"/>
      <c r="AD127" s="64"/>
      <c r="AE127" s="64"/>
      <c r="AF127" s="64"/>
      <c r="AG127" s="64"/>
      <c r="AH127" s="64"/>
      <c r="AI127" s="64"/>
      <c r="AJ127" s="64"/>
    </row>
    <row r="128">
      <c r="A128" s="64"/>
      <c r="B128" s="64"/>
      <c r="C128" s="64"/>
      <c r="D128" s="64"/>
      <c r="E128" s="64"/>
      <c r="F128" s="64"/>
      <c r="G128" s="64"/>
      <c r="H128" s="64"/>
      <c r="I128" s="64"/>
      <c r="J128" s="64"/>
      <c r="K128" s="64"/>
      <c r="L128" s="64"/>
      <c r="M128" s="60"/>
      <c r="N128" s="60"/>
      <c r="O128" s="60"/>
      <c r="P128" s="60"/>
      <c r="Q128" s="64"/>
      <c r="R128" s="64"/>
      <c r="S128" s="64"/>
      <c r="T128" s="64"/>
      <c r="U128" s="64"/>
      <c r="V128" s="64"/>
      <c r="W128" s="64"/>
      <c r="X128" s="64"/>
      <c r="Y128" s="64"/>
      <c r="Z128" s="64"/>
      <c r="AA128" s="64"/>
      <c r="AB128" s="64"/>
      <c r="AC128" s="64"/>
      <c r="AD128" s="64"/>
      <c r="AE128" s="64"/>
      <c r="AF128" s="64"/>
      <c r="AG128" s="64"/>
      <c r="AH128" s="64"/>
      <c r="AI128" s="64"/>
      <c r="AJ128" s="64"/>
    </row>
    <row r="129">
      <c r="A129" s="64"/>
      <c r="B129" s="64"/>
      <c r="C129" s="64"/>
      <c r="D129" s="64"/>
      <c r="E129" s="64"/>
      <c r="F129" s="64"/>
      <c r="G129" s="64"/>
      <c r="H129" s="64"/>
      <c r="I129" s="64"/>
      <c r="J129" s="64"/>
      <c r="K129" s="64"/>
      <c r="L129" s="64"/>
      <c r="M129" s="60"/>
      <c r="N129" s="60"/>
      <c r="O129" s="60"/>
      <c r="P129" s="60"/>
      <c r="Q129" s="64"/>
      <c r="R129" s="64"/>
      <c r="S129" s="64"/>
      <c r="T129" s="64"/>
      <c r="U129" s="64"/>
      <c r="V129" s="64"/>
      <c r="W129" s="64"/>
      <c r="X129" s="64"/>
      <c r="Y129" s="64"/>
      <c r="Z129" s="64"/>
      <c r="AA129" s="64"/>
      <c r="AB129" s="64"/>
      <c r="AC129" s="64"/>
      <c r="AD129" s="64"/>
      <c r="AE129" s="64"/>
      <c r="AF129" s="64"/>
      <c r="AG129" s="64"/>
      <c r="AH129" s="64"/>
      <c r="AI129" s="64"/>
      <c r="AJ129" s="64"/>
    </row>
    <row r="130">
      <c r="A130" s="64"/>
      <c r="B130" s="64"/>
      <c r="C130" s="64"/>
      <c r="D130" s="64"/>
      <c r="E130" s="64"/>
      <c r="F130" s="64"/>
      <c r="G130" s="64"/>
      <c r="H130" s="64"/>
      <c r="I130" s="64"/>
      <c r="J130" s="64"/>
      <c r="K130" s="64"/>
      <c r="L130" s="64"/>
      <c r="M130" s="60"/>
      <c r="N130" s="60"/>
      <c r="O130" s="60"/>
      <c r="P130" s="60"/>
      <c r="Q130" s="64"/>
      <c r="R130" s="64"/>
      <c r="S130" s="64"/>
      <c r="T130" s="64"/>
      <c r="U130" s="64"/>
      <c r="V130" s="64"/>
      <c r="W130" s="64"/>
      <c r="X130" s="64"/>
      <c r="Y130" s="64"/>
      <c r="Z130" s="64"/>
      <c r="AA130" s="64"/>
      <c r="AB130" s="64"/>
      <c r="AC130" s="64"/>
      <c r="AD130" s="64"/>
      <c r="AE130" s="64"/>
      <c r="AF130" s="64"/>
      <c r="AG130" s="64"/>
      <c r="AH130" s="64"/>
      <c r="AI130" s="64"/>
      <c r="AJ130" s="64"/>
    </row>
    <row r="131">
      <c r="A131" s="64"/>
      <c r="B131" s="64"/>
      <c r="C131" s="64"/>
      <c r="D131" s="64"/>
      <c r="E131" s="64"/>
      <c r="F131" s="64"/>
      <c r="G131" s="64"/>
      <c r="H131" s="64"/>
      <c r="I131" s="64"/>
      <c r="J131" s="64"/>
      <c r="K131" s="64"/>
      <c r="L131" s="64"/>
      <c r="M131" s="60"/>
      <c r="N131" s="60"/>
      <c r="O131" s="60"/>
      <c r="P131" s="60"/>
      <c r="Q131" s="64"/>
      <c r="R131" s="64"/>
      <c r="S131" s="64"/>
      <c r="T131" s="64"/>
      <c r="U131" s="64"/>
      <c r="V131" s="64"/>
      <c r="W131" s="64"/>
      <c r="X131" s="64"/>
      <c r="Y131" s="64"/>
      <c r="Z131" s="64"/>
      <c r="AA131" s="64"/>
      <c r="AB131" s="64"/>
      <c r="AC131" s="64"/>
      <c r="AD131" s="64"/>
      <c r="AE131" s="64"/>
      <c r="AF131" s="64"/>
      <c r="AG131" s="64"/>
      <c r="AH131" s="64"/>
      <c r="AI131" s="64"/>
      <c r="AJ131" s="64"/>
    </row>
    <row r="132">
      <c r="A132" s="64"/>
      <c r="B132" s="64"/>
      <c r="C132" s="64"/>
      <c r="D132" s="64"/>
      <c r="E132" s="64"/>
      <c r="F132" s="64"/>
      <c r="G132" s="64"/>
      <c r="H132" s="64"/>
      <c r="I132" s="64"/>
      <c r="J132" s="64"/>
      <c r="K132" s="64"/>
      <c r="L132" s="64"/>
      <c r="M132" s="60"/>
      <c r="N132" s="60"/>
      <c r="O132" s="60"/>
      <c r="P132" s="60"/>
      <c r="Q132" s="64"/>
      <c r="R132" s="64"/>
      <c r="S132" s="64"/>
      <c r="T132" s="64"/>
      <c r="U132" s="64"/>
      <c r="V132" s="64"/>
      <c r="W132" s="64"/>
      <c r="X132" s="64"/>
      <c r="Y132" s="64"/>
      <c r="Z132" s="64"/>
      <c r="AA132" s="64"/>
      <c r="AB132" s="64"/>
      <c r="AC132" s="64"/>
      <c r="AD132" s="64"/>
      <c r="AE132" s="64"/>
      <c r="AF132" s="64"/>
      <c r="AG132" s="64"/>
      <c r="AH132" s="64"/>
      <c r="AI132" s="64"/>
      <c r="AJ132" s="64"/>
    </row>
    <row r="133">
      <c r="A133" s="64"/>
      <c r="B133" s="64"/>
      <c r="C133" s="64"/>
      <c r="D133" s="64"/>
      <c r="E133" s="64"/>
      <c r="F133" s="64"/>
      <c r="G133" s="64"/>
      <c r="H133" s="64"/>
      <c r="I133" s="64"/>
      <c r="J133" s="64"/>
      <c r="K133" s="64"/>
      <c r="L133" s="64"/>
      <c r="M133" s="60"/>
      <c r="N133" s="60"/>
      <c r="O133" s="60"/>
      <c r="P133" s="60"/>
      <c r="Q133" s="64"/>
      <c r="R133" s="64"/>
      <c r="S133" s="64"/>
      <c r="T133" s="64"/>
      <c r="U133" s="64"/>
      <c r="V133" s="64"/>
      <c r="W133" s="64"/>
      <c r="X133" s="64"/>
      <c r="Y133" s="64"/>
      <c r="Z133" s="64"/>
      <c r="AA133" s="64"/>
      <c r="AB133" s="64"/>
      <c r="AC133" s="64"/>
      <c r="AD133" s="64"/>
      <c r="AE133" s="64"/>
      <c r="AF133" s="64"/>
      <c r="AG133" s="64"/>
      <c r="AH133" s="64"/>
      <c r="AI133" s="64"/>
      <c r="AJ133" s="64"/>
    </row>
    <row r="134">
      <c r="A134" s="64"/>
      <c r="B134" s="64"/>
      <c r="C134" s="64"/>
      <c r="D134" s="64"/>
      <c r="E134" s="64"/>
      <c r="F134" s="64"/>
      <c r="G134" s="64"/>
      <c r="H134" s="64"/>
      <c r="I134" s="64"/>
      <c r="J134" s="64"/>
      <c r="K134" s="64"/>
      <c r="L134" s="64"/>
      <c r="M134" s="60"/>
      <c r="N134" s="60"/>
      <c r="O134" s="60"/>
      <c r="P134" s="60"/>
      <c r="Q134" s="64"/>
      <c r="R134" s="64"/>
      <c r="S134" s="64"/>
      <c r="T134" s="64"/>
      <c r="U134" s="64"/>
      <c r="V134" s="64"/>
      <c r="W134" s="64"/>
      <c r="X134" s="64"/>
      <c r="Y134" s="64"/>
      <c r="Z134" s="64"/>
      <c r="AA134" s="64"/>
      <c r="AB134" s="64"/>
      <c r="AC134" s="64"/>
      <c r="AD134" s="64"/>
      <c r="AE134" s="64"/>
      <c r="AF134" s="64"/>
      <c r="AG134" s="64"/>
      <c r="AH134" s="64"/>
      <c r="AI134" s="64"/>
      <c r="AJ134" s="64"/>
    </row>
    <row r="135">
      <c r="A135" s="64"/>
      <c r="B135" s="64"/>
      <c r="C135" s="64"/>
      <c r="D135" s="64"/>
      <c r="E135" s="64"/>
      <c r="F135" s="64"/>
      <c r="G135" s="64"/>
      <c r="H135" s="64"/>
      <c r="I135" s="64"/>
      <c r="J135" s="64"/>
      <c r="K135" s="64"/>
      <c r="L135" s="64"/>
      <c r="M135" s="60"/>
      <c r="N135" s="60"/>
      <c r="O135" s="60"/>
      <c r="P135" s="60"/>
      <c r="Q135" s="64"/>
      <c r="R135" s="64"/>
      <c r="S135" s="64"/>
      <c r="T135" s="64"/>
      <c r="U135" s="64"/>
      <c r="V135" s="64"/>
      <c r="W135" s="64"/>
      <c r="X135" s="64"/>
      <c r="Y135" s="64"/>
      <c r="Z135" s="64"/>
      <c r="AA135" s="64"/>
      <c r="AB135" s="64"/>
      <c r="AC135" s="64"/>
      <c r="AD135" s="64"/>
      <c r="AE135" s="64"/>
      <c r="AF135" s="64"/>
      <c r="AG135" s="64"/>
      <c r="AH135" s="64"/>
      <c r="AI135" s="64"/>
      <c r="AJ135" s="64"/>
    </row>
    <row r="136">
      <c r="A136" s="64"/>
      <c r="B136" s="64"/>
      <c r="C136" s="64"/>
      <c r="D136" s="64"/>
      <c r="E136" s="64"/>
      <c r="F136" s="64"/>
      <c r="G136" s="64"/>
      <c r="H136" s="64"/>
      <c r="I136" s="64"/>
      <c r="J136" s="64"/>
      <c r="K136" s="64"/>
      <c r="L136" s="64"/>
      <c r="M136" s="60"/>
      <c r="N136" s="60"/>
      <c r="O136" s="60"/>
      <c r="P136" s="60"/>
      <c r="Q136" s="64"/>
      <c r="R136" s="64"/>
      <c r="S136" s="64"/>
      <c r="T136" s="64"/>
      <c r="U136" s="64"/>
      <c r="V136" s="64"/>
      <c r="W136" s="64"/>
      <c r="X136" s="64"/>
      <c r="Y136" s="64"/>
      <c r="Z136" s="64"/>
      <c r="AA136" s="64"/>
      <c r="AB136" s="64"/>
      <c r="AC136" s="64"/>
      <c r="AD136" s="64"/>
      <c r="AE136" s="64"/>
      <c r="AF136" s="64"/>
      <c r="AG136" s="64"/>
      <c r="AH136" s="64"/>
      <c r="AI136" s="64"/>
      <c r="AJ136" s="64"/>
    </row>
    <row r="137">
      <c r="A137" s="64"/>
      <c r="B137" s="64"/>
      <c r="C137" s="64"/>
      <c r="D137" s="64"/>
      <c r="E137" s="64"/>
      <c r="F137" s="64"/>
      <c r="G137" s="64"/>
      <c r="H137" s="64"/>
      <c r="I137" s="64"/>
      <c r="J137" s="64"/>
      <c r="K137" s="64"/>
      <c r="L137" s="64"/>
      <c r="M137" s="60"/>
      <c r="N137" s="60"/>
      <c r="O137" s="60"/>
      <c r="P137" s="60"/>
      <c r="Q137" s="64"/>
      <c r="R137" s="64"/>
      <c r="S137" s="64"/>
      <c r="T137" s="64"/>
      <c r="U137" s="64"/>
      <c r="V137" s="64"/>
      <c r="W137" s="64"/>
      <c r="X137" s="64"/>
      <c r="Y137" s="64"/>
      <c r="Z137" s="64"/>
      <c r="AA137" s="64"/>
      <c r="AB137" s="64"/>
      <c r="AC137" s="64"/>
      <c r="AD137" s="64"/>
      <c r="AE137" s="64"/>
      <c r="AF137" s="64"/>
      <c r="AG137" s="64"/>
      <c r="AH137" s="64"/>
      <c r="AI137" s="64"/>
      <c r="AJ137" s="64"/>
    </row>
    <row r="138">
      <c r="A138" s="64"/>
      <c r="B138" s="64"/>
      <c r="C138" s="64"/>
      <c r="D138" s="64"/>
      <c r="E138" s="64"/>
      <c r="F138" s="64"/>
      <c r="G138" s="64"/>
      <c r="H138" s="64"/>
      <c r="I138" s="64"/>
      <c r="J138" s="64"/>
      <c r="K138" s="64"/>
      <c r="L138" s="64"/>
      <c r="M138" s="60"/>
      <c r="N138" s="60"/>
      <c r="O138" s="60"/>
      <c r="P138" s="60"/>
      <c r="Q138" s="64"/>
      <c r="R138" s="64"/>
      <c r="S138" s="64"/>
      <c r="T138" s="64"/>
      <c r="U138" s="64"/>
      <c r="V138" s="64"/>
      <c r="W138" s="64"/>
      <c r="X138" s="64"/>
      <c r="Y138" s="64"/>
      <c r="Z138" s="64"/>
      <c r="AA138" s="64"/>
      <c r="AB138" s="64"/>
      <c r="AC138" s="64"/>
      <c r="AD138" s="64"/>
      <c r="AE138" s="64"/>
      <c r="AF138" s="64"/>
      <c r="AG138" s="64"/>
      <c r="AH138" s="64"/>
      <c r="AI138" s="64"/>
      <c r="AJ138" s="64"/>
    </row>
    <row r="139">
      <c r="A139" s="64"/>
      <c r="B139" s="64"/>
      <c r="C139" s="64"/>
      <c r="D139" s="64"/>
      <c r="E139" s="64"/>
      <c r="F139" s="64"/>
      <c r="G139" s="64"/>
      <c r="H139" s="64"/>
      <c r="I139" s="64"/>
      <c r="J139" s="64"/>
      <c r="K139" s="64"/>
      <c r="L139" s="64"/>
      <c r="M139" s="60"/>
      <c r="N139" s="60"/>
      <c r="O139" s="60"/>
      <c r="P139" s="60"/>
      <c r="Q139" s="64"/>
      <c r="R139" s="64"/>
      <c r="S139" s="64"/>
      <c r="T139" s="64"/>
      <c r="U139" s="64"/>
      <c r="V139" s="64"/>
      <c r="W139" s="64"/>
      <c r="X139" s="64"/>
      <c r="Y139" s="64"/>
      <c r="Z139" s="64"/>
      <c r="AA139" s="64"/>
      <c r="AB139" s="64"/>
      <c r="AC139" s="64"/>
      <c r="AD139" s="64"/>
      <c r="AE139" s="64"/>
      <c r="AF139" s="64"/>
      <c r="AG139" s="64"/>
      <c r="AH139" s="64"/>
      <c r="AI139" s="64"/>
      <c r="AJ139" s="64"/>
    </row>
    <row r="140">
      <c r="A140" s="64"/>
      <c r="B140" s="64"/>
      <c r="C140" s="64"/>
      <c r="D140" s="64"/>
      <c r="E140" s="64"/>
      <c r="F140" s="64"/>
      <c r="G140" s="64"/>
      <c r="H140" s="64"/>
      <c r="I140" s="64"/>
      <c r="J140" s="64"/>
      <c r="K140" s="64"/>
      <c r="L140" s="64"/>
      <c r="M140" s="60"/>
      <c r="N140" s="60"/>
      <c r="O140" s="60"/>
      <c r="P140" s="60"/>
      <c r="Q140" s="64"/>
      <c r="R140" s="64"/>
      <c r="S140" s="64"/>
      <c r="T140" s="64"/>
      <c r="U140" s="64"/>
      <c r="V140" s="64"/>
      <c r="W140" s="64"/>
      <c r="X140" s="64"/>
      <c r="Y140" s="64"/>
      <c r="Z140" s="64"/>
      <c r="AA140" s="64"/>
      <c r="AB140" s="64"/>
      <c r="AC140" s="64"/>
      <c r="AD140" s="64"/>
      <c r="AE140" s="64"/>
      <c r="AF140" s="64"/>
      <c r="AG140" s="64"/>
      <c r="AH140" s="64"/>
      <c r="AI140" s="64"/>
      <c r="AJ140" s="64"/>
    </row>
    <row r="141">
      <c r="A141" s="64"/>
      <c r="B141" s="64"/>
      <c r="C141" s="64"/>
      <c r="D141" s="64"/>
      <c r="E141" s="64"/>
      <c r="F141" s="64"/>
      <c r="G141" s="64"/>
      <c r="H141" s="64"/>
      <c r="I141" s="64"/>
      <c r="J141" s="64"/>
      <c r="K141" s="64"/>
      <c r="L141" s="64"/>
      <c r="M141" s="60"/>
      <c r="N141" s="60"/>
      <c r="O141" s="60"/>
      <c r="P141" s="60"/>
      <c r="Q141" s="64"/>
      <c r="R141" s="64"/>
      <c r="S141" s="64"/>
      <c r="T141" s="64"/>
      <c r="U141" s="64"/>
      <c r="V141" s="64"/>
      <c r="W141" s="64"/>
      <c r="X141" s="64"/>
      <c r="Y141" s="64"/>
      <c r="Z141" s="64"/>
      <c r="AA141" s="64"/>
      <c r="AB141" s="64"/>
      <c r="AC141" s="64"/>
      <c r="AD141" s="64"/>
      <c r="AE141" s="64"/>
      <c r="AF141" s="64"/>
      <c r="AG141" s="64"/>
      <c r="AH141" s="64"/>
      <c r="AI141" s="64"/>
      <c r="AJ141" s="64"/>
    </row>
    <row r="142">
      <c r="A142" s="64"/>
      <c r="B142" s="64"/>
      <c r="C142" s="64"/>
      <c r="D142" s="64"/>
      <c r="E142" s="64"/>
      <c r="F142" s="64"/>
      <c r="G142" s="64"/>
      <c r="H142" s="64"/>
      <c r="I142" s="64"/>
      <c r="J142" s="64"/>
      <c r="K142" s="64"/>
      <c r="L142" s="64"/>
      <c r="M142" s="60"/>
      <c r="N142" s="60"/>
      <c r="O142" s="60"/>
      <c r="P142" s="60"/>
      <c r="Q142" s="64"/>
      <c r="R142" s="64"/>
      <c r="S142" s="64"/>
      <c r="T142" s="64"/>
      <c r="U142" s="64"/>
      <c r="V142" s="64"/>
      <c r="W142" s="64"/>
      <c r="X142" s="64"/>
      <c r="Y142" s="64"/>
      <c r="Z142" s="64"/>
      <c r="AA142" s="64"/>
      <c r="AB142" s="64"/>
      <c r="AC142" s="64"/>
      <c r="AD142" s="64"/>
      <c r="AE142" s="64"/>
      <c r="AF142" s="64"/>
      <c r="AG142" s="64"/>
      <c r="AH142" s="64"/>
      <c r="AI142" s="64"/>
      <c r="AJ142" s="64"/>
    </row>
    <row r="143">
      <c r="A143" s="64"/>
      <c r="B143" s="64"/>
      <c r="C143" s="64"/>
      <c r="D143" s="64"/>
      <c r="E143" s="64"/>
      <c r="F143" s="64"/>
      <c r="G143" s="64"/>
      <c r="H143" s="64"/>
      <c r="I143" s="64"/>
      <c r="J143" s="64"/>
      <c r="K143" s="64"/>
      <c r="L143" s="64"/>
      <c r="M143" s="60"/>
      <c r="N143" s="60"/>
      <c r="O143" s="60"/>
      <c r="P143" s="60"/>
      <c r="Q143" s="64"/>
      <c r="R143" s="64"/>
      <c r="S143" s="64"/>
      <c r="T143" s="64"/>
      <c r="U143" s="64"/>
      <c r="V143" s="64"/>
      <c r="W143" s="64"/>
      <c r="X143" s="64"/>
      <c r="Y143" s="64"/>
      <c r="Z143" s="64"/>
      <c r="AA143" s="64"/>
      <c r="AB143" s="64"/>
      <c r="AC143" s="64"/>
      <c r="AD143" s="64"/>
      <c r="AE143" s="64"/>
      <c r="AF143" s="64"/>
      <c r="AG143" s="64"/>
      <c r="AH143" s="64"/>
      <c r="AI143" s="64"/>
      <c r="AJ143" s="64"/>
    </row>
    <row r="144">
      <c r="A144" s="64"/>
      <c r="B144" s="64"/>
      <c r="C144" s="64"/>
      <c r="D144" s="64"/>
      <c r="E144" s="64"/>
      <c r="F144" s="64"/>
      <c r="G144" s="64"/>
      <c r="H144" s="64"/>
      <c r="I144" s="64"/>
      <c r="J144" s="64"/>
      <c r="K144" s="64"/>
      <c r="L144" s="64"/>
      <c r="M144" s="60"/>
      <c r="N144" s="60"/>
      <c r="O144" s="60"/>
      <c r="P144" s="60"/>
      <c r="Q144" s="64"/>
      <c r="R144" s="64"/>
      <c r="S144" s="64"/>
      <c r="T144" s="64"/>
      <c r="U144" s="64"/>
      <c r="V144" s="64"/>
      <c r="W144" s="64"/>
      <c r="X144" s="64"/>
      <c r="Y144" s="64"/>
      <c r="Z144" s="64"/>
      <c r="AA144" s="64"/>
      <c r="AB144" s="64"/>
      <c r="AC144" s="64"/>
      <c r="AD144" s="64"/>
      <c r="AE144" s="64"/>
      <c r="AF144" s="64"/>
      <c r="AG144" s="64"/>
      <c r="AH144" s="64"/>
      <c r="AI144" s="64"/>
      <c r="AJ144" s="64"/>
    </row>
    <row r="145">
      <c r="A145" s="64"/>
      <c r="B145" s="64"/>
      <c r="C145" s="64"/>
      <c r="D145" s="64"/>
      <c r="E145" s="64"/>
      <c r="F145" s="64"/>
      <c r="G145" s="64"/>
      <c r="H145" s="64"/>
      <c r="I145" s="64"/>
      <c r="J145" s="64"/>
      <c r="K145" s="64"/>
      <c r="L145" s="64"/>
      <c r="M145" s="60"/>
      <c r="N145" s="60"/>
      <c r="O145" s="60"/>
      <c r="P145" s="60"/>
      <c r="Q145" s="64"/>
      <c r="R145" s="64"/>
      <c r="S145" s="64"/>
      <c r="T145" s="64"/>
      <c r="U145" s="64"/>
      <c r="V145" s="64"/>
      <c r="W145" s="64"/>
      <c r="X145" s="64"/>
      <c r="Y145" s="64"/>
      <c r="Z145" s="64"/>
      <c r="AA145" s="64"/>
      <c r="AB145" s="64"/>
      <c r="AC145" s="64"/>
      <c r="AD145" s="64"/>
      <c r="AE145" s="64"/>
      <c r="AF145" s="64"/>
      <c r="AG145" s="64"/>
      <c r="AH145" s="64"/>
      <c r="AI145" s="64"/>
      <c r="AJ145" s="64"/>
    </row>
    <row r="146">
      <c r="A146" s="64"/>
      <c r="B146" s="64"/>
      <c r="C146" s="64"/>
      <c r="D146" s="64"/>
      <c r="E146" s="64"/>
      <c r="F146" s="64"/>
      <c r="G146" s="64"/>
      <c r="H146" s="64"/>
      <c r="I146" s="64"/>
      <c r="J146" s="64"/>
      <c r="K146" s="64"/>
      <c r="L146" s="64"/>
      <c r="M146" s="60"/>
      <c r="N146" s="60"/>
      <c r="O146" s="60"/>
      <c r="P146" s="60"/>
      <c r="Q146" s="64"/>
      <c r="R146" s="64"/>
      <c r="S146" s="64"/>
      <c r="T146" s="64"/>
      <c r="U146" s="64"/>
      <c r="V146" s="64"/>
      <c r="W146" s="64"/>
      <c r="X146" s="64"/>
      <c r="Y146" s="64"/>
      <c r="Z146" s="64"/>
      <c r="AA146" s="64"/>
      <c r="AB146" s="64"/>
      <c r="AC146" s="64"/>
      <c r="AD146" s="64"/>
      <c r="AE146" s="64"/>
      <c r="AF146" s="64"/>
      <c r="AG146" s="64"/>
      <c r="AH146" s="64"/>
      <c r="AI146" s="64"/>
      <c r="AJ146" s="64"/>
    </row>
    <row r="147">
      <c r="A147" s="64"/>
      <c r="B147" s="64"/>
      <c r="C147" s="64"/>
      <c r="D147" s="64"/>
      <c r="E147" s="64"/>
      <c r="F147" s="64"/>
      <c r="G147" s="64"/>
      <c r="H147" s="64"/>
      <c r="I147" s="64"/>
      <c r="J147" s="64"/>
      <c r="K147" s="64"/>
      <c r="L147" s="64"/>
      <c r="M147" s="60"/>
      <c r="N147" s="60"/>
      <c r="O147" s="60"/>
      <c r="P147" s="60"/>
      <c r="Q147" s="64"/>
      <c r="R147" s="64"/>
      <c r="S147" s="64"/>
      <c r="T147" s="64"/>
      <c r="U147" s="64"/>
      <c r="V147" s="64"/>
      <c r="W147" s="64"/>
      <c r="X147" s="64"/>
      <c r="Y147" s="64"/>
      <c r="Z147" s="64"/>
      <c r="AA147" s="64"/>
      <c r="AB147" s="64"/>
      <c r="AC147" s="64"/>
      <c r="AD147" s="64"/>
      <c r="AE147" s="64"/>
      <c r="AF147" s="64"/>
      <c r="AG147" s="64"/>
      <c r="AH147" s="64"/>
      <c r="AI147" s="64"/>
      <c r="AJ147" s="64"/>
    </row>
    <row r="148">
      <c r="A148" s="64"/>
      <c r="B148" s="64"/>
      <c r="C148" s="64"/>
      <c r="D148" s="64"/>
      <c r="E148" s="64"/>
      <c r="F148" s="64"/>
      <c r="G148" s="64"/>
      <c r="H148" s="64"/>
      <c r="I148" s="64"/>
      <c r="J148" s="64"/>
      <c r="K148" s="64"/>
      <c r="L148" s="64"/>
      <c r="M148" s="60"/>
      <c r="N148" s="60"/>
      <c r="O148" s="60"/>
      <c r="P148" s="60"/>
      <c r="Q148" s="64"/>
      <c r="R148" s="64"/>
      <c r="S148" s="64"/>
      <c r="T148" s="64"/>
      <c r="U148" s="64"/>
      <c r="V148" s="64"/>
      <c r="W148" s="64"/>
      <c r="X148" s="64"/>
      <c r="Y148" s="64"/>
      <c r="Z148" s="64"/>
      <c r="AA148" s="64"/>
      <c r="AB148" s="64"/>
      <c r="AC148" s="64"/>
      <c r="AD148" s="64"/>
      <c r="AE148" s="64"/>
      <c r="AF148" s="64"/>
      <c r="AG148" s="64"/>
      <c r="AH148" s="64"/>
      <c r="AI148" s="64"/>
      <c r="AJ148" s="64"/>
    </row>
    <row r="149">
      <c r="A149" s="64"/>
      <c r="B149" s="64"/>
      <c r="C149" s="64"/>
      <c r="D149" s="64"/>
      <c r="E149" s="64"/>
      <c r="F149" s="64"/>
      <c r="G149" s="64"/>
      <c r="H149" s="64"/>
      <c r="I149" s="64"/>
      <c r="J149" s="64"/>
      <c r="K149" s="64"/>
      <c r="L149" s="64"/>
      <c r="M149" s="60"/>
      <c r="N149" s="60"/>
      <c r="O149" s="60"/>
      <c r="P149" s="60"/>
      <c r="Q149" s="64"/>
      <c r="R149" s="64"/>
      <c r="S149" s="64"/>
      <c r="T149" s="64"/>
      <c r="U149" s="64"/>
      <c r="V149" s="64"/>
      <c r="W149" s="64"/>
      <c r="X149" s="64"/>
      <c r="Y149" s="64"/>
      <c r="Z149" s="64"/>
      <c r="AA149" s="64"/>
      <c r="AB149" s="64"/>
      <c r="AC149" s="64"/>
      <c r="AD149" s="64"/>
      <c r="AE149" s="64"/>
      <c r="AF149" s="64"/>
      <c r="AG149" s="64"/>
      <c r="AH149" s="64"/>
      <c r="AI149" s="64"/>
      <c r="AJ149" s="64"/>
    </row>
    <row r="150">
      <c r="A150" s="64"/>
      <c r="B150" s="64"/>
      <c r="C150" s="64"/>
      <c r="D150" s="64"/>
      <c r="E150" s="64"/>
      <c r="F150" s="64"/>
      <c r="G150" s="64"/>
      <c r="H150" s="64"/>
      <c r="I150" s="64"/>
      <c r="J150" s="64"/>
      <c r="K150" s="64"/>
      <c r="L150" s="64"/>
      <c r="M150" s="60"/>
      <c r="N150" s="60"/>
      <c r="O150" s="60"/>
      <c r="P150" s="60"/>
      <c r="Q150" s="64"/>
      <c r="R150" s="64"/>
      <c r="S150" s="64"/>
      <c r="T150" s="64"/>
      <c r="U150" s="64"/>
      <c r="V150" s="64"/>
      <c r="W150" s="64"/>
      <c r="X150" s="64"/>
      <c r="Y150" s="64"/>
      <c r="Z150" s="64"/>
      <c r="AA150" s="64"/>
      <c r="AB150" s="64"/>
      <c r="AC150" s="64"/>
      <c r="AD150" s="64"/>
      <c r="AE150" s="64"/>
      <c r="AF150" s="64"/>
      <c r="AG150" s="64"/>
      <c r="AH150" s="64"/>
      <c r="AI150" s="64"/>
      <c r="AJ150" s="64"/>
    </row>
    <row r="151">
      <c r="A151" s="64"/>
      <c r="B151" s="64"/>
      <c r="C151" s="64"/>
      <c r="D151" s="64"/>
      <c r="E151" s="64"/>
      <c r="F151" s="64"/>
      <c r="G151" s="64"/>
      <c r="H151" s="64"/>
      <c r="I151" s="64"/>
      <c r="J151" s="64"/>
      <c r="K151" s="64"/>
      <c r="L151" s="64"/>
      <c r="M151" s="60"/>
      <c r="N151" s="60"/>
      <c r="O151" s="60"/>
      <c r="P151" s="60"/>
      <c r="Q151" s="64"/>
      <c r="R151" s="64"/>
      <c r="S151" s="64"/>
      <c r="T151" s="64"/>
      <c r="U151" s="64"/>
      <c r="V151" s="64"/>
      <c r="W151" s="64"/>
      <c r="X151" s="64"/>
      <c r="Y151" s="64"/>
      <c r="Z151" s="64"/>
      <c r="AA151" s="64"/>
      <c r="AB151" s="64"/>
      <c r="AC151" s="64"/>
      <c r="AD151" s="64"/>
      <c r="AE151" s="64"/>
      <c r="AF151" s="64"/>
      <c r="AG151" s="64"/>
      <c r="AH151" s="64"/>
      <c r="AI151" s="64"/>
      <c r="AJ151" s="64"/>
    </row>
    <row r="152">
      <c r="A152" s="64"/>
      <c r="B152" s="64"/>
      <c r="C152" s="64"/>
      <c r="D152" s="64"/>
      <c r="E152" s="64"/>
      <c r="F152" s="64"/>
      <c r="G152" s="64"/>
      <c r="H152" s="64"/>
      <c r="I152" s="64"/>
      <c r="J152" s="64"/>
      <c r="K152" s="64"/>
      <c r="L152" s="64"/>
      <c r="M152" s="60"/>
      <c r="N152" s="60"/>
      <c r="O152" s="60"/>
      <c r="P152" s="60"/>
      <c r="Q152" s="64"/>
      <c r="R152" s="64"/>
      <c r="S152" s="64"/>
      <c r="T152" s="64"/>
      <c r="U152" s="64"/>
      <c r="V152" s="64"/>
      <c r="W152" s="64"/>
      <c r="X152" s="64"/>
      <c r="Y152" s="64"/>
      <c r="Z152" s="64"/>
      <c r="AA152" s="64"/>
      <c r="AB152" s="64"/>
      <c r="AC152" s="64"/>
      <c r="AD152" s="64"/>
      <c r="AE152" s="64"/>
      <c r="AF152" s="64"/>
      <c r="AG152" s="64"/>
      <c r="AH152" s="64"/>
      <c r="AI152" s="64"/>
      <c r="AJ152" s="64"/>
    </row>
    <row r="153">
      <c r="A153" s="64"/>
      <c r="B153" s="64"/>
      <c r="C153" s="64"/>
      <c r="D153" s="64"/>
      <c r="E153" s="64"/>
      <c r="F153" s="64"/>
      <c r="G153" s="64"/>
      <c r="H153" s="64"/>
      <c r="I153" s="64"/>
      <c r="J153" s="64"/>
      <c r="K153" s="64"/>
      <c r="L153" s="64"/>
      <c r="M153" s="60"/>
      <c r="N153" s="60"/>
      <c r="O153" s="60"/>
      <c r="P153" s="60"/>
      <c r="Q153" s="64"/>
      <c r="R153" s="64"/>
      <c r="S153" s="64"/>
      <c r="T153" s="64"/>
      <c r="U153" s="64"/>
      <c r="V153" s="64"/>
      <c r="W153" s="64"/>
      <c r="X153" s="64"/>
      <c r="Y153" s="64"/>
      <c r="Z153" s="64"/>
      <c r="AA153" s="64"/>
      <c r="AB153" s="64"/>
      <c r="AC153" s="64"/>
      <c r="AD153" s="64"/>
      <c r="AE153" s="64"/>
      <c r="AF153" s="64"/>
      <c r="AG153" s="64"/>
      <c r="AH153" s="64"/>
      <c r="AI153" s="64"/>
      <c r="AJ153" s="64"/>
    </row>
    <row r="154">
      <c r="A154" s="64"/>
      <c r="B154" s="64"/>
      <c r="C154" s="64"/>
      <c r="D154" s="64"/>
      <c r="E154" s="64"/>
      <c r="F154" s="64"/>
      <c r="G154" s="64"/>
      <c r="H154" s="64"/>
      <c r="I154" s="64"/>
      <c r="J154" s="64"/>
      <c r="K154" s="64"/>
      <c r="L154" s="64"/>
      <c r="M154" s="60"/>
      <c r="N154" s="60"/>
      <c r="O154" s="60"/>
      <c r="P154" s="60"/>
      <c r="Q154" s="64"/>
      <c r="R154" s="64"/>
      <c r="S154" s="64"/>
      <c r="T154" s="64"/>
      <c r="U154" s="64"/>
      <c r="V154" s="64"/>
      <c r="W154" s="64"/>
      <c r="X154" s="64"/>
      <c r="Y154" s="64"/>
      <c r="Z154" s="64"/>
      <c r="AA154" s="64"/>
      <c r="AB154" s="64"/>
      <c r="AC154" s="64"/>
      <c r="AD154" s="64"/>
      <c r="AE154" s="64"/>
      <c r="AF154" s="64"/>
      <c r="AG154" s="64"/>
      <c r="AH154" s="64"/>
      <c r="AI154" s="64"/>
      <c r="AJ154" s="64"/>
    </row>
    <row r="155">
      <c r="A155" s="64"/>
      <c r="B155" s="64"/>
      <c r="C155" s="64"/>
      <c r="D155" s="64"/>
      <c r="E155" s="64"/>
      <c r="F155" s="64"/>
      <c r="G155" s="64"/>
      <c r="H155" s="64"/>
      <c r="I155" s="64"/>
      <c r="J155" s="64"/>
      <c r="K155" s="64"/>
      <c r="L155" s="64"/>
      <c r="M155" s="60"/>
      <c r="N155" s="60"/>
      <c r="O155" s="60"/>
      <c r="P155" s="60"/>
      <c r="Q155" s="64"/>
      <c r="R155" s="64"/>
      <c r="S155" s="64"/>
      <c r="T155" s="64"/>
      <c r="U155" s="64"/>
      <c r="V155" s="64"/>
      <c r="W155" s="64"/>
      <c r="X155" s="64"/>
      <c r="Y155" s="64"/>
      <c r="Z155" s="64"/>
      <c r="AA155" s="64"/>
      <c r="AB155" s="64"/>
      <c r="AC155" s="64"/>
      <c r="AD155" s="64"/>
      <c r="AE155" s="64"/>
      <c r="AF155" s="64"/>
      <c r="AG155" s="64"/>
      <c r="AH155" s="64"/>
      <c r="AI155" s="64"/>
      <c r="AJ155" s="64"/>
    </row>
    <row r="156">
      <c r="A156" s="64"/>
      <c r="B156" s="64"/>
      <c r="C156" s="64"/>
      <c r="D156" s="64"/>
      <c r="E156" s="64"/>
      <c r="F156" s="64"/>
      <c r="G156" s="64"/>
      <c r="H156" s="64"/>
      <c r="I156" s="64"/>
      <c r="J156" s="64"/>
      <c r="K156" s="64"/>
      <c r="L156" s="64"/>
      <c r="M156" s="60"/>
      <c r="N156" s="60"/>
      <c r="O156" s="60"/>
      <c r="P156" s="60"/>
      <c r="Q156" s="64"/>
      <c r="R156" s="64"/>
      <c r="S156" s="64"/>
      <c r="T156" s="64"/>
      <c r="U156" s="64"/>
      <c r="V156" s="64"/>
      <c r="W156" s="64"/>
      <c r="X156" s="64"/>
      <c r="Y156" s="64"/>
      <c r="Z156" s="64"/>
      <c r="AA156" s="64"/>
      <c r="AB156" s="64"/>
      <c r="AC156" s="64"/>
      <c r="AD156" s="64"/>
      <c r="AE156" s="64"/>
      <c r="AF156" s="64"/>
      <c r="AG156" s="64"/>
      <c r="AH156" s="64"/>
      <c r="AI156" s="64"/>
      <c r="AJ156" s="64"/>
    </row>
    <row r="157">
      <c r="A157" s="64"/>
      <c r="B157" s="64"/>
      <c r="C157" s="64"/>
      <c r="D157" s="64"/>
      <c r="E157" s="64"/>
      <c r="F157" s="64"/>
      <c r="G157" s="64"/>
      <c r="H157" s="64"/>
      <c r="I157" s="64"/>
      <c r="J157" s="64"/>
      <c r="K157" s="64"/>
      <c r="L157" s="64"/>
      <c r="M157" s="60"/>
      <c r="N157" s="60"/>
      <c r="O157" s="60"/>
      <c r="P157" s="60"/>
      <c r="Q157" s="64"/>
      <c r="R157" s="64"/>
      <c r="S157" s="64"/>
      <c r="T157" s="64"/>
      <c r="U157" s="64"/>
      <c r="V157" s="64"/>
      <c r="W157" s="64"/>
      <c r="X157" s="64"/>
      <c r="Y157" s="64"/>
      <c r="Z157" s="64"/>
      <c r="AA157" s="64"/>
      <c r="AB157" s="64"/>
      <c r="AC157" s="64"/>
      <c r="AD157" s="64"/>
      <c r="AE157" s="64"/>
      <c r="AF157" s="64"/>
      <c r="AG157" s="64"/>
      <c r="AH157" s="64"/>
      <c r="AI157" s="64"/>
      <c r="AJ157" s="64"/>
    </row>
    <row r="158">
      <c r="A158" s="64"/>
      <c r="B158" s="64"/>
      <c r="C158" s="64"/>
      <c r="D158" s="64"/>
      <c r="E158" s="64"/>
      <c r="F158" s="64"/>
      <c r="G158" s="64"/>
      <c r="H158" s="64"/>
      <c r="I158" s="64"/>
      <c r="J158" s="64"/>
      <c r="K158" s="64"/>
      <c r="L158" s="64"/>
      <c r="M158" s="60"/>
      <c r="N158" s="60"/>
      <c r="O158" s="60"/>
      <c r="P158" s="60"/>
      <c r="Q158" s="64"/>
      <c r="R158" s="64"/>
      <c r="S158" s="64"/>
      <c r="T158" s="64"/>
      <c r="U158" s="64"/>
      <c r="V158" s="64"/>
      <c r="W158" s="64"/>
      <c r="X158" s="64"/>
      <c r="Y158" s="64"/>
      <c r="Z158" s="64"/>
      <c r="AA158" s="64"/>
      <c r="AB158" s="64"/>
      <c r="AC158" s="64"/>
      <c r="AD158" s="64"/>
      <c r="AE158" s="64"/>
      <c r="AF158" s="64"/>
      <c r="AG158" s="64"/>
      <c r="AH158" s="64"/>
      <c r="AI158" s="64"/>
      <c r="AJ158" s="64"/>
    </row>
    <row r="159">
      <c r="A159" s="64"/>
      <c r="B159" s="64"/>
      <c r="C159" s="64"/>
      <c r="D159" s="64"/>
      <c r="E159" s="64"/>
      <c r="F159" s="64"/>
      <c r="G159" s="64"/>
      <c r="H159" s="64"/>
      <c r="I159" s="64"/>
      <c r="J159" s="64"/>
      <c r="K159" s="64"/>
      <c r="L159" s="64"/>
      <c r="M159" s="60"/>
      <c r="N159" s="60"/>
      <c r="O159" s="60"/>
      <c r="P159" s="60"/>
      <c r="Q159" s="64"/>
      <c r="R159" s="64"/>
      <c r="S159" s="64"/>
      <c r="T159" s="64"/>
      <c r="U159" s="64"/>
      <c r="V159" s="64"/>
      <c r="W159" s="64"/>
      <c r="X159" s="64"/>
      <c r="Y159" s="64"/>
      <c r="Z159" s="64"/>
      <c r="AA159" s="64"/>
      <c r="AB159" s="64"/>
      <c r="AC159" s="64"/>
      <c r="AD159" s="64"/>
      <c r="AE159" s="64"/>
      <c r="AF159" s="64"/>
      <c r="AG159" s="64"/>
      <c r="AH159" s="64"/>
      <c r="AI159" s="64"/>
      <c r="AJ159" s="64"/>
    </row>
    <row r="160">
      <c r="A160" s="64"/>
      <c r="B160" s="64"/>
      <c r="C160" s="64"/>
      <c r="D160" s="64"/>
      <c r="E160" s="64"/>
      <c r="F160" s="64"/>
      <c r="G160" s="64"/>
      <c r="H160" s="64"/>
      <c r="I160" s="64"/>
      <c r="J160" s="64"/>
      <c r="K160" s="64"/>
      <c r="L160" s="64"/>
      <c r="M160" s="60"/>
      <c r="N160" s="60"/>
      <c r="O160" s="60"/>
      <c r="P160" s="60"/>
      <c r="Q160" s="64"/>
      <c r="R160" s="64"/>
      <c r="S160" s="64"/>
      <c r="T160" s="64"/>
      <c r="U160" s="64"/>
      <c r="V160" s="64"/>
      <c r="W160" s="64"/>
      <c r="X160" s="64"/>
      <c r="Y160" s="64"/>
      <c r="Z160" s="64"/>
      <c r="AA160" s="64"/>
      <c r="AB160" s="64"/>
      <c r="AC160" s="64"/>
      <c r="AD160" s="64"/>
      <c r="AE160" s="64"/>
      <c r="AF160" s="64"/>
      <c r="AG160" s="64"/>
      <c r="AH160" s="64"/>
      <c r="AI160" s="64"/>
      <c r="AJ160" s="64"/>
    </row>
    <row r="161">
      <c r="A161" s="64"/>
      <c r="B161" s="64"/>
      <c r="C161" s="64"/>
      <c r="D161" s="64"/>
      <c r="E161" s="64"/>
      <c r="F161" s="64"/>
      <c r="G161" s="64"/>
      <c r="H161" s="64"/>
      <c r="I161" s="64"/>
      <c r="J161" s="64"/>
      <c r="K161" s="64"/>
      <c r="L161" s="64"/>
      <c r="M161" s="60"/>
      <c r="N161" s="60"/>
      <c r="O161" s="60"/>
      <c r="P161" s="60"/>
      <c r="Q161" s="64"/>
      <c r="R161" s="64"/>
      <c r="S161" s="64"/>
      <c r="T161" s="64"/>
      <c r="U161" s="64"/>
      <c r="V161" s="64"/>
      <c r="W161" s="64"/>
      <c r="X161" s="64"/>
      <c r="Y161" s="64"/>
      <c r="Z161" s="64"/>
      <c r="AA161" s="64"/>
      <c r="AB161" s="64"/>
      <c r="AC161" s="64"/>
      <c r="AD161" s="64"/>
      <c r="AE161" s="64"/>
      <c r="AF161" s="64"/>
      <c r="AG161" s="64"/>
      <c r="AH161" s="64"/>
      <c r="AI161" s="64"/>
      <c r="AJ161" s="64"/>
    </row>
    <row r="162">
      <c r="A162" s="64"/>
      <c r="B162" s="64"/>
      <c r="C162" s="64"/>
      <c r="D162" s="64"/>
      <c r="E162" s="64"/>
      <c r="F162" s="64"/>
      <c r="G162" s="64"/>
      <c r="H162" s="64"/>
      <c r="I162" s="64"/>
      <c r="J162" s="64"/>
      <c r="K162" s="64"/>
      <c r="L162" s="64"/>
      <c r="M162" s="60"/>
      <c r="N162" s="60"/>
      <c r="O162" s="60"/>
      <c r="P162" s="60"/>
      <c r="Q162" s="64"/>
      <c r="R162" s="64"/>
      <c r="S162" s="64"/>
      <c r="T162" s="64"/>
      <c r="U162" s="64"/>
      <c r="V162" s="64"/>
      <c r="W162" s="64"/>
      <c r="X162" s="64"/>
      <c r="Y162" s="64"/>
      <c r="Z162" s="64"/>
      <c r="AA162" s="64"/>
      <c r="AB162" s="64"/>
      <c r="AC162" s="64"/>
      <c r="AD162" s="64"/>
      <c r="AE162" s="64"/>
      <c r="AF162" s="64"/>
      <c r="AG162" s="64"/>
      <c r="AH162" s="64"/>
      <c r="AI162" s="64"/>
      <c r="AJ162" s="64"/>
    </row>
    <row r="163">
      <c r="A163" s="64"/>
      <c r="B163" s="64"/>
      <c r="C163" s="64"/>
      <c r="D163" s="64"/>
      <c r="E163" s="64"/>
      <c r="F163" s="64"/>
      <c r="G163" s="64"/>
      <c r="H163" s="64"/>
      <c r="I163" s="64"/>
      <c r="J163" s="64"/>
      <c r="K163" s="64"/>
      <c r="L163" s="64"/>
      <c r="M163" s="60"/>
      <c r="N163" s="60"/>
      <c r="O163" s="60"/>
      <c r="P163" s="60"/>
      <c r="Q163" s="64"/>
      <c r="R163" s="64"/>
      <c r="S163" s="64"/>
      <c r="T163" s="64"/>
      <c r="U163" s="64"/>
      <c r="V163" s="64"/>
      <c r="W163" s="64"/>
      <c r="X163" s="64"/>
      <c r="Y163" s="64"/>
      <c r="Z163" s="64"/>
      <c r="AA163" s="64"/>
      <c r="AB163" s="64"/>
      <c r="AC163" s="64"/>
      <c r="AD163" s="64"/>
      <c r="AE163" s="64"/>
      <c r="AF163" s="64"/>
      <c r="AG163" s="64"/>
      <c r="AH163" s="64"/>
      <c r="AI163" s="64"/>
      <c r="AJ163" s="64"/>
    </row>
    <row r="164">
      <c r="A164" s="64"/>
      <c r="B164" s="64"/>
      <c r="C164" s="64"/>
      <c r="D164" s="64"/>
      <c r="E164" s="64"/>
      <c r="F164" s="64"/>
      <c r="G164" s="64"/>
      <c r="H164" s="64"/>
      <c r="I164" s="64"/>
      <c r="J164" s="64"/>
      <c r="K164" s="64"/>
      <c r="L164" s="64"/>
      <c r="M164" s="60"/>
      <c r="N164" s="60"/>
      <c r="O164" s="60"/>
      <c r="P164" s="60"/>
      <c r="Q164" s="64"/>
      <c r="R164" s="64"/>
      <c r="S164" s="64"/>
      <c r="T164" s="64"/>
      <c r="U164" s="64"/>
      <c r="V164" s="64"/>
      <c r="W164" s="64"/>
      <c r="X164" s="64"/>
      <c r="Y164" s="64"/>
      <c r="Z164" s="64"/>
      <c r="AA164" s="64"/>
      <c r="AB164" s="64"/>
      <c r="AC164" s="64"/>
      <c r="AD164" s="64"/>
      <c r="AE164" s="64"/>
      <c r="AF164" s="64"/>
      <c r="AG164" s="64"/>
      <c r="AH164" s="64"/>
      <c r="AI164" s="64"/>
      <c r="AJ164" s="64"/>
    </row>
    <row r="165">
      <c r="A165" s="64"/>
      <c r="B165" s="64"/>
      <c r="C165" s="64"/>
      <c r="D165" s="64"/>
      <c r="E165" s="64"/>
      <c r="F165" s="64"/>
      <c r="G165" s="64"/>
      <c r="H165" s="64"/>
      <c r="I165" s="64"/>
      <c r="J165" s="64"/>
      <c r="K165" s="64"/>
      <c r="L165" s="64"/>
      <c r="M165" s="60"/>
      <c r="N165" s="60"/>
      <c r="O165" s="60"/>
      <c r="P165" s="60"/>
      <c r="Q165" s="64"/>
      <c r="R165" s="64"/>
      <c r="S165" s="64"/>
      <c r="T165" s="64"/>
      <c r="U165" s="64"/>
      <c r="V165" s="64"/>
      <c r="W165" s="64"/>
      <c r="X165" s="64"/>
      <c r="Y165" s="64"/>
      <c r="Z165" s="64"/>
      <c r="AA165" s="64"/>
      <c r="AB165" s="64"/>
      <c r="AC165" s="64"/>
      <c r="AD165" s="64"/>
      <c r="AE165" s="64"/>
      <c r="AF165" s="64"/>
      <c r="AG165" s="64"/>
      <c r="AH165" s="64"/>
      <c r="AI165" s="64"/>
      <c r="AJ165" s="64"/>
    </row>
    <row r="166">
      <c r="A166" s="64"/>
      <c r="B166" s="64"/>
      <c r="C166" s="64"/>
      <c r="D166" s="64"/>
      <c r="E166" s="64"/>
      <c r="F166" s="64"/>
      <c r="G166" s="64"/>
      <c r="H166" s="64"/>
      <c r="I166" s="64"/>
      <c r="J166" s="64"/>
      <c r="K166" s="64"/>
      <c r="L166" s="64"/>
      <c r="M166" s="60"/>
      <c r="N166" s="60"/>
      <c r="O166" s="60"/>
      <c r="P166" s="60"/>
      <c r="Q166" s="64"/>
      <c r="R166" s="64"/>
      <c r="S166" s="64"/>
      <c r="T166" s="64"/>
      <c r="U166" s="64"/>
      <c r="V166" s="64"/>
      <c r="W166" s="64"/>
      <c r="X166" s="64"/>
      <c r="Y166" s="64"/>
      <c r="Z166" s="64"/>
      <c r="AA166" s="64"/>
      <c r="AB166" s="64"/>
      <c r="AC166" s="64"/>
      <c r="AD166" s="64"/>
      <c r="AE166" s="64"/>
      <c r="AF166" s="64"/>
      <c r="AG166" s="64"/>
      <c r="AH166" s="64"/>
      <c r="AI166" s="64"/>
      <c r="AJ166" s="64"/>
    </row>
    <row r="167">
      <c r="A167" s="64"/>
      <c r="B167" s="64"/>
      <c r="C167" s="64"/>
      <c r="D167" s="64"/>
      <c r="E167" s="64"/>
      <c r="F167" s="64"/>
      <c r="G167" s="64"/>
      <c r="H167" s="64"/>
      <c r="I167" s="64"/>
      <c r="J167" s="64"/>
      <c r="K167" s="64"/>
      <c r="L167" s="64"/>
      <c r="M167" s="60"/>
      <c r="N167" s="60"/>
      <c r="O167" s="60"/>
      <c r="P167" s="60"/>
      <c r="Q167" s="64"/>
      <c r="R167" s="64"/>
      <c r="S167" s="64"/>
      <c r="T167" s="64"/>
      <c r="U167" s="64"/>
      <c r="V167" s="64"/>
      <c r="W167" s="64"/>
      <c r="X167" s="64"/>
      <c r="Y167" s="64"/>
      <c r="Z167" s="64"/>
      <c r="AA167" s="64"/>
      <c r="AB167" s="64"/>
      <c r="AC167" s="64"/>
      <c r="AD167" s="64"/>
      <c r="AE167" s="64"/>
      <c r="AF167" s="64"/>
      <c r="AG167" s="64"/>
      <c r="AH167" s="64"/>
      <c r="AI167" s="64"/>
      <c r="AJ167" s="64"/>
    </row>
    <row r="168">
      <c r="A168" s="64"/>
      <c r="B168" s="64"/>
      <c r="C168" s="64"/>
      <c r="D168" s="64"/>
      <c r="E168" s="64"/>
      <c r="F168" s="64"/>
      <c r="G168" s="64"/>
      <c r="H168" s="64"/>
      <c r="I168" s="64"/>
      <c r="J168" s="64"/>
      <c r="K168" s="64"/>
      <c r="L168" s="64"/>
      <c r="M168" s="60"/>
      <c r="N168" s="60"/>
      <c r="O168" s="60"/>
      <c r="P168" s="60"/>
      <c r="Q168" s="64"/>
      <c r="R168" s="64"/>
      <c r="S168" s="64"/>
      <c r="T168" s="64"/>
      <c r="U168" s="64"/>
      <c r="V168" s="64"/>
      <c r="W168" s="64"/>
      <c r="X168" s="64"/>
      <c r="Y168" s="64"/>
      <c r="Z168" s="64"/>
      <c r="AA168" s="64"/>
      <c r="AB168" s="64"/>
      <c r="AC168" s="64"/>
      <c r="AD168" s="64"/>
      <c r="AE168" s="64"/>
      <c r="AF168" s="64"/>
      <c r="AG168" s="64"/>
      <c r="AH168" s="64"/>
      <c r="AI168" s="64"/>
      <c r="AJ168" s="64"/>
    </row>
    <row r="169">
      <c r="A169" s="64"/>
      <c r="B169" s="64"/>
      <c r="C169" s="64"/>
      <c r="D169" s="64"/>
      <c r="E169" s="64"/>
      <c r="F169" s="64"/>
      <c r="G169" s="64"/>
      <c r="H169" s="64"/>
      <c r="I169" s="64"/>
      <c r="J169" s="64"/>
      <c r="K169" s="64"/>
      <c r="L169" s="64"/>
      <c r="M169" s="60"/>
      <c r="N169" s="60"/>
      <c r="O169" s="60"/>
      <c r="P169" s="60"/>
      <c r="Q169" s="64"/>
      <c r="R169" s="64"/>
      <c r="S169" s="64"/>
      <c r="T169" s="64"/>
      <c r="U169" s="64"/>
      <c r="V169" s="64"/>
      <c r="W169" s="64"/>
      <c r="X169" s="64"/>
      <c r="Y169" s="64"/>
      <c r="Z169" s="64"/>
      <c r="AA169" s="64"/>
      <c r="AB169" s="64"/>
      <c r="AC169" s="64"/>
      <c r="AD169" s="64"/>
      <c r="AE169" s="64"/>
      <c r="AF169" s="64"/>
      <c r="AG169" s="64"/>
      <c r="AH169" s="64"/>
      <c r="AI169" s="64"/>
      <c r="AJ169" s="64"/>
    </row>
    <row r="170">
      <c r="A170" s="64"/>
      <c r="B170" s="64"/>
      <c r="C170" s="64"/>
      <c r="D170" s="64"/>
      <c r="E170" s="64"/>
      <c r="F170" s="64"/>
      <c r="G170" s="64"/>
      <c r="H170" s="64"/>
      <c r="I170" s="64"/>
      <c r="J170" s="64"/>
      <c r="K170" s="64"/>
      <c r="L170" s="64"/>
      <c r="M170" s="60"/>
      <c r="N170" s="60"/>
      <c r="O170" s="60"/>
      <c r="P170" s="60"/>
      <c r="Q170" s="64"/>
      <c r="R170" s="64"/>
      <c r="S170" s="64"/>
      <c r="T170" s="64"/>
      <c r="U170" s="64"/>
      <c r="V170" s="64"/>
      <c r="W170" s="64"/>
      <c r="X170" s="64"/>
      <c r="Y170" s="64"/>
      <c r="Z170" s="64"/>
      <c r="AA170" s="64"/>
      <c r="AB170" s="64"/>
      <c r="AC170" s="64"/>
      <c r="AD170" s="64"/>
      <c r="AE170" s="64"/>
      <c r="AF170" s="64"/>
      <c r="AG170" s="64"/>
      <c r="AH170" s="64"/>
      <c r="AI170" s="64"/>
      <c r="AJ170" s="64"/>
    </row>
    <row r="171">
      <c r="A171" s="64"/>
      <c r="B171" s="64"/>
      <c r="C171" s="64"/>
      <c r="D171" s="64"/>
      <c r="E171" s="64"/>
      <c r="F171" s="64"/>
      <c r="G171" s="64"/>
      <c r="H171" s="64"/>
      <c r="I171" s="64"/>
      <c r="J171" s="64"/>
      <c r="K171" s="64"/>
      <c r="L171" s="64"/>
      <c r="M171" s="60"/>
      <c r="N171" s="60"/>
      <c r="O171" s="60"/>
      <c r="P171" s="60"/>
      <c r="Q171" s="64"/>
      <c r="R171" s="64"/>
      <c r="S171" s="64"/>
      <c r="T171" s="64"/>
      <c r="U171" s="64"/>
      <c r="V171" s="64"/>
      <c r="W171" s="64"/>
      <c r="X171" s="64"/>
      <c r="Y171" s="64"/>
      <c r="Z171" s="64"/>
      <c r="AA171" s="64"/>
      <c r="AB171" s="64"/>
      <c r="AC171" s="64"/>
      <c r="AD171" s="64"/>
      <c r="AE171" s="64"/>
      <c r="AF171" s="64"/>
      <c r="AG171" s="64"/>
      <c r="AH171" s="64"/>
      <c r="AI171" s="64"/>
      <c r="AJ171" s="64"/>
    </row>
    <row r="172">
      <c r="A172" s="64"/>
      <c r="B172" s="64"/>
      <c r="C172" s="64"/>
      <c r="D172" s="64"/>
      <c r="E172" s="64"/>
      <c r="F172" s="64"/>
      <c r="G172" s="64"/>
      <c r="H172" s="64"/>
      <c r="I172" s="64"/>
      <c r="J172" s="64"/>
      <c r="K172" s="64"/>
      <c r="L172" s="64"/>
      <c r="M172" s="60"/>
      <c r="N172" s="60"/>
      <c r="O172" s="60"/>
      <c r="P172" s="60"/>
      <c r="Q172" s="64"/>
      <c r="R172" s="64"/>
      <c r="S172" s="64"/>
      <c r="T172" s="64"/>
      <c r="U172" s="64"/>
      <c r="V172" s="64"/>
      <c r="W172" s="64"/>
      <c r="X172" s="64"/>
      <c r="Y172" s="64"/>
      <c r="Z172" s="64"/>
      <c r="AA172" s="64"/>
      <c r="AB172" s="64"/>
      <c r="AC172" s="64"/>
      <c r="AD172" s="64"/>
      <c r="AE172" s="64"/>
      <c r="AF172" s="64"/>
      <c r="AG172" s="64"/>
      <c r="AH172" s="64"/>
      <c r="AI172" s="64"/>
      <c r="AJ172" s="64"/>
    </row>
    <row r="173">
      <c r="A173" s="64"/>
      <c r="B173" s="64"/>
      <c r="C173" s="64"/>
      <c r="D173" s="64"/>
      <c r="E173" s="64"/>
      <c r="F173" s="64"/>
      <c r="G173" s="64"/>
      <c r="H173" s="64"/>
      <c r="I173" s="64"/>
      <c r="J173" s="64"/>
      <c r="K173" s="64"/>
      <c r="L173" s="64"/>
      <c r="M173" s="60"/>
      <c r="N173" s="60"/>
      <c r="O173" s="60"/>
      <c r="P173" s="60"/>
      <c r="Q173" s="64"/>
      <c r="R173" s="64"/>
      <c r="S173" s="64"/>
      <c r="T173" s="64"/>
      <c r="U173" s="64"/>
      <c r="V173" s="64"/>
      <c r="W173" s="64"/>
      <c r="X173" s="64"/>
      <c r="Y173" s="64"/>
      <c r="Z173" s="64"/>
      <c r="AA173" s="64"/>
      <c r="AB173" s="64"/>
      <c r="AC173" s="64"/>
      <c r="AD173" s="64"/>
      <c r="AE173" s="64"/>
      <c r="AF173" s="64"/>
      <c r="AG173" s="64"/>
      <c r="AH173" s="64"/>
      <c r="AI173" s="64"/>
      <c r="AJ173" s="64"/>
    </row>
    <row r="174">
      <c r="A174" s="64"/>
      <c r="B174" s="64"/>
      <c r="C174" s="64"/>
      <c r="D174" s="64"/>
      <c r="E174" s="64"/>
      <c r="F174" s="64"/>
      <c r="G174" s="64"/>
      <c r="H174" s="64"/>
      <c r="I174" s="64"/>
      <c r="J174" s="64"/>
      <c r="K174" s="64"/>
      <c r="L174" s="64"/>
      <c r="M174" s="60"/>
      <c r="N174" s="60"/>
      <c r="O174" s="60"/>
      <c r="P174" s="60"/>
      <c r="Q174" s="64"/>
      <c r="R174" s="64"/>
      <c r="S174" s="64"/>
      <c r="T174" s="64"/>
      <c r="U174" s="64"/>
      <c r="V174" s="64"/>
      <c r="W174" s="64"/>
      <c r="X174" s="64"/>
      <c r="Y174" s="64"/>
      <c r="Z174" s="64"/>
      <c r="AA174" s="64"/>
      <c r="AB174" s="64"/>
      <c r="AC174" s="64"/>
      <c r="AD174" s="64"/>
      <c r="AE174" s="64"/>
      <c r="AF174" s="64"/>
      <c r="AG174" s="64"/>
      <c r="AH174" s="64"/>
      <c r="AI174" s="64"/>
      <c r="AJ174" s="64"/>
    </row>
    <row r="175">
      <c r="A175" s="64"/>
      <c r="B175" s="64"/>
      <c r="C175" s="64"/>
      <c r="D175" s="64"/>
      <c r="E175" s="64"/>
      <c r="F175" s="64"/>
      <c r="G175" s="64"/>
      <c r="H175" s="64"/>
      <c r="I175" s="64"/>
      <c r="J175" s="64"/>
      <c r="K175" s="64"/>
      <c r="L175" s="64"/>
      <c r="M175" s="60"/>
      <c r="N175" s="60"/>
      <c r="O175" s="60"/>
      <c r="P175" s="60"/>
      <c r="Q175" s="64"/>
      <c r="R175" s="64"/>
      <c r="S175" s="64"/>
      <c r="T175" s="64"/>
      <c r="U175" s="64"/>
      <c r="V175" s="64"/>
      <c r="W175" s="64"/>
      <c r="X175" s="64"/>
      <c r="Y175" s="64"/>
      <c r="Z175" s="64"/>
      <c r="AA175" s="64"/>
      <c r="AB175" s="64"/>
      <c r="AC175" s="64"/>
      <c r="AD175" s="64"/>
      <c r="AE175" s="64"/>
      <c r="AF175" s="64"/>
      <c r="AG175" s="64"/>
      <c r="AH175" s="64"/>
      <c r="AI175" s="64"/>
      <c r="AJ175" s="64"/>
    </row>
    <row r="176">
      <c r="A176" s="64"/>
      <c r="B176" s="64"/>
      <c r="C176" s="64"/>
      <c r="D176" s="64"/>
      <c r="E176" s="64"/>
      <c r="F176" s="64"/>
      <c r="G176" s="64"/>
      <c r="H176" s="64"/>
      <c r="I176" s="64"/>
      <c r="J176" s="64"/>
      <c r="K176" s="64"/>
      <c r="L176" s="64"/>
      <c r="M176" s="60"/>
      <c r="N176" s="60"/>
      <c r="O176" s="60"/>
      <c r="P176" s="60"/>
      <c r="Q176" s="64"/>
      <c r="R176" s="64"/>
      <c r="S176" s="64"/>
      <c r="T176" s="64"/>
      <c r="U176" s="64"/>
      <c r="V176" s="64"/>
      <c r="W176" s="64"/>
      <c r="X176" s="64"/>
      <c r="Y176" s="64"/>
      <c r="Z176" s="64"/>
      <c r="AA176" s="64"/>
      <c r="AB176" s="64"/>
      <c r="AC176" s="64"/>
      <c r="AD176" s="64"/>
      <c r="AE176" s="64"/>
      <c r="AF176" s="64"/>
      <c r="AG176" s="64"/>
      <c r="AH176" s="64"/>
      <c r="AI176" s="64"/>
      <c r="AJ176" s="64"/>
    </row>
    <row r="177">
      <c r="A177" s="64"/>
      <c r="B177" s="64"/>
      <c r="C177" s="64"/>
      <c r="D177" s="64"/>
      <c r="E177" s="64"/>
      <c r="F177" s="64"/>
      <c r="G177" s="64"/>
      <c r="H177" s="64"/>
      <c r="I177" s="64"/>
      <c r="J177" s="64"/>
      <c r="K177" s="64"/>
      <c r="L177" s="64"/>
      <c r="M177" s="60"/>
      <c r="N177" s="60"/>
      <c r="O177" s="60"/>
      <c r="P177" s="60"/>
      <c r="Q177" s="64"/>
      <c r="R177" s="64"/>
      <c r="S177" s="64"/>
      <c r="T177" s="64"/>
      <c r="U177" s="64"/>
      <c r="V177" s="64"/>
      <c r="W177" s="64"/>
      <c r="X177" s="64"/>
      <c r="Y177" s="64"/>
      <c r="Z177" s="64"/>
      <c r="AA177" s="64"/>
      <c r="AB177" s="64"/>
      <c r="AC177" s="64"/>
      <c r="AD177" s="64"/>
      <c r="AE177" s="64"/>
      <c r="AF177" s="64"/>
      <c r="AG177" s="64"/>
      <c r="AH177" s="64"/>
      <c r="AI177" s="64"/>
      <c r="AJ177" s="64"/>
    </row>
    <row r="178">
      <c r="A178" s="64"/>
      <c r="B178" s="64"/>
      <c r="C178" s="64"/>
      <c r="D178" s="64"/>
      <c r="E178" s="64"/>
      <c r="F178" s="64"/>
      <c r="G178" s="64"/>
      <c r="H178" s="64"/>
      <c r="I178" s="64"/>
      <c r="J178" s="64"/>
      <c r="K178" s="64"/>
      <c r="L178" s="64"/>
      <c r="M178" s="60"/>
      <c r="N178" s="60"/>
      <c r="O178" s="60"/>
      <c r="P178" s="60"/>
      <c r="Q178" s="64"/>
      <c r="R178" s="64"/>
      <c r="S178" s="64"/>
      <c r="T178" s="64"/>
      <c r="U178" s="64"/>
      <c r="V178" s="64"/>
      <c r="W178" s="64"/>
      <c r="X178" s="64"/>
      <c r="Y178" s="64"/>
      <c r="Z178" s="64"/>
      <c r="AA178" s="64"/>
      <c r="AB178" s="64"/>
      <c r="AC178" s="64"/>
      <c r="AD178" s="64"/>
      <c r="AE178" s="64"/>
      <c r="AF178" s="64"/>
      <c r="AG178" s="64"/>
      <c r="AH178" s="64"/>
      <c r="AI178" s="64"/>
      <c r="AJ178" s="64"/>
    </row>
    <row r="179">
      <c r="A179" s="64"/>
      <c r="B179" s="64"/>
      <c r="C179" s="64"/>
      <c r="D179" s="64"/>
      <c r="E179" s="64"/>
      <c r="F179" s="64"/>
      <c r="G179" s="64"/>
      <c r="H179" s="64"/>
      <c r="I179" s="64"/>
      <c r="J179" s="64"/>
      <c r="K179" s="64"/>
      <c r="L179" s="64"/>
      <c r="M179" s="60"/>
      <c r="N179" s="60"/>
      <c r="O179" s="60"/>
      <c r="P179" s="60"/>
      <c r="Q179" s="64"/>
      <c r="R179" s="64"/>
      <c r="S179" s="64"/>
      <c r="T179" s="64"/>
      <c r="U179" s="64"/>
      <c r="V179" s="64"/>
      <c r="W179" s="64"/>
      <c r="X179" s="64"/>
      <c r="Y179" s="64"/>
      <c r="Z179" s="64"/>
      <c r="AA179" s="64"/>
      <c r="AB179" s="64"/>
      <c r="AC179" s="64"/>
      <c r="AD179" s="64"/>
      <c r="AE179" s="64"/>
      <c r="AF179" s="64"/>
      <c r="AG179" s="64"/>
      <c r="AH179" s="64"/>
      <c r="AI179" s="64"/>
      <c r="AJ179" s="64"/>
    </row>
    <row r="180">
      <c r="A180" s="64"/>
      <c r="B180" s="64"/>
      <c r="C180" s="64"/>
      <c r="D180" s="64"/>
      <c r="E180" s="64"/>
      <c r="F180" s="64"/>
      <c r="G180" s="64"/>
      <c r="H180" s="64"/>
      <c r="I180" s="64"/>
      <c r="J180" s="64"/>
      <c r="K180" s="64"/>
      <c r="L180" s="64"/>
      <c r="M180" s="60"/>
      <c r="N180" s="60"/>
      <c r="O180" s="60"/>
      <c r="P180" s="60"/>
      <c r="Q180" s="64"/>
      <c r="R180" s="64"/>
      <c r="S180" s="64"/>
      <c r="T180" s="64"/>
      <c r="U180" s="64"/>
      <c r="V180" s="64"/>
      <c r="W180" s="64"/>
      <c r="X180" s="64"/>
      <c r="Y180" s="64"/>
      <c r="Z180" s="64"/>
      <c r="AA180" s="64"/>
      <c r="AB180" s="64"/>
      <c r="AC180" s="64"/>
      <c r="AD180" s="64"/>
      <c r="AE180" s="64"/>
      <c r="AF180" s="64"/>
      <c r="AG180" s="64"/>
      <c r="AH180" s="64"/>
      <c r="AI180" s="64"/>
      <c r="AJ180" s="64"/>
    </row>
    <row r="181">
      <c r="A181" s="64"/>
      <c r="B181" s="64"/>
      <c r="C181" s="64"/>
      <c r="D181" s="64"/>
      <c r="E181" s="64"/>
      <c r="F181" s="64"/>
      <c r="G181" s="64"/>
      <c r="H181" s="64"/>
      <c r="I181" s="64"/>
      <c r="J181" s="64"/>
      <c r="K181" s="64"/>
      <c r="L181" s="64"/>
      <c r="M181" s="60"/>
      <c r="N181" s="60"/>
      <c r="O181" s="60"/>
      <c r="P181" s="60"/>
      <c r="Q181" s="64"/>
      <c r="R181" s="64"/>
      <c r="S181" s="64"/>
      <c r="T181" s="64"/>
      <c r="U181" s="64"/>
      <c r="V181" s="64"/>
      <c r="W181" s="64"/>
      <c r="X181" s="64"/>
      <c r="Y181" s="64"/>
      <c r="Z181" s="64"/>
      <c r="AA181" s="64"/>
      <c r="AB181" s="64"/>
      <c r="AC181" s="64"/>
      <c r="AD181" s="64"/>
      <c r="AE181" s="64"/>
      <c r="AF181" s="64"/>
      <c r="AG181" s="64"/>
      <c r="AH181" s="64"/>
      <c r="AI181" s="64"/>
      <c r="AJ181" s="64"/>
    </row>
    <row r="182">
      <c r="A182" s="64"/>
      <c r="B182" s="64"/>
      <c r="C182" s="64"/>
      <c r="D182" s="64"/>
      <c r="E182" s="64"/>
      <c r="F182" s="64"/>
      <c r="G182" s="64"/>
      <c r="H182" s="64"/>
      <c r="I182" s="64"/>
      <c r="J182" s="64"/>
      <c r="K182" s="64"/>
      <c r="L182" s="64"/>
      <c r="M182" s="60"/>
      <c r="N182" s="60"/>
      <c r="O182" s="60"/>
      <c r="P182" s="60"/>
      <c r="Q182" s="64"/>
      <c r="R182" s="64"/>
      <c r="S182" s="64"/>
      <c r="T182" s="64"/>
      <c r="U182" s="64"/>
      <c r="V182" s="64"/>
      <c r="W182" s="64"/>
      <c r="X182" s="64"/>
      <c r="Y182" s="64"/>
      <c r="Z182" s="64"/>
      <c r="AA182" s="64"/>
      <c r="AB182" s="64"/>
      <c r="AC182" s="64"/>
      <c r="AD182" s="64"/>
      <c r="AE182" s="64"/>
      <c r="AF182" s="64"/>
      <c r="AG182" s="64"/>
      <c r="AH182" s="64"/>
      <c r="AI182" s="64"/>
      <c r="AJ182" s="64"/>
    </row>
    <row r="183">
      <c r="A183" s="64"/>
      <c r="B183" s="64"/>
      <c r="C183" s="64"/>
      <c r="D183" s="64"/>
      <c r="E183" s="64"/>
      <c r="F183" s="64"/>
      <c r="G183" s="64"/>
      <c r="H183" s="64"/>
      <c r="I183" s="64"/>
      <c r="J183" s="64"/>
      <c r="K183" s="64"/>
      <c r="L183" s="64"/>
      <c r="M183" s="60"/>
      <c r="N183" s="60"/>
      <c r="O183" s="60"/>
      <c r="P183" s="60"/>
      <c r="Q183" s="64"/>
      <c r="R183" s="64"/>
      <c r="S183" s="64"/>
      <c r="T183" s="64"/>
      <c r="U183" s="64"/>
      <c r="V183" s="64"/>
      <c r="W183" s="64"/>
      <c r="X183" s="64"/>
      <c r="Y183" s="64"/>
      <c r="Z183" s="64"/>
      <c r="AA183" s="64"/>
      <c r="AB183" s="64"/>
      <c r="AC183" s="64"/>
      <c r="AD183" s="64"/>
      <c r="AE183" s="64"/>
      <c r="AF183" s="64"/>
      <c r="AG183" s="64"/>
      <c r="AH183" s="64"/>
      <c r="AI183" s="64"/>
      <c r="AJ183" s="64"/>
    </row>
    <row r="184">
      <c r="A184" s="64"/>
      <c r="B184" s="64"/>
      <c r="C184" s="64"/>
      <c r="D184" s="64"/>
      <c r="E184" s="64"/>
      <c r="F184" s="64"/>
      <c r="G184" s="64"/>
      <c r="H184" s="64"/>
      <c r="I184" s="64"/>
      <c r="J184" s="64"/>
      <c r="K184" s="64"/>
      <c r="L184" s="64"/>
      <c r="M184" s="60"/>
      <c r="N184" s="60"/>
      <c r="O184" s="60"/>
      <c r="P184" s="60"/>
      <c r="Q184" s="64"/>
      <c r="R184" s="64"/>
      <c r="S184" s="64"/>
      <c r="T184" s="64"/>
      <c r="U184" s="64"/>
      <c r="V184" s="64"/>
      <c r="W184" s="64"/>
      <c r="X184" s="64"/>
      <c r="Y184" s="64"/>
      <c r="Z184" s="64"/>
      <c r="AA184" s="64"/>
      <c r="AB184" s="64"/>
      <c r="AC184" s="64"/>
      <c r="AD184" s="64"/>
      <c r="AE184" s="64"/>
      <c r="AF184" s="64"/>
      <c r="AG184" s="64"/>
      <c r="AH184" s="64"/>
      <c r="AI184" s="64"/>
      <c r="AJ184" s="64"/>
    </row>
    <row r="185">
      <c r="A185" s="64"/>
      <c r="B185" s="64"/>
      <c r="C185" s="64"/>
      <c r="D185" s="64"/>
      <c r="E185" s="64"/>
      <c r="F185" s="64"/>
      <c r="G185" s="64"/>
      <c r="H185" s="64"/>
      <c r="I185" s="64"/>
      <c r="J185" s="64"/>
      <c r="K185" s="64"/>
      <c r="L185" s="64"/>
      <c r="M185" s="60"/>
      <c r="N185" s="60"/>
      <c r="O185" s="60"/>
      <c r="P185" s="60"/>
      <c r="Q185" s="64"/>
      <c r="R185" s="64"/>
      <c r="S185" s="64"/>
      <c r="T185" s="64"/>
      <c r="U185" s="64"/>
      <c r="V185" s="64"/>
      <c r="W185" s="64"/>
      <c r="X185" s="64"/>
      <c r="Y185" s="64"/>
      <c r="Z185" s="64"/>
      <c r="AA185" s="64"/>
      <c r="AB185" s="64"/>
      <c r="AC185" s="64"/>
      <c r="AD185" s="64"/>
      <c r="AE185" s="64"/>
      <c r="AF185" s="64"/>
      <c r="AG185" s="64"/>
      <c r="AH185" s="64"/>
      <c r="AI185" s="64"/>
      <c r="AJ185" s="64"/>
    </row>
    <row r="186">
      <c r="A186" s="64"/>
      <c r="B186" s="64"/>
      <c r="C186" s="64"/>
      <c r="D186" s="64"/>
      <c r="E186" s="64"/>
      <c r="F186" s="64"/>
      <c r="G186" s="64"/>
      <c r="H186" s="64"/>
      <c r="I186" s="64"/>
      <c r="J186" s="64"/>
      <c r="K186" s="64"/>
      <c r="L186" s="64"/>
      <c r="M186" s="60"/>
      <c r="N186" s="60"/>
      <c r="O186" s="60"/>
      <c r="P186" s="60"/>
      <c r="Q186" s="64"/>
      <c r="R186" s="64"/>
      <c r="S186" s="64"/>
      <c r="T186" s="64"/>
      <c r="U186" s="64"/>
      <c r="V186" s="64"/>
      <c r="W186" s="64"/>
      <c r="X186" s="64"/>
      <c r="Y186" s="64"/>
      <c r="Z186" s="64"/>
      <c r="AA186" s="64"/>
      <c r="AB186" s="64"/>
      <c r="AC186" s="64"/>
      <c r="AD186" s="64"/>
      <c r="AE186" s="64"/>
      <c r="AF186" s="64"/>
      <c r="AG186" s="64"/>
      <c r="AH186" s="64"/>
      <c r="AI186" s="64"/>
      <c r="AJ186" s="64"/>
    </row>
    <row r="187">
      <c r="A187" s="64"/>
      <c r="B187" s="64"/>
      <c r="C187" s="64"/>
      <c r="D187" s="64"/>
      <c r="E187" s="64"/>
      <c r="F187" s="64"/>
      <c r="G187" s="64"/>
      <c r="H187" s="64"/>
      <c r="I187" s="64"/>
      <c r="J187" s="64"/>
      <c r="K187" s="64"/>
      <c r="L187" s="64"/>
      <c r="M187" s="60"/>
      <c r="N187" s="60"/>
      <c r="O187" s="60"/>
      <c r="P187" s="60"/>
      <c r="Q187" s="64"/>
      <c r="R187" s="64"/>
      <c r="S187" s="64"/>
      <c r="T187" s="64"/>
      <c r="U187" s="64"/>
      <c r="V187" s="64"/>
      <c r="W187" s="64"/>
      <c r="X187" s="64"/>
      <c r="Y187" s="64"/>
      <c r="Z187" s="64"/>
      <c r="AA187" s="64"/>
      <c r="AB187" s="64"/>
      <c r="AC187" s="64"/>
      <c r="AD187" s="64"/>
      <c r="AE187" s="64"/>
      <c r="AF187" s="64"/>
      <c r="AG187" s="64"/>
      <c r="AH187" s="64"/>
      <c r="AI187" s="64"/>
      <c r="AJ187" s="64"/>
    </row>
    <row r="188">
      <c r="A188" s="64"/>
      <c r="B188" s="64"/>
      <c r="C188" s="64"/>
      <c r="D188" s="64"/>
      <c r="E188" s="64"/>
      <c r="F188" s="64"/>
      <c r="G188" s="64"/>
      <c r="H188" s="64"/>
      <c r="I188" s="64"/>
      <c r="J188" s="64"/>
      <c r="K188" s="64"/>
      <c r="L188" s="64"/>
      <c r="M188" s="60"/>
      <c r="N188" s="60"/>
      <c r="O188" s="60"/>
      <c r="P188" s="60"/>
      <c r="Q188" s="64"/>
      <c r="R188" s="64"/>
      <c r="S188" s="64"/>
      <c r="T188" s="64"/>
      <c r="U188" s="64"/>
      <c r="V188" s="64"/>
      <c r="W188" s="64"/>
      <c r="X188" s="64"/>
      <c r="Y188" s="64"/>
      <c r="Z188" s="64"/>
      <c r="AA188" s="64"/>
      <c r="AB188" s="64"/>
      <c r="AC188" s="64"/>
      <c r="AD188" s="64"/>
      <c r="AE188" s="64"/>
      <c r="AF188" s="64"/>
      <c r="AG188" s="64"/>
      <c r="AH188" s="64"/>
      <c r="AI188" s="64"/>
      <c r="AJ188" s="64"/>
    </row>
    <row r="189">
      <c r="A189" s="64"/>
      <c r="B189" s="64"/>
      <c r="C189" s="64"/>
      <c r="D189" s="64"/>
      <c r="E189" s="64"/>
      <c r="F189" s="64"/>
      <c r="G189" s="64"/>
      <c r="H189" s="64"/>
      <c r="I189" s="64"/>
      <c r="J189" s="64"/>
      <c r="K189" s="64"/>
      <c r="L189" s="64"/>
      <c r="M189" s="60"/>
      <c r="N189" s="60"/>
      <c r="O189" s="60"/>
      <c r="P189" s="60"/>
      <c r="Q189" s="64"/>
      <c r="R189" s="64"/>
      <c r="S189" s="64"/>
      <c r="T189" s="64"/>
      <c r="U189" s="64"/>
      <c r="V189" s="64"/>
      <c r="W189" s="64"/>
      <c r="X189" s="64"/>
      <c r="Y189" s="64"/>
      <c r="Z189" s="64"/>
      <c r="AA189" s="64"/>
      <c r="AB189" s="64"/>
      <c r="AC189" s="64"/>
      <c r="AD189" s="64"/>
      <c r="AE189" s="64"/>
      <c r="AF189" s="64"/>
      <c r="AG189" s="64"/>
      <c r="AH189" s="64"/>
      <c r="AI189" s="64"/>
      <c r="AJ189" s="64"/>
    </row>
    <row r="190">
      <c r="A190" s="64"/>
      <c r="B190" s="64"/>
      <c r="C190" s="64"/>
      <c r="D190" s="64"/>
      <c r="E190" s="64"/>
      <c r="F190" s="64"/>
      <c r="G190" s="64"/>
      <c r="H190" s="64"/>
      <c r="I190" s="64"/>
      <c r="J190" s="64"/>
      <c r="K190" s="64"/>
      <c r="L190" s="64"/>
      <c r="M190" s="60"/>
      <c r="N190" s="60"/>
      <c r="O190" s="60"/>
      <c r="P190" s="60"/>
      <c r="Q190" s="64"/>
      <c r="R190" s="64"/>
      <c r="S190" s="64"/>
      <c r="T190" s="64"/>
      <c r="U190" s="64"/>
      <c r="V190" s="64"/>
      <c r="W190" s="64"/>
      <c r="X190" s="64"/>
      <c r="Y190" s="64"/>
      <c r="Z190" s="64"/>
      <c r="AA190" s="64"/>
      <c r="AB190" s="64"/>
      <c r="AC190" s="64"/>
      <c r="AD190" s="64"/>
      <c r="AE190" s="64"/>
      <c r="AF190" s="64"/>
      <c r="AG190" s="64"/>
      <c r="AH190" s="64"/>
      <c r="AI190" s="64"/>
      <c r="AJ190" s="64"/>
    </row>
    <row r="191">
      <c r="A191" s="64"/>
      <c r="B191" s="64"/>
      <c r="C191" s="64"/>
      <c r="D191" s="64"/>
      <c r="E191" s="64"/>
      <c r="F191" s="64"/>
      <c r="G191" s="64"/>
      <c r="H191" s="64"/>
      <c r="I191" s="64"/>
      <c r="J191" s="64"/>
      <c r="K191" s="64"/>
      <c r="L191" s="64"/>
      <c r="M191" s="60"/>
      <c r="N191" s="60"/>
      <c r="O191" s="60"/>
      <c r="P191" s="60"/>
      <c r="Q191" s="64"/>
      <c r="R191" s="64"/>
      <c r="S191" s="64"/>
      <c r="T191" s="64"/>
      <c r="U191" s="64"/>
      <c r="V191" s="64"/>
      <c r="W191" s="64"/>
      <c r="X191" s="64"/>
      <c r="Y191" s="64"/>
      <c r="Z191" s="64"/>
      <c r="AA191" s="64"/>
      <c r="AB191" s="64"/>
      <c r="AC191" s="64"/>
      <c r="AD191" s="64"/>
      <c r="AE191" s="64"/>
      <c r="AF191" s="64"/>
      <c r="AG191" s="64"/>
      <c r="AH191" s="64"/>
      <c r="AI191" s="64"/>
      <c r="AJ191" s="64"/>
    </row>
    <row r="192">
      <c r="A192" s="64"/>
      <c r="B192" s="64"/>
      <c r="C192" s="64"/>
      <c r="D192" s="64"/>
      <c r="E192" s="64"/>
      <c r="F192" s="64"/>
      <c r="G192" s="64"/>
      <c r="H192" s="64"/>
      <c r="I192" s="64"/>
      <c r="J192" s="64"/>
      <c r="K192" s="64"/>
      <c r="L192" s="64"/>
      <c r="M192" s="60"/>
      <c r="N192" s="60"/>
      <c r="O192" s="60"/>
      <c r="P192" s="60"/>
      <c r="Q192" s="64"/>
      <c r="R192" s="64"/>
      <c r="S192" s="64"/>
      <c r="T192" s="64"/>
      <c r="U192" s="64"/>
      <c r="V192" s="64"/>
      <c r="W192" s="64"/>
      <c r="X192" s="64"/>
      <c r="Y192" s="64"/>
      <c r="Z192" s="64"/>
      <c r="AA192" s="64"/>
      <c r="AB192" s="64"/>
      <c r="AC192" s="64"/>
      <c r="AD192" s="64"/>
      <c r="AE192" s="64"/>
      <c r="AF192" s="64"/>
      <c r="AG192" s="64"/>
      <c r="AH192" s="64"/>
      <c r="AI192" s="64"/>
      <c r="AJ192" s="64"/>
    </row>
    <row r="193">
      <c r="A193" s="64"/>
      <c r="B193" s="64"/>
      <c r="C193" s="64"/>
      <c r="D193" s="64"/>
      <c r="E193" s="64"/>
      <c r="F193" s="64"/>
      <c r="G193" s="64"/>
      <c r="H193" s="64"/>
      <c r="I193" s="64"/>
      <c r="J193" s="64"/>
      <c r="K193" s="64"/>
      <c r="L193" s="64"/>
      <c r="M193" s="60"/>
      <c r="N193" s="60"/>
      <c r="O193" s="60"/>
      <c r="P193" s="60"/>
      <c r="Q193" s="64"/>
      <c r="R193" s="64"/>
      <c r="S193" s="64"/>
      <c r="T193" s="64"/>
      <c r="U193" s="64"/>
      <c r="V193" s="64"/>
      <c r="W193" s="64"/>
      <c r="X193" s="64"/>
      <c r="Y193" s="64"/>
      <c r="Z193" s="64"/>
      <c r="AA193" s="64"/>
      <c r="AB193" s="64"/>
      <c r="AC193" s="64"/>
      <c r="AD193" s="64"/>
      <c r="AE193" s="64"/>
      <c r="AF193" s="64"/>
      <c r="AG193" s="64"/>
      <c r="AH193" s="64"/>
      <c r="AI193" s="64"/>
      <c r="AJ193" s="64"/>
    </row>
    <row r="194">
      <c r="A194" s="64"/>
      <c r="B194" s="64"/>
      <c r="C194" s="64"/>
      <c r="D194" s="64"/>
      <c r="E194" s="64"/>
      <c r="F194" s="64"/>
      <c r="G194" s="64"/>
      <c r="H194" s="64"/>
      <c r="I194" s="64"/>
      <c r="J194" s="64"/>
      <c r="K194" s="64"/>
      <c r="L194" s="64"/>
      <c r="M194" s="60"/>
      <c r="N194" s="60"/>
      <c r="O194" s="60"/>
      <c r="P194" s="60"/>
      <c r="Q194" s="64"/>
      <c r="R194" s="64"/>
      <c r="S194" s="64"/>
      <c r="T194" s="64"/>
      <c r="U194" s="64"/>
      <c r="V194" s="64"/>
      <c r="W194" s="64"/>
      <c r="X194" s="64"/>
      <c r="Y194" s="64"/>
      <c r="Z194" s="64"/>
      <c r="AA194" s="64"/>
      <c r="AB194" s="64"/>
      <c r="AC194" s="64"/>
      <c r="AD194" s="64"/>
      <c r="AE194" s="64"/>
      <c r="AF194" s="64"/>
      <c r="AG194" s="64"/>
      <c r="AH194" s="64"/>
      <c r="AI194" s="64"/>
      <c r="AJ194" s="64"/>
    </row>
    <row r="195">
      <c r="A195" s="64"/>
      <c r="B195" s="64"/>
      <c r="C195" s="64"/>
      <c r="D195" s="64"/>
      <c r="E195" s="64"/>
      <c r="F195" s="64"/>
      <c r="G195" s="64"/>
      <c r="H195" s="64"/>
      <c r="I195" s="64"/>
      <c r="J195" s="64"/>
      <c r="K195" s="64"/>
      <c r="L195" s="64"/>
      <c r="M195" s="60"/>
      <c r="N195" s="60"/>
      <c r="O195" s="60"/>
      <c r="P195" s="60"/>
      <c r="Q195" s="64"/>
      <c r="R195" s="64"/>
      <c r="S195" s="64"/>
      <c r="T195" s="64"/>
      <c r="U195" s="64"/>
      <c r="V195" s="64"/>
      <c r="W195" s="64"/>
      <c r="X195" s="64"/>
      <c r="Y195" s="64"/>
      <c r="Z195" s="64"/>
      <c r="AA195" s="64"/>
      <c r="AB195" s="64"/>
      <c r="AC195" s="64"/>
      <c r="AD195" s="64"/>
      <c r="AE195" s="64"/>
      <c r="AF195" s="64"/>
      <c r="AG195" s="64"/>
      <c r="AH195" s="64"/>
      <c r="AI195" s="64"/>
      <c r="AJ195" s="64"/>
    </row>
    <row r="196">
      <c r="A196" s="64"/>
      <c r="B196" s="64"/>
      <c r="C196" s="64"/>
      <c r="D196" s="64"/>
      <c r="E196" s="64"/>
      <c r="F196" s="64"/>
      <c r="G196" s="64"/>
      <c r="H196" s="64"/>
      <c r="I196" s="64"/>
      <c r="J196" s="64"/>
      <c r="K196" s="64"/>
      <c r="L196" s="64"/>
      <c r="M196" s="60"/>
      <c r="N196" s="60"/>
      <c r="O196" s="60"/>
      <c r="P196" s="60"/>
      <c r="Q196" s="64"/>
      <c r="R196" s="64"/>
      <c r="S196" s="64"/>
      <c r="T196" s="64"/>
      <c r="U196" s="64"/>
      <c r="V196" s="64"/>
      <c r="W196" s="64"/>
      <c r="X196" s="64"/>
      <c r="Y196" s="64"/>
      <c r="Z196" s="64"/>
      <c r="AA196" s="64"/>
      <c r="AB196" s="64"/>
      <c r="AC196" s="64"/>
      <c r="AD196" s="64"/>
      <c r="AE196" s="64"/>
      <c r="AF196" s="64"/>
      <c r="AG196" s="64"/>
      <c r="AH196" s="64"/>
      <c r="AI196" s="64"/>
      <c r="AJ196" s="64"/>
    </row>
    <row r="197">
      <c r="A197" s="64"/>
      <c r="B197" s="64"/>
      <c r="C197" s="64"/>
      <c r="D197" s="64"/>
      <c r="E197" s="64"/>
      <c r="F197" s="64"/>
      <c r="G197" s="64"/>
      <c r="H197" s="64"/>
      <c r="I197" s="64"/>
      <c r="J197" s="64"/>
      <c r="K197" s="64"/>
      <c r="L197" s="64"/>
      <c r="M197" s="60"/>
      <c r="N197" s="60"/>
      <c r="O197" s="60"/>
      <c r="P197" s="60"/>
      <c r="Q197" s="64"/>
      <c r="R197" s="64"/>
      <c r="S197" s="64"/>
      <c r="T197" s="64"/>
      <c r="U197" s="64"/>
      <c r="V197" s="64"/>
      <c r="W197" s="64"/>
      <c r="X197" s="64"/>
      <c r="Y197" s="64"/>
      <c r="Z197" s="64"/>
      <c r="AA197" s="64"/>
      <c r="AB197" s="64"/>
      <c r="AC197" s="64"/>
      <c r="AD197" s="64"/>
      <c r="AE197" s="64"/>
      <c r="AF197" s="64"/>
      <c r="AG197" s="64"/>
      <c r="AH197" s="64"/>
      <c r="AI197" s="64"/>
      <c r="AJ197" s="64"/>
    </row>
    <row r="198">
      <c r="A198" s="64"/>
      <c r="B198" s="64"/>
      <c r="C198" s="64"/>
      <c r="D198" s="64"/>
      <c r="E198" s="64"/>
      <c r="F198" s="64"/>
      <c r="G198" s="64"/>
      <c r="H198" s="64"/>
      <c r="I198" s="64"/>
      <c r="J198" s="64"/>
      <c r="K198" s="64"/>
      <c r="L198" s="64"/>
      <c r="M198" s="60"/>
      <c r="N198" s="60"/>
      <c r="O198" s="60"/>
      <c r="P198" s="60"/>
      <c r="Q198" s="64"/>
      <c r="R198" s="64"/>
      <c r="S198" s="64"/>
      <c r="T198" s="64"/>
      <c r="U198" s="64"/>
      <c r="V198" s="64"/>
      <c r="W198" s="64"/>
      <c r="X198" s="64"/>
      <c r="Y198" s="64"/>
      <c r="Z198" s="64"/>
      <c r="AA198" s="64"/>
      <c r="AB198" s="64"/>
      <c r="AC198" s="64"/>
      <c r="AD198" s="64"/>
      <c r="AE198" s="64"/>
      <c r="AF198" s="64"/>
      <c r="AG198" s="64"/>
      <c r="AH198" s="64"/>
      <c r="AI198" s="64"/>
      <c r="AJ198" s="64"/>
    </row>
    <row r="199">
      <c r="A199" s="64"/>
      <c r="B199" s="64"/>
      <c r="C199" s="64"/>
      <c r="D199" s="64"/>
      <c r="E199" s="64"/>
      <c r="F199" s="64"/>
      <c r="G199" s="64"/>
      <c r="H199" s="64"/>
      <c r="I199" s="64"/>
      <c r="J199" s="64"/>
      <c r="K199" s="64"/>
      <c r="L199" s="64"/>
      <c r="M199" s="60"/>
      <c r="N199" s="60"/>
      <c r="O199" s="60"/>
      <c r="P199" s="60"/>
      <c r="Q199" s="64"/>
      <c r="R199" s="64"/>
      <c r="S199" s="64"/>
      <c r="T199" s="64"/>
      <c r="U199" s="64"/>
      <c r="V199" s="64"/>
      <c r="W199" s="64"/>
      <c r="X199" s="64"/>
      <c r="Y199" s="64"/>
      <c r="Z199" s="64"/>
      <c r="AA199" s="64"/>
      <c r="AB199" s="64"/>
      <c r="AC199" s="64"/>
      <c r="AD199" s="64"/>
      <c r="AE199" s="64"/>
      <c r="AF199" s="64"/>
      <c r="AG199" s="64"/>
      <c r="AH199" s="64"/>
      <c r="AI199" s="64"/>
      <c r="AJ199" s="64"/>
    </row>
    <row r="200">
      <c r="A200" s="64"/>
      <c r="B200" s="64"/>
      <c r="C200" s="64"/>
      <c r="D200" s="64"/>
      <c r="E200" s="64"/>
      <c r="F200" s="64"/>
      <c r="G200" s="64"/>
      <c r="H200" s="64"/>
      <c r="I200" s="64"/>
      <c r="J200" s="64"/>
      <c r="K200" s="64"/>
      <c r="L200" s="64"/>
      <c r="M200" s="60"/>
      <c r="N200" s="60"/>
      <c r="O200" s="60"/>
      <c r="P200" s="60"/>
      <c r="Q200" s="64"/>
      <c r="R200" s="64"/>
      <c r="S200" s="64"/>
      <c r="T200" s="64"/>
      <c r="U200" s="64"/>
      <c r="V200" s="64"/>
      <c r="W200" s="64"/>
      <c r="X200" s="64"/>
      <c r="Y200" s="64"/>
      <c r="Z200" s="64"/>
      <c r="AA200" s="64"/>
      <c r="AB200" s="64"/>
      <c r="AC200" s="64"/>
      <c r="AD200" s="64"/>
      <c r="AE200" s="64"/>
      <c r="AF200" s="64"/>
      <c r="AG200" s="64"/>
      <c r="AH200" s="64"/>
      <c r="AI200" s="64"/>
      <c r="AJ200" s="64"/>
    </row>
    <row r="201">
      <c r="A201" s="64"/>
      <c r="B201" s="64"/>
      <c r="C201" s="64"/>
      <c r="D201" s="64"/>
      <c r="E201" s="64"/>
      <c r="F201" s="64"/>
      <c r="G201" s="64"/>
      <c r="H201" s="64"/>
      <c r="I201" s="64"/>
      <c r="J201" s="64"/>
      <c r="K201" s="64"/>
      <c r="L201" s="64"/>
      <c r="M201" s="60"/>
      <c r="N201" s="60"/>
      <c r="O201" s="60"/>
      <c r="P201" s="60"/>
      <c r="Q201" s="64"/>
      <c r="R201" s="64"/>
      <c r="S201" s="64"/>
      <c r="T201" s="64"/>
      <c r="U201" s="64"/>
      <c r="V201" s="64"/>
      <c r="W201" s="64"/>
      <c r="X201" s="64"/>
      <c r="Y201" s="64"/>
      <c r="Z201" s="64"/>
      <c r="AA201" s="64"/>
      <c r="AB201" s="64"/>
      <c r="AC201" s="64"/>
      <c r="AD201" s="64"/>
      <c r="AE201" s="64"/>
      <c r="AF201" s="64"/>
      <c r="AG201" s="64"/>
      <c r="AH201" s="64"/>
      <c r="AI201" s="64"/>
      <c r="AJ201" s="64"/>
    </row>
    <row r="202">
      <c r="A202" s="64"/>
      <c r="B202" s="64"/>
      <c r="C202" s="64"/>
      <c r="D202" s="64"/>
      <c r="E202" s="64"/>
      <c r="F202" s="64"/>
      <c r="G202" s="64"/>
      <c r="H202" s="64"/>
      <c r="I202" s="64"/>
      <c r="J202" s="64"/>
      <c r="K202" s="64"/>
      <c r="L202" s="64"/>
      <c r="M202" s="60"/>
      <c r="N202" s="60"/>
      <c r="O202" s="60"/>
      <c r="P202" s="60"/>
      <c r="Q202" s="64"/>
      <c r="R202" s="64"/>
      <c r="S202" s="64"/>
      <c r="T202" s="64"/>
      <c r="U202" s="64"/>
      <c r="V202" s="64"/>
      <c r="W202" s="64"/>
      <c r="X202" s="64"/>
      <c r="Y202" s="64"/>
      <c r="Z202" s="64"/>
      <c r="AA202" s="64"/>
      <c r="AB202" s="64"/>
      <c r="AC202" s="64"/>
      <c r="AD202" s="64"/>
      <c r="AE202" s="64"/>
      <c r="AF202" s="64"/>
      <c r="AG202" s="64"/>
      <c r="AH202" s="64"/>
      <c r="AI202" s="64"/>
      <c r="AJ202" s="64"/>
    </row>
    <row r="203">
      <c r="A203" s="64"/>
      <c r="B203" s="64"/>
      <c r="C203" s="64"/>
      <c r="D203" s="64"/>
      <c r="E203" s="64"/>
      <c r="F203" s="64"/>
      <c r="G203" s="64"/>
      <c r="H203" s="64"/>
      <c r="I203" s="64"/>
      <c r="J203" s="64"/>
      <c r="K203" s="64"/>
      <c r="L203" s="64"/>
      <c r="M203" s="60"/>
      <c r="N203" s="60"/>
      <c r="O203" s="60"/>
      <c r="P203" s="60"/>
      <c r="Q203" s="64"/>
      <c r="R203" s="64"/>
      <c r="S203" s="64"/>
      <c r="T203" s="64"/>
      <c r="U203" s="64"/>
      <c r="V203" s="64"/>
      <c r="W203" s="64"/>
      <c r="X203" s="64"/>
      <c r="Y203" s="64"/>
      <c r="Z203" s="64"/>
      <c r="AA203" s="64"/>
      <c r="AB203" s="64"/>
      <c r="AC203" s="64"/>
      <c r="AD203" s="64"/>
      <c r="AE203" s="64"/>
      <c r="AF203" s="64"/>
      <c r="AG203" s="64"/>
      <c r="AH203" s="64"/>
      <c r="AI203" s="64"/>
      <c r="AJ203" s="64"/>
    </row>
    <row r="204">
      <c r="A204" s="64"/>
      <c r="B204" s="64"/>
      <c r="C204" s="64"/>
      <c r="D204" s="64"/>
      <c r="E204" s="64"/>
      <c r="F204" s="64"/>
      <c r="G204" s="64"/>
      <c r="H204" s="64"/>
      <c r="I204" s="64"/>
      <c r="J204" s="64"/>
      <c r="K204" s="64"/>
      <c r="L204" s="64"/>
      <c r="M204" s="60"/>
      <c r="N204" s="60"/>
      <c r="O204" s="60"/>
      <c r="P204" s="60"/>
      <c r="Q204" s="64"/>
      <c r="R204" s="64"/>
      <c r="S204" s="64"/>
      <c r="T204" s="64"/>
      <c r="U204" s="64"/>
      <c r="V204" s="64"/>
      <c r="W204" s="64"/>
      <c r="X204" s="64"/>
      <c r="Y204" s="64"/>
      <c r="Z204" s="64"/>
      <c r="AA204" s="64"/>
      <c r="AB204" s="64"/>
      <c r="AC204" s="64"/>
      <c r="AD204" s="64"/>
      <c r="AE204" s="64"/>
      <c r="AF204" s="64"/>
      <c r="AG204" s="64"/>
      <c r="AH204" s="64"/>
      <c r="AI204" s="64"/>
      <c r="AJ204" s="64"/>
    </row>
    <row r="205">
      <c r="A205" s="64"/>
      <c r="B205" s="64"/>
      <c r="C205" s="64"/>
      <c r="D205" s="64"/>
      <c r="E205" s="64"/>
      <c r="F205" s="64"/>
      <c r="G205" s="64"/>
      <c r="H205" s="64"/>
      <c r="I205" s="64"/>
      <c r="J205" s="64"/>
      <c r="K205" s="64"/>
      <c r="L205" s="64"/>
      <c r="M205" s="60"/>
      <c r="N205" s="60"/>
      <c r="O205" s="60"/>
      <c r="P205" s="60"/>
      <c r="Q205" s="64"/>
      <c r="R205" s="64"/>
      <c r="S205" s="64"/>
      <c r="T205" s="64"/>
      <c r="U205" s="64"/>
      <c r="V205" s="64"/>
      <c r="W205" s="64"/>
      <c r="X205" s="64"/>
      <c r="Y205" s="64"/>
      <c r="Z205" s="64"/>
      <c r="AA205" s="64"/>
      <c r="AB205" s="64"/>
      <c r="AC205" s="64"/>
      <c r="AD205" s="64"/>
      <c r="AE205" s="64"/>
      <c r="AF205" s="64"/>
      <c r="AG205" s="64"/>
      <c r="AH205" s="64"/>
      <c r="AI205" s="64"/>
      <c r="AJ205" s="64"/>
    </row>
    <row r="206">
      <c r="A206" s="64"/>
      <c r="B206" s="64"/>
      <c r="C206" s="64"/>
      <c r="D206" s="64"/>
      <c r="E206" s="64"/>
      <c r="F206" s="64"/>
      <c r="G206" s="64"/>
      <c r="H206" s="64"/>
      <c r="I206" s="64"/>
      <c r="J206" s="64"/>
      <c r="K206" s="64"/>
      <c r="L206" s="64"/>
      <c r="M206" s="60"/>
      <c r="N206" s="60"/>
      <c r="O206" s="60"/>
      <c r="P206" s="60"/>
      <c r="Q206" s="64"/>
      <c r="R206" s="64"/>
      <c r="S206" s="64"/>
      <c r="T206" s="64"/>
      <c r="U206" s="64"/>
      <c r="V206" s="64"/>
      <c r="W206" s="64"/>
      <c r="X206" s="64"/>
      <c r="Y206" s="64"/>
      <c r="Z206" s="64"/>
      <c r="AA206" s="64"/>
      <c r="AB206" s="64"/>
      <c r="AC206" s="64"/>
      <c r="AD206" s="64"/>
      <c r="AE206" s="64"/>
      <c r="AF206" s="64"/>
      <c r="AG206" s="64"/>
      <c r="AH206" s="64"/>
      <c r="AI206" s="64"/>
      <c r="AJ206" s="64"/>
    </row>
    <row r="207">
      <c r="A207" s="64"/>
      <c r="B207" s="64"/>
      <c r="C207" s="64"/>
      <c r="D207" s="64"/>
      <c r="E207" s="64"/>
      <c r="F207" s="64"/>
      <c r="G207" s="64"/>
      <c r="H207" s="64"/>
      <c r="I207" s="64"/>
      <c r="J207" s="64"/>
      <c r="K207" s="64"/>
      <c r="L207" s="64"/>
      <c r="M207" s="60"/>
      <c r="N207" s="60"/>
      <c r="O207" s="60"/>
      <c r="P207" s="60"/>
      <c r="Q207" s="64"/>
      <c r="R207" s="64"/>
      <c r="S207" s="64"/>
      <c r="T207" s="64"/>
      <c r="U207" s="64"/>
      <c r="V207" s="64"/>
      <c r="W207" s="64"/>
      <c r="X207" s="64"/>
      <c r="Y207" s="64"/>
      <c r="Z207" s="64"/>
      <c r="AA207" s="64"/>
      <c r="AB207" s="64"/>
      <c r="AC207" s="64"/>
      <c r="AD207" s="64"/>
      <c r="AE207" s="64"/>
      <c r="AF207" s="64"/>
      <c r="AG207" s="64"/>
      <c r="AH207" s="64"/>
      <c r="AI207" s="64"/>
      <c r="AJ207" s="64"/>
    </row>
    <row r="208">
      <c r="A208" s="64"/>
      <c r="B208" s="64"/>
      <c r="C208" s="64"/>
      <c r="D208" s="64"/>
      <c r="E208" s="64"/>
      <c r="F208" s="64"/>
      <c r="G208" s="64"/>
      <c r="H208" s="64"/>
      <c r="I208" s="64"/>
      <c r="J208" s="64"/>
      <c r="K208" s="64"/>
      <c r="L208" s="64"/>
      <c r="M208" s="60"/>
      <c r="N208" s="60"/>
      <c r="O208" s="60"/>
      <c r="P208" s="60"/>
      <c r="Q208" s="64"/>
      <c r="R208" s="64"/>
      <c r="S208" s="64"/>
      <c r="T208" s="64"/>
      <c r="U208" s="64"/>
      <c r="V208" s="64"/>
      <c r="W208" s="64"/>
      <c r="X208" s="64"/>
      <c r="Y208" s="64"/>
      <c r="Z208" s="64"/>
      <c r="AA208" s="64"/>
      <c r="AB208" s="64"/>
      <c r="AC208" s="64"/>
      <c r="AD208" s="64"/>
      <c r="AE208" s="64"/>
      <c r="AF208" s="64"/>
      <c r="AG208" s="64"/>
      <c r="AH208" s="64"/>
      <c r="AI208" s="64"/>
      <c r="AJ208" s="64"/>
    </row>
    <row r="209">
      <c r="A209" s="64"/>
      <c r="B209" s="64"/>
      <c r="C209" s="64"/>
      <c r="D209" s="64"/>
      <c r="E209" s="64"/>
      <c r="F209" s="64"/>
      <c r="G209" s="64"/>
      <c r="H209" s="64"/>
      <c r="I209" s="64"/>
      <c r="J209" s="64"/>
      <c r="K209" s="64"/>
      <c r="L209" s="64"/>
      <c r="M209" s="60"/>
      <c r="N209" s="60"/>
      <c r="O209" s="60"/>
      <c r="P209" s="60"/>
      <c r="Q209" s="64"/>
      <c r="R209" s="64"/>
      <c r="S209" s="64"/>
      <c r="T209" s="64"/>
      <c r="U209" s="64"/>
      <c r="V209" s="64"/>
      <c r="W209" s="64"/>
      <c r="X209" s="64"/>
      <c r="Y209" s="64"/>
      <c r="Z209" s="64"/>
      <c r="AA209" s="64"/>
      <c r="AB209" s="64"/>
      <c r="AC209" s="64"/>
      <c r="AD209" s="64"/>
      <c r="AE209" s="64"/>
      <c r="AF209" s="64"/>
      <c r="AG209" s="64"/>
      <c r="AH209" s="64"/>
      <c r="AI209" s="64"/>
      <c r="AJ209" s="64"/>
    </row>
    <row r="210">
      <c r="A210" s="64"/>
      <c r="B210" s="64"/>
      <c r="C210" s="64"/>
      <c r="D210" s="64"/>
      <c r="E210" s="64"/>
      <c r="F210" s="64"/>
      <c r="G210" s="64"/>
      <c r="H210" s="64"/>
      <c r="I210" s="64"/>
      <c r="J210" s="64"/>
      <c r="K210" s="64"/>
      <c r="L210" s="64"/>
      <c r="M210" s="60"/>
      <c r="N210" s="60"/>
      <c r="O210" s="60"/>
      <c r="P210" s="60"/>
      <c r="Q210" s="64"/>
      <c r="R210" s="64"/>
      <c r="S210" s="64"/>
      <c r="T210" s="64"/>
      <c r="U210" s="64"/>
      <c r="V210" s="64"/>
      <c r="W210" s="64"/>
      <c r="X210" s="64"/>
      <c r="Y210" s="64"/>
      <c r="Z210" s="64"/>
      <c r="AA210" s="64"/>
      <c r="AB210" s="64"/>
      <c r="AC210" s="64"/>
      <c r="AD210" s="64"/>
      <c r="AE210" s="64"/>
      <c r="AF210" s="64"/>
      <c r="AG210" s="64"/>
      <c r="AH210" s="64"/>
      <c r="AI210" s="64"/>
      <c r="AJ210" s="64"/>
    </row>
    <row r="211">
      <c r="A211" s="64"/>
      <c r="B211" s="64"/>
      <c r="C211" s="64"/>
      <c r="D211" s="64"/>
      <c r="E211" s="64"/>
      <c r="F211" s="64"/>
      <c r="G211" s="64"/>
      <c r="H211" s="64"/>
      <c r="I211" s="64"/>
      <c r="J211" s="64"/>
      <c r="K211" s="64"/>
      <c r="L211" s="64"/>
      <c r="M211" s="60"/>
      <c r="N211" s="60"/>
      <c r="O211" s="60"/>
      <c r="P211" s="60"/>
      <c r="Q211" s="64"/>
      <c r="R211" s="64"/>
      <c r="S211" s="64"/>
      <c r="T211" s="64"/>
      <c r="U211" s="64"/>
      <c r="V211" s="64"/>
      <c r="W211" s="64"/>
      <c r="X211" s="64"/>
      <c r="Y211" s="64"/>
      <c r="Z211" s="64"/>
      <c r="AA211" s="64"/>
      <c r="AB211" s="64"/>
      <c r="AC211" s="64"/>
      <c r="AD211" s="64"/>
      <c r="AE211" s="64"/>
      <c r="AF211" s="64"/>
      <c r="AG211" s="64"/>
      <c r="AH211" s="64"/>
      <c r="AI211" s="64"/>
      <c r="AJ211" s="64"/>
    </row>
    <row r="212">
      <c r="A212" s="64"/>
      <c r="B212" s="64"/>
      <c r="C212" s="64"/>
      <c r="D212" s="64"/>
      <c r="E212" s="64"/>
      <c r="F212" s="64"/>
      <c r="G212" s="64"/>
      <c r="H212" s="64"/>
      <c r="I212" s="64"/>
      <c r="J212" s="64"/>
      <c r="K212" s="64"/>
      <c r="L212" s="64"/>
      <c r="M212" s="60"/>
      <c r="N212" s="60"/>
      <c r="O212" s="60"/>
      <c r="P212" s="60"/>
      <c r="Q212" s="64"/>
      <c r="R212" s="64"/>
      <c r="S212" s="64"/>
      <c r="T212" s="64"/>
      <c r="U212" s="64"/>
      <c r="V212" s="64"/>
      <c r="W212" s="64"/>
      <c r="X212" s="64"/>
      <c r="Y212" s="64"/>
      <c r="Z212" s="64"/>
      <c r="AA212" s="64"/>
      <c r="AB212" s="64"/>
      <c r="AC212" s="64"/>
      <c r="AD212" s="64"/>
      <c r="AE212" s="64"/>
      <c r="AF212" s="64"/>
      <c r="AG212" s="64"/>
      <c r="AH212" s="64"/>
      <c r="AI212" s="64"/>
      <c r="AJ212" s="64"/>
    </row>
    <row r="213">
      <c r="A213" s="64"/>
      <c r="B213" s="64"/>
      <c r="C213" s="64"/>
      <c r="D213" s="64"/>
      <c r="E213" s="64"/>
      <c r="F213" s="64"/>
      <c r="G213" s="64"/>
      <c r="H213" s="64"/>
      <c r="I213" s="64"/>
      <c r="J213" s="64"/>
      <c r="K213" s="64"/>
      <c r="L213" s="64"/>
      <c r="M213" s="60"/>
      <c r="N213" s="60"/>
      <c r="O213" s="60"/>
      <c r="P213" s="60"/>
      <c r="Q213" s="64"/>
      <c r="R213" s="64"/>
      <c r="S213" s="64"/>
      <c r="T213" s="64"/>
      <c r="U213" s="64"/>
      <c r="V213" s="64"/>
      <c r="W213" s="64"/>
      <c r="X213" s="64"/>
      <c r="Y213" s="64"/>
      <c r="Z213" s="64"/>
      <c r="AA213" s="64"/>
      <c r="AB213" s="64"/>
      <c r="AC213" s="64"/>
      <c r="AD213" s="64"/>
      <c r="AE213" s="64"/>
      <c r="AF213" s="64"/>
      <c r="AG213" s="64"/>
      <c r="AH213" s="64"/>
      <c r="AI213" s="64"/>
      <c r="AJ213" s="64"/>
    </row>
    <row r="214">
      <c r="A214" s="64"/>
      <c r="B214" s="64"/>
      <c r="C214" s="64"/>
      <c r="D214" s="64"/>
      <c r="E214" s="64"/>
      <c r="F214" s="64"/>
      <c r="G214" s="64"/>
      <c r="H214" s="64"/>
      <c r="I214" s="64"/>
      <c r="J214" s="64"/>
      <c r="K214" s="64"/>
      <c r="L214" s="64"/>
      <c r="M214" s="60"/>
      <c r="N214" s="60"/>
      <c r="O214" s="60"/>
      <c r="P214" s="60"/>
      <c r="Q214" s="64"/>
      <c r="R214" s="64"/>
      <c r="S214" s="64"/>
      <c r="T214" s="64"/>
      <c r="U214" s="64"/>
      <c r="V214" s="64"/>
      <c r="W214" s="64"/>
      <c r="X214" s="64"/>
      <c r="Y214" s="64"/>
      <c r="Z214" s="64"/>
      <c r="AA214" s="64"/>
      <c r="AB214" s="64"/>
      <c r="AC214" s="64"/>
      <c r="AD214" s="64"/>
      <c r="AE214" s="64"/>
      <c r="AF214" s="64"/>
      <c r="AG214" s="64"/>
      <c r="AH214" s="64"/>
      <c r="AI214" s="64"/>
      <c r="AJ214" s="64"/>
    </row>
    <row r="215">
      <c r="A215" s="64"/>
      <c r="B215" s="64"/>
      <c r="C215" s="64"/>
      <c r="D215" s="64"/>
      <c r="E215" s="64"/>
      <c r="F215" s="64"/>
      <c r="G215" s="64"/>
      <c r="H215" s="64"/>
      <c r="I215" s="64"/>
      <c r="J215" s="64"/>
      <c r="K215" s="64"/>
      <c r="L215" s="64"/>
      <c r="M215" s="60"/>
      <c r="N215" s="60"/>
      <c r="O215" s="60"/>
      <c r="P215" s="60"/>
      <c r="Q215" s="64"/>
      <c r="R215" s="64"/>
      <c r="S215" s="64"/>
      <c r="T215" s="64"/>
      <c r="U215" s="64"/>
      <c r="V215" s="64"/>
      <c r="W215" s="64"/>
      <c r="X215" s="64"/>
      <c r="Y215" s="64"/>
      <c r="Z215" s="64"/>
      <c r="AA215" s="64"/>
      <c r="AB215" s="64"/>
      <c r="AC215" s="64"/>
      <c r="AD215" s="64"/>
      <c r="AE215" s="64"/>
      <c r="AF215" s="64"/>
      <c r="AG215" s="64"/>
      <c r="AH215" s="64"/>
      <c r="AI215" s="64"/>
      <c r="AJ215" s="64"/>
    </row>
    <row r="216">
      <c r="A216" s="64"/>
      <c r="B216" s="64"/>
      <c r="C216" s="64"/>
      <c r="D216" s="64"/>
      <c r="E216" s="64"/>
      <c r="F216" s="64"/>
      <c r="G216" s="64"/>
      <c r="H216" s="64"/>
      <c r="I216" s="64"/>
      <c r="J216" s="64"/>
      <c r="K216" s="64"/>
      <c r="L216" s="64"/>
      <c r="M216" s="60"/>
      <c r="N216" s="60"/>
      <c r="O216" s="60"/>
      <c r="P216" s="60"/>
      <c r="Q216" s="64"/>
      <c r="R216" s="64"/>
      <c r="S216" s="64"/>
      <c r="T216" s="64"/>
      <c r="U216" s="64"/>
      <c r="V216" s="64"/>
      <c r="W216" s="64"/>
      <c r="X216" s="64"/>
      <c r="Y216" s="64"/>
      <c r="Z216" s="64"/>
      <c r="AA216" s="64"/>
      <c r="AB216" s="64"/>
      <c r="AC216" s="64"/>
      <c r="AD216" s="64"/>
      <c r="AE216" s="64"/>
      <c r="AF216" s="64"/>
      <c r="AG216" s="64"/>
      <c r="AH216" s="64"/>
      <c r="AI216" s="64"/>
      <c r="AJ216" s="64"/>
    </row>
    <row r="217">
      <c r="A217" s="64"/>
      <c r="B217" s="64"/>
      <c r="C217" s="64"/>
      <c r="D217" s="64"/>
      <c r="E217" s="64"/>
      <c r="F217" s="64"/>
      <c r="G217" s="64"/>
      <c r="H217" s="64"/>
      <c r="I217" s="64"/>
      <c r="J217" s="64"/>
      <c r="K217" s="64"/>
      <c r="L217" s="64"/>
      <c r="M217" s="60"/>
      <c r="N217" s="60"/>
      <c r="O217" s="60"/>
      <c r="P217" s="60"/>
      <c r="Q217" s="64"/>
      <c r="R217" s="64"/>
      <c r="S217" s="64"/>
      <c r="T217" s="64"/>
      <c r="U217" s="64"/>
      <c r="V217" s="64"/>
      <c r="W217" s="64"/>
      <c r="X217" s="64"/>
      <c r="Y217" s="64"/>
      <c r="Z217" s="64"/>
      <c r="AA217" s="64"/>
      <c r="AB217" s="64"/>
      <c r="AC217" s="64"/>
      <c r="AD217" s="64"/>
      <c r="AE217" s="64"/>
      <c r="AF217" s="64"/>
      <c r="AG217" s="64"/>
      <c r="AH217" s="64"/>
      <c r="AI217" s="64"/>
      <c r="AJ217" s="64"/>
    </row>
    <row r="218">
      <c r="A218" s="64"/>
      <c r="B218" s="64"/>
      <c r="C218" s="64"/>
      <c r="D218" s="64"/>
      <c r="E218" s="64"/>
      <c r="F218" s="64"/>
      <c r="G218" s="64"/>
      <c r="H218" s="64"/>
      <c r="I218" s="64"/>
      <c r="J218" s="64"/>
      <c r="K218" s="64"/>
      <c r="L218" s="64"/>
      <c r="M218" s="60"/>
      <c r="N218" s="60"/>
      <c r="O218" s="60"/>
      <c r="P218" s="60"/>
      <c r="Q218" s="64"/>
      <c r="R218" s="64"/>
      <c r="S218" s="64"/>
      <c r="T218" s="64"/>
      <c r="U218" s="64"/>
      <c r="V218" s="64"/>
      <c r="W218" s="64"/>
      <c r="X218" s="64"/>
      <c r="Y218" s="64"/>
      <c r="Z218" s="64"/>
      <c r="AA218" s="64"/>
      <c r="AB218" s="64"/>
      <c r="AC218" s="64"/>
      <c r="AD218" s="64"/>
      <c r="AE218" s="64"/>
      <c r="AF218" s="64"/>
      <c r="AG218" s="64"/>
      <c r="AH218" s="64"/>
      <c r="AI218" s="64"/>
      <c r="AJ218" s="64"/>
    </row>
    <row r="219">
      <c r="A219" s="64"/>
      <c r="B219" s="64"/>
      <c r="C219" s="64"/>
      <c r="D219" s="64"/>
      <c r="E219" s="64"/>
      <c r="F219" s="64"/>
      <c r="G219" s="64"/>
      <c r="H219" s="64"/>
      <c r="I219" s="64"/>
      <c r="J219" s="64"/>
      <c r="K219" s="64"/>
      <c r="L219" s="64"/>
      <c r="M219" s="60"/>
      <c r="N219" s="60"/>
      <c r="O219" s="60"/>
      <c r="P219" s="60"/>
      <c r="Q219" s="64"/>
      <c r="R219" s="64"/>
      <c r="S219" s="64"/>
      <c r="T219" s="64"/>
      <c r="U219" s="64"/>
      <c r="V219" s="64"/>
      <c r="W219" s="64"/>
      <c r="X219" s="64"/>
      <c r="Y219" s="64"/>
      <c r="Z219" s="64"/>
      <c r="AA219" s="64"/>
      <c r="AB219" s="64"/>
      <c r="AC219" s="64"/>
      <c r="AD219" s="64"/>
      <c r="AE219" s="64"/>
      <c r="AF219" s="64"/>
      <c r="AG219" s="64"/>
      <c r="AH219" s="64"/>
      <c r="AI219" s="64"/>
      <c r="AJ219" s="64"/>
    </row>
    <row r="220">
      <c r="A220" s="64"/>
      <c r="B220" s="64"/>
      <c r="C220" s="64"/>
      <c r="D220" s="64"/>
      <c r="E220" s="64"/>
      <c r="F220" s="64"/>
      <c r="G220" s="64"/>
      <c r="H220" s="64"/>
      <c r="I220" s="64"/>
      <c r="J220" s="64"/>
      <c r="K220" s="64"/>
      <c r="L220" s="64"/>
      <c r="M220" s="60"/>
      <c r="N220" s="60"/>
      <c r="O220" s="60"/>
      <c r="P220" s="60"/>
      <c r="Q220" s="64"/>
      <c r="R220" s="64"/>
      <c r="S220" s="64"/>
      <c r="T220" s="64"/>
      <c r="U220" s="64"/>
      <c r="V220" s="64"/>
      <c r="W220" s="64"/>
      <c r="X220" s="64"/>
      <c r="Y220" s="64"/>
      <c r="Z220" s="64"/>
      <c r="AA220" s="64"/>
      <c r="AB220" s="64"/>
      <c r="AC220" s="64"/>
      <c r="AD220" s="64"/>
      <c r="AE220" s="64"/>
      <c r="AF220" s="64"/>
      <c r="AG220" s="64"/>
      <c r="AH220" s="64"/>
      <c r="AI220" s="64"/>
      <c r="AJ220" s="64"/>
    </row>
    <row r="221">
      <c r="A221" s="64"/>
      <c r="B221" s="64"/>
      <c r="C221" s="64"/>
      <c r="D221" s="64"/>
      <c r="E221" s="64"/>
      <c r="F221" s="64"/>
      <c r="G221" s="64"/>
      <c r="H221" s="64"/>
      <c r="I221" s="64"/>
      <c r="J221" s="64"/>
      <c r="K221" s="64"/>
      <c r="L221" s="64"/>
      <c r="M221" s="60"/>
      <c r="N221" s="60"/>
      <c r="O221" s="60"/>
      <c r="P221" s="60"/>
      <c r="Q221" s="64"/>
      <c r="R221" s="64"/>
      <c r="S221" s="64"/>
      <c r="T221" s="64"/>
      <c r="U221" s="64"/>
      <c r="V221" s="64"/>
      <c r="W221" s="64"/>
      <c r="X221" s="64"/>
      <c r="Y221" s="64"/>
      <c r="Z221" s="64"/>
      <c r="AA221" s="64"/>
      <c r="AB221" s="64"/>
      <c r="AC221" s="64"/>
      <c r="AD221" s="64"/>
      <c r="AE221" s="64"/>
      <c r="AF221" s="64"/>
      <c r="AG221" s="64"/>
      <c r="AH221" s="64"/>
      <c r="AI221" s="64"/>
      <c r="AJ221" s="64"/>
    </row>
    <row r="222">
      <c r="A222" s="64"/>
      <c r="B222" s="64"/>
      <c r="C222" s="64"/>
      <c r="D222" s="64"/>
      <c r="E222" s="64"/>
      <c r="F222" s="64"/>
      <c r="G222" s="64"/>
      <c r="H222" s="64"/>
      <c r="I222" s="64"/>
      <c r="J222" s="64"/>
      <c r="K222" s="64"/>
      <c r="L222" s="64"/>
      <c r="M222" s="60"/>
      <c r="N222" s="60"/>
      <c r="O222" s="60"/>
      <c r="P222" s="60"/>
      <c r="Q222" s="64"/>
      <c r="R222" s="64"/>
      <c r="S222" s="64"/>
      <c r="T222" s="64"/>
      <c r="U222" s="64"/>
      <c r="V222" s="64"/>
      <c r="W222" s="64"/>
      <c r="X222" s="64"/>
      <c r="Y222" s="64"/>
      <c r="Z222" s="64"/>
      <c r="AA222" s="64"/>
      <c r="AB222" s="64"/>
      <c r="AC222" s="64"/>
      <c r="AD222" s="64"/>
      <c r="AE222" s="64"/>
      <c r="AF222" s="64"/>
      <c r="AG222" s="64"/>
      <c r="AH222" s="64"/>
      <c r="AI222" s="64"/>
      <c r="AJ222" s="64"/>
    </row>
    <row r="223">
      <c r="A223" s="64"/>
      <c r="B223" s="64"/>
      <c r="C223" s="64"/>
      <c r="D223" s="64"/>
      <c r="E223" s="64"/>
      <c r="F223" s="64"/>
      <c r="G223" s="64"/>
      <c r="H223" s="64"/>
      <c r="I223" s="64"/>
      <c r="J223" s="64"/>
      <c r="K223" s="64"/>
      <c r="L223" s="64"/>
      <c r="M223" s="60"/>
      <c r="N223" s="60"/>
      <c r="O223" s="60"/>
      <c r="P223" s="60"/>
      <c r="Q223" s="64"/>
      <c r="R223" s="64"/>
      <c r="S223" s="64"/>
      <c r="T223" s="64"/>
      <c r="U223" s="64"/>
      <c r="V223" s="64"/>
      <c r="W223" s="64"/>
      <c r="X223" s="64"/>
      <c r="Y223" s="64"/>
      <c r="Z223" s="64"/>
      <c r="AA223" s="64"/>
      <c r="AB223" s="64"/>
      <c r="AC223" s="64"/>
      <c r="AD223" s="64"/>
      <c r="AE223" s="64"/>
      <c r="AF223" s="64"/>
      <c r="AG223" s="64"/>
      <c r="AH223" s="64"/>
      <c r="AI223" s="64"/>
      <c r="AJ223" s="64"/>
    </row>
    <row r="224">
      <c r="A224" s="64"/>
      <c r="B224" s="64"/>
      <c r="C224" s="64"/>
      <c r="D224" s="64"/>
      <c r="E224" s="64"/>
      <c r="F224" s="64"/>
      <c r="G224" s="64"/>
      <c r="H224" s="64"/>
      <c r="I224" s="64"/>
      <c r="J224" s="64"/>
      <c r="K224" s="64"/>
      <c r="L224" s="64"/>
      <c r="M224" s="60"/>
      <c r="N224" s="60"/>
      <c r="O224" s="60"/>
      <c r="P224" s="60"/>
      <c r="Q224" s="64"/>
      <c r="R224" s="64"/>
      <c r="S224" s="64"/>
      <c r="T224" s="64"/>
      <c r="U224" s="64"/>
      <c r="V224" s="64"/>
      <c r="W224" s="64"/>
      <c r="X224" s="64"/>
      <c r="Y224" s="64"/>
      <c r="Z224" s="64"/>
      <c r="AA224" s="64"/>
      <c r="AB224" s="64"/>
      <c r="AC224" s="64"/>
      <c r="AD224" s="64"/>
      <c r="AE224" s="64"/>
      <c r="AF224" s="64"/>
      <c r="AG224" s="64"/>
      <c r="AH224" s="64"/>
      <c r="AI224" s="64"/>
      <c r="AJ224" s="64"/>
    </row>
    <row r="225">
      <c r="A225" s="64"/>
      <c r="B225" s="64"/>
      <c r="C225" s="64"/>
      <c r="D225" s="64"/>
      <c r="E225" s="64"/>
      <c r="F225" s="64"/>
      <c r="G225" s="64"/>
      <c r="H225" s="64"/>
      <c r="I225" s="64"/>
      <c r="J225" s="64"/>
      <c r="K225" s="64"/>
      <c r="L225" s="64"/>
      <c r="M225" s="60"/>
      <c r="N225" s="60"/>
      <c r="O225" s="60"/>
      <c r="P225" s="60"/>
      <c r="Q225" s="64"/>
      <c r="R225" s="64"/>
      <c r="S225" s="64"/>
      <c r="T225" s="64"/>
      <c r="U225" s="64"/>
      <c r="V225" s="64"/>
      <c r="W225" s="64"/>
      <c r="X225" s="64"/>
      <c r="Y225" s="64"/>
      <c r="Z225" s="64"/>
      <c r="AA225" s="64"/>
      <c r="AB225" s="64"/>
      <c r="AC225" s="64"/>
      <c r="AD225" s="64"/>
      <c r="AE225" s="64"/>
      <c r="AF225" s="64"/>
      <c r="AG225" s="64"/>
      <c r="AH225" s="64"/>
      <c r="AI225" s="64"/>
      <c r="AJ225" s="64"/>
    </row>
    <row r="226">
      <c r="A226" s="64"/>
      <c r="B226" s="64"/>
      <c r="C226" s="64"/>
      <c r="D226" s="64"/>
      <c r="E226" s="64"/>
      <c r="F226" s="64"/>
      <c r="G226" s="64"/>
      <c r="H226" s="64"/>
      <c r="I226" s="64"/>
      <c r="J226" s="64"/>
      <c r="K226" s="64"/>
      <c r="L226" s="64"/>
      <c r="M226" s="60"/>
      <c r="N226" s="60"/>
      <c r="O226" s="60"/>
      <c r="P226" s="60"/>
      <c r="Q226" s="64"/>
      <c r="R226" s="64"/>
      <c r="S226" s="64"/>
      <c r="T226" s="64"/>
      <c r="U226" s="64"/>
      <c r="V226" s="64"/>
      <c r="W226" s="64"/>
      <c r="X226" s="64"/>
      <c r="Y226" s="64"/>
      <c r="Z226" s="64"/>
      <c r="AA226" s="64"/>
      <c r="AB226" s="64"/>
      <c r="AC226" s="64"/>
      <c r="AD226" s="64"/>
      <c r="AE226" s="64"/>
      <c r="AF226" s="64"/>
      <c r="AG226" s="64"/>
      <c r="AH226" s="64"/>
      <c r="AI226" s="64"/>
      <c r="AJ226" s="64"/>
    </row>
    <row r="227">
      <c r="A227" s="64"/>
      <c r="B227" s="64"/>
      <c r="C227" s="64"/>
      <c r="D227" s="64"/>
      <c r="E227" s="64"/>
      <c r="F227" s="64"/>
      <c r="G227" s="64"/>
      <c r="H227" s="64"/>
      <c r="I227" s="64"/>
      <c r="J227" s="64"/>
      <c r="K227" s="64"/>
      <c r="L227" s="64"/>
      <c r="M227" s="60"/>
      <c r="N227" s="60"/>
      <c r="O227" s="60"/>
      <c r="P227" s="60"/>
      <c r="Q227" s="64"/>
      <c r="R227" s="64"/>
      <c r="S227" s="64"/>
      <c r="T227" s="64"/>
      <c r="U227" s="64"/>
      <c r="V227" s="64"/>
      <c r="W227" s="64"/>
      <c r="X227" s="64"/>
      <c r="Y227" s="64"/>
      <c r="Z227" s="64"/>
      <c r="AA227" s="64"/>
      <c r="AB227" s="64"/>
      <c r="AC227" s="64"/>
      <c r="AD227" s="64"/>
      <c r="AE227" s="64"/>
      <c r="AF227" s="64"/>
      <c r="AG227" s="64"/>
      <c r="AH227" s="64"/>
      <c r="AI227" s="64"/>
      <c r="AJ227" s="64"/>
    </row>
    <row r="228">
      <c r="A228" s="64"/>
      <c r="B228" s="64"/>
      <c r="C228" s="64"/>
      <c r="D228" s="64"/>
      <c r="E228" s="64"/>
      <c r="F228" s="64"/>
      <c r="G228" s="64"/>
      <c r="H228" s="64"/>
      <c r="I228" s="64"/>
      <c r="J228" s="64"/>
      <c r="K228" s="64"/>
      <c r="L228" s="64"/>
      <c r="M228" s="60"/>
      <c r="N228" s="60"/>
      <c r="O228" s="60"/>
      <c r="P228" s="60"/>
      <c r="Q228" s="64"/>
      <c r="R228" s="64"/>
      <c r="S228" s="64"/>
      <c r="T228" s="64"/>
      <c r="U228" s="64"/>
      <c r="V228" s="64"/>
      <c r="W228" s="64"/>
      <c r="X228" s="64"/>
      <c r="Y228" s="64"/>
      <c r="Z228" s="64"/>
      <c r="AA228" s="64"/>
      <c r="AB228" s="64"/>
      <c r="AC228" s="64"/>
      <c r="AD228" s="64"/>
      <c r="AE228" s="64"/>
      <c r="AF228" s="64"/>
      <c r="AG228" s="64"/>
      <c r="AH228" s="64"/>
      <c r="AI228" s="64"/>
      <c r="AJ228" s="64"/>
    </row>
    <row r="229">
      <c r="A229" s="64"/>
      <c r="B229" s="64"/>
      <c r="C229" s="64"/>
      <c r="D229" s="64"/>
      <c r="E229" s="64"/>
      <c r="F229" s="64"/>
      <c r="G229" s="64"/>
      <c r="H229" s="64"/>
      <c r="I229" s="64"/>
      <c r="J229" s="64"/>
      <c r="K229" s="64"/>
      <c r="L229" s="64"/>
      <c r="M229" s="60"/>
      <c r="N229" s="60"/>
      <c r="O229" s="60"/>
      <c r="P229" s="60"/>
      <c r="Q229" s="64"/>
      <c r="R229" s="64"/>
      <c r="S229" s="64"/>
      <c r="T229" s="64"/>
      <c r="U229" s="64"/>
      <c r="V229" s="64"/>
      <c r="W229" s="64"/>
      <c r="X229" s="64"/>
      <c r="Y229" s="64"/>
      <c r="Z229" s="64"/>
      <c r="AA229" s="64"/>
      <c r="AB229" s="64"/>
      <c r="AC229" s="64"/>
      <c r="AD229" s="64"/>
      <c r="AE229" s="64"/>
      <c r="AF229" s="64"/>
      <c r="AG229" s="64"/>
      <c r="AH229" s="64"/>
      <c r="AI229" s="64"/>
      <c r="AJ229" s="64"/>
    </row>
    <row r="230">
      <c r="A230" s="64"/>
      <c r="B230" s="64"/>
      <c r="C230" s="64"/>
      <c r="D230" s="64"/>
      <c r="E230" s="64"/>
      <c r="F230" s="64"/>
      <c r="G230" s="64"/>
      <c r="H230" s="64"/>
      <c r="I230" s="64"/>
      <c r="J230" s="64"/>
      <c r="K230" s="64"/>
      <c r="L230" s="64"/>
      <c r="M230" s="60"/>
      <c r="N230" s="60"/>
      <c r="O230" s="60"/>
      <c r="P230" s="60"/>
      <c r="Q230" s="64"/>
      <c r="R230" s="64"/>
      <c r="S230" s="64"/>
      <c r="T230" s="64"/>
      <c r="U230" s="64"/>
      <c r="V230" s="64"/>
      <c r="W230" s="64"/>
      <c r="X230" s="64"/>
      <c r="Y230" s="64"/>
      <c r="Z230" s="64"/>
      <c r="AA230" s="64"/>
      <c r="AB230" s="64"/>
      <c r="AC230" s="64"/>
      <c r="AD230" s="64"/>
      <c r="AE230" s="64"/>
      <c r="AF230" s="64"/>
      <c r="AG230" s="64"/>
      <c r="AH230" s="64"/>
      <c r="AI230" s="64"/>
      <c r="AJ230" s="64"/>
    </row>
    <row r="231">
      <c r="A231" s="64"/>
      <c r="B231" s="64"/>
      <c r="C231" s="64"/>
      <c r="D231" s="64"/>
      <c r="E231" s="64"/>
      <c r="F231" s="64"/>
      <c r="G231" s="64"/>
      <c r="H231" s="64"/>
      <c r="I231" s="64"/>
      <c r="J231" s="64"/>
      <c r="K231" s="64"/>
      <c r="L231" s="64"/>
      <c r="M231" s="60"/>
      <c r="N231" s="60"/>
      <c r="O231" s="60"/>
      <c r="P231" s="60"/>
      <c r="Q231" s="64"/>
      <c r="R231" s="64"/>
      <c r="S231" s="64"/>
      <c r="T231" s="64"/>
      <c r="U231" s="64"/>
      <c r="V231" s="64"/>
      <c r="W231" s="64"/>
      <c r="X231" s="64"/>
      <c r="Y231" s="64"/>
      <c r="Z231" s="64"/>
      <c r="AA231" s="64"/>
      <c r="AB231" s="64"/>
      <c r="AC231" s="64"/>
      <c r="AD231" s="64"/>
      <c r="AE231" s="64"/>
      <c r="AF231" s="64"/>
      <c r="AG231" s="64"/>
      <c r="AH231" s="64"/>
      <c r="AI231" s="64"/>
      <c r="AJ231" s="64"/>
    </row>
    <row r="232">
      <c r="A232" s="64"/>
      <c r="B232" s="64"/>
      <c r="C232" s="64"/>
      <c r="D232" s="64"/>
      <c r="E232" s="64"/>
      <c r="F232" s="64"/>
      <c r="G232" s="64"/>
      <c r="H232" s="64"/>
      <c r="I232" s="64"/>
      <c r="J232" s="64"/>
      <c r="K232" s="64"/>
      <c r="L232" s="64"/>
      <c r="M232" s="60"/>
      <c r="N232" s="60"/>
      <c r="O232" s="60"/>
      <c r="P232" s="60"/>
      <c r="Q232" s="64"/>
      <c r="R232" s="64"/>
      <c r="S232" s="64"/>
      <c r="T232" s="64"/>
      <c r="U232" s="64"/>
      <c r="V232" s="64"/>
      <c r="W232" s="64"/>
      <c r="X232" s="64"/>
      <c r="Y232" s="64"/>
      <c r="Z232" s="64"/>
      <c r="AA232" s="64"/>
      <c r="AB232" s="64"/>
      <c r="AC232" s="64"/>
      <c r="AD232" s="64"/>
      <c r="AE232" s="64"/>
      <c r="AF232" s="64"/>
      <c r="AG232" s="64"/>
      <c r="AH232" s="64"/>
      <c r="AI232" s="64"/>
      <c r="AJ232" s="64"/>
    </row>
    <row r="233">
      <c r="A233" s="64"/>
      <c r="B233" s="64"/>
      <c r="C233" s="64"/>
      <c r="D233" s="64"/>
      <c r="E233" s="64"/>
      <c r="F233" s="64"/>
      <c r="G233" s="64"/>
      <c r="H233" s="64"/>
      <c r="I233" s="64"/>
      <c r="J233" s="64"/>
      <c r="K233" s="64"/>
      <c r="L233" s="64"/>
      <c r="M233" s="60"/>
      <c r="N233" s="60"/>
      <c r="O233" s="60"/>
      <c r="P233" s="60"/>
      <c r="Q233" s="64"/>
      <c r="R233" s="64"/>
      <c r="S233" s="64"/>
      <c r="T233" s="64"/>
      <c r="U233" s="64"/>
      <c r="V233" s="64"/>
      <c r="W233" s="64"/>
      <c r="X233" s="64"/>
      <c r="Y233" s="64"/>
      <c r="Z233" s="64"/>
      <c r="AA233" s="64"/>
      <c r="AB233" s="64"/>
      <c r="AC233" s="64"/>
      <c r="AD233" s="64"/>
      <c r="AE233" s="64"/>
      <c r="AF233" s="64"/>
      <c r="AG233" s="64"/>
      <c r="AH233" s="64"/>
      <c r="AI233" s="64"/>
      <c r="AJ233" s="64"/>
    </row>
    <row r="234">
      <c r="A234" s="64"/>
      <c r="B234" s="64"/>
      <c r="C234" s="64"/>
      <c r="D234" s="64"/>
      <c r="E234" s="64"/>
      <c r="F234" s="64"/>
      <c r="G234" s="64"/>
      <c r="H234" s="64"/>
      <c r="I234" s="64"/>
      <c r="J234" s="64"/>
      <c r="K234" s="64"/>
      <c r="L234" s="64"/>
      <c r="M234" s="60"/>
      <c r="N234" s="60"/>
      <c r="O234" s="60"/>
      <c r="P234" s="60"/>
      <c r="Q234" s="64"/>
      <c r="R234" s="64"/>
      <c r="S234" s="64"/>
      <c r="T234" s="64"/>
      <c r="U234" s="64"/>
      <c r="V234" s="64"/>
      <c r="W234" s="64"/>
      <c r="X234" s="64"/>
      <c r="Y234" s="64"/>
      <c r="Z234" s="64"/>
      <c r="AA234" s="64"/>
      <c r="AB234" s="64"/>
      <c r="AC234" s="64"/>
      <c r="AD234" s="64"/>
      <c r="AE234" s="64"/>
      <c r="AF234" s="64"/>
      <c r="AG234" s="64"/>
      <c r="AH234" s="64"/>
      <c r="AI234" s="64"/>
      <c r="AJ234" s="64"/>
    </row>
    <row r="235">
      <c r="A235" s="64"/>
      <c r="B235" s="64"/>
      <c r="C235" s="64"/>
      <c r="D235" s="64"/>
      <c r="E235" s="64"/>
      <c r="F235" s="64"/>
      <c r="G235" s="64"/>
      <c r="H235" s="64"/>
      <c r="I235" s="64"/>
      <c r="J235" s="64"/>
      <c r="K235" s="64"/>
      <c r="L235" s="64"/>
      <c r="M235" s="60"/>
      <c r="N235" s="60"/>
      <c r="O235" s="60"/>
      <c r="P235" s="60"/>
      <c r="Q235" s="64"/>
      <c r="R235" s="64"/>
      <c r="S235" s="64"/>
      <c r="T235" s="64"/>
      <c r="U235" s="64"/>
      <c r="V235" s="64"/>
      <c r="W235" s="64"/>
      <c r="X235" s="64"/>
      <c r="Y235" s="64"/>
      <c r="Z235" s="64"/>
      <c r="AA235" s="64"/>
      <c r="AB235" s="64"/>
      <c r="AC235" s="64"/>
      <c r="AD235" s="64"/>
      <c r="AE235" s="64"/>
      <c r="AF235" s="64"/>
      <c r="AG235" s="64"/>
      <c r="AH235" s="64"/>
      <c r="AI235" s="64"/>
      <c r="AJ235" s="64"/>
    </row>
    <row r="236">
      <c r="A236" s="64"/>
      <c r="B236" s="64"/>
      <c r="C236" s="64"/>
      <c r="D236" s="64"/>
      <c r="E236" s="64"/>
      <c r="F236" s="64"/>
      <c r="G236" s="64"/>
      <c r="H236" s="64"/>
      <c r="I236" s="64"/>
      <c r="J236" s="64"/>
      <c r="K236" s="64"/>
      <c r="L236" s="64"/>
      <c r="M236" s="60"/>
      <c r="N236" s="60"/>
      <c r="O236" s="60"/>
      <c r="P236" s="60"/>
      <c r="Q236" s="64"/>
      <c r="R236" s="64"/>
      <c r="S236" s="64"/>
      <c r="T236" s="64"/>
      <c r="U236" s="64"/>
      <c r="V236" s="64"/>
      <c r="W236" s="64"/>
      <c r="X236" s="64"/>
      <c r="Y236" s="64"/>
      <c r="Z236" s="64"/>
      <c r="AA236" s="64"/>
      <c r="AB236" s="64"/>
      <c r="AC236" s="64"/>
      <c r="AD236" s="64"/>
      <c r="AE236" s="64"/>
      <c r="AF236" s="64"/>
      <c r="AG236" s="64"/>
      <c r="AH236" s="64"/>
      <c r="AI236" s="64"/>
      <c r="AJ236" s="64"/>
    </row>
    <row r="237">
      <c r="A237" s="64"/>
      <c r="B237" s="64"/>
      <c r="C237" s="64"/>
      <c r="D237" s="64"/>
      <c r="E237" s="64"/>
      <c r="F237" s="64"/>
      <c r="G237" s="64"/>
      <c r="H237" s="64"/>
      <c r="I237" s="64"/>
      <c r="J237" s="64"/>
      <c r="K237" s="64"/>
      <c r="L237" s="64"/>
      <c r="M237" s="60"/>
      <c r="N237" s="60"/>
      <c r="O237" s="60"/>
      <c r="P237" s="60"/>
      <c r="Q237" s="64"/>
      <c r="R237" s="64"/>
      <c r="S237" s="64"/>
      <c r="T237" s="64"/>
      <c r="U237" s="64"/>
      <c r="V237" s="64"/>
      <c r="W237" s="64"/>
      <c r="X237" s="64"/>
      <c r="Y237" s="64"/>
      <c r="Z237" s="64"/>
      <c r="AA237" s="64"/>
      <c r="AB237" s="64"/>
      <c r="AC237" s="64"/>
      <c r="AD237" s="64"/>
      <c r="AE237" s="64"/>
      <c r="AF237" s="64"/>
      <c r="AG237" s="64"/>
      <c r="AH237" s="64"/>
      <c r="AI237" s="64"/>
      <c r="AJ237" s="64"/>
    </row>
    <row r="238">
      <c r="A238" s="64"/>
      <c r="B238" s="64"/>
      <c r="C238" s="64"/>
      <c r="D238" s="64"/>
      <c r="E238" s="64"/>
      <c r="F238" s="64"/>
      <c r="G238" s="64"/>
      <c r="H238" s="64"/>
      <c r="I238" s="64"/>
      <c r="J238" s="64"/>
      <c r="K238" s="64"/>
      <c r="L238" s="64"/>
      <c r="M238" s="60"/>
      <c r="N238" s="60"/>
      <c r="O238" s="60"/>
      <c r="P238" s="60"/>
      <c r="Q238" s="64"/>
      <c r="R238" s="64"/>
      <c r="S238" s="64"/>
      <c r="T238" s="64"/>
      <c r="U238" s="64"/>
      <c r="V238" s="64"/>
      <c r="W238" s="64"/>
      <c r="X238" s="64"/>
      <c r="Y238" s="64"/>
      <c r="Z238" s="64"/>
      <c r="AA238" s="64"/>
      <c r="AB238" s="64"/>
      <c r="AC238" s="64"/>
      <c r="AD238" s="64"/>
      <c r="AE238" s="64"/>
      <c r="AF238" s="64"/>
      <c r="AG238" s="64"/>
      <c r="AH238" s="64"/>
      <c r="AI238" s="64"/>
      <c r="AJ238" s="64"/>
    </row>
    <row r="239">
      <c r="A239" s="64"/>
      <c r="B239" s="64"/>
      <c r="C239" s="64"/>
      <c r="D239" s="64"/>
      <c r="E239" s="64"/>
      <c r="F239" s="64"/>
      <c r="G239" s="64"/>
      <c r="H239" s="64"/>
      <c r="I239" s="64"/>
      <c r="J239" s="64"/>
      <c r="K239" s="64"/>
      <c r="L239" s="64"/>
      <c r="M239" s="60"/>
      <c r="N239" s="60"/>
      <c r="O239" s="60"/>
      <c r="P239" s="60"/>
      <c r="Q239" s="64"/>
      <c r="R239" s="64"/>
      <c r="S239" s="64"/>
      <c r="T239" s="64"/>
      <c r="U239" s="64"/>
      <c r="V239" s="64"/>
      <c r="W239" s="64"/>
      <c r="X239" s="64"/>
      <c r="Y239" s="64"/>
      <c r="Z239" s="64"/>
      <c r="AA239" s="64"/>
      <c r="AB239" s="64"/>
      <c r="AC239" s="64"/>
      <c r="AD239" s="64"/>
      <c r="AE239" s="64"/>
      <c r="AF239" s="64"/>
      <c r="AG239" s="64"/>
      <c r="AH239" s="64"/>
      <c r="AI239" s="64"/>
      <c r="AJ239" s="64"/>
    </row>
    <row r="240">
      <c r="A240" s="64"/>
      <c r="B240" s="64"/>
      <c r="C240" s="64"/>
      <c r="D240" s="64"/>
      <c r="E240" s="64"/>
      <c r="F240" s="64"/>
      <c r="G240" s="64"/>
      <c r="H240" s="64"/>
      <c r="I240" s="64"/>
      <c r="J240" s="64"/>
      <c r="K240" s="64"/>
      <c r="L240" s="64"/>
      <c r="M240" s="60"/>
      <c r="N240" s="60"/>
      <c r="O240" s="60"/>
      <c r="P240" s="60"/>
      <c r="Q240" s="64"/>
      <c r="R240" s="64"/>
      <c r="S240" s="64"/>
      <c r="T240" s="64"/>
      <c r="U240" s="64"/>
      <c r="V240" s="64"/>
      <c r="W240" s="64"/>
      <c r="X240" s="64"/>
      <c r="Y240" s="64"/>
      <c r="Z240" s="64"/>
      <c r="AA240" s="64"/>
      <c r="AB240" s="64"/>
      <c r="AC240" s="64"/>
      <c r="AD240" s="64"/>
      <c r="AE240" s="64"/>
      <c r="AF240" s="64"/>
      <c r="AG240" s="64"/>
      <c r="AH240" s="64"/>
      <c r="AI240" s="64"/>
      <c r="AJ240" s="64"/>
    </row>
    <row r="241">
      <c r="A241" s="64"/>
      <c r="B241" s="64"/>
      <c r="C241" s="64"/>
      <c r="D241" s="64"/>
      <c r="E241" s="64"/>
      <c r="F241" s="64"/>
      <c r="G241" s="64"/>
      <c r="H241" s="64"/>
      <c r="I241" s="64"/>
      <c r="J241" s="64"/>
      <c r="K241" s="64"/>
      <c r="L241" s="64"/>
      <c r="M241" s="60"/>
      <c r="N241" s="60"/>
      <c r="O241" s="60"/>
      <c r="P241" s="60"/>
      <c r="Q241" s="64"/>
      <c r="R241" s="64"/>
      <c r="S241" s="64"/>
      <c r="T241" s="64"/>
      <c r="U241" s="64"/>
      <c r="V241" s="64"/>
      <c r="W241" s="64"/>
      <c r="X241" s="64"/>
      <c r="Y241" s="64"/>
      <c r="Z241" s="64"/>
      <c r="AA241" s="64"/>
      <c r="AB241" s="64"/>
      <c r="AC241" s="64"/>
      <c r="AD241" s="64"/>
      <c r="AE241" s="64"/>
      <c r="AF241" s="64"/>
      <c r="AG241" s="64"/>
      <c r="AH241" s="64"/>
      <c r="AI241" s="64"/>
      <c r="AJ241" s="64"/>
    </row>
    <row r="242">
      <c r="A242" s="64"/>
      <c r="B242" s="64"/>
      <c r="C242" s="64"/>
      <c r="D242" s="64"/>
      <c r="E242" s="64"/>
      <c r="F242" s="64"/>
      <c r="G242" s="64"/>
      <c r="H242" s="64"/>
      <c r="I242" s="64"/>
      <c r="J242" s="64"/>
      <c r="K242" s="64"/>
      <c r="L242" s="64"/>
      <c r="M242" s="60"/>
      <c r="N242" s="60"/>
      <c r="O242" s="60"/>
      <c r="P242" s="60"/>
      <c r="Q242" s="64"/>
      <c r="R242" s="64"/>
      <c r="S242" s="64"/>
      <c r="T242" s="64"/>
      <c r="U242" s="64"/>
      <c r="V242" s="64"/>
      <c r="W242" s="64"/>
      <c r="X242" s="64"/>
      <c r="Y242" s="64"/>
      <c r="Z242" s="64"/>
      <c r="AA242" s="64"/>
      <c r="AB242" s="64"/>
      <c r="AC242" s="64"/>
      <c r="AD242" s="64"/>
      <c r="AE242" s="64"/>
      <c r="AF242" s="64"/>
      <c r="AG242" s="64"/>
      <c r="AH242" s="64"/>
      <c r="AI242" s="64"/>
      <c r="AJ242" s="64"/>
    </row>
    <row r="243">
      <c r="A243" s="64"/>
      <c r="B243" s="64"/>
      <c r="C243" s="64"/>
      <c r="D243" s="64"/>
      <c r="E243" s="64"/>
      <c r="F243" s="64"/>
      <c r="G243" s="64"/>
      <c r="H243" s="64"/>
      <c r="I243" s="64"/>
      <c r="J243" s="64"/>
      <c r="K243" s="64"/>
      <c r="L243" s="64"/>
      <c r="M243" s="60"/>
      <c r="N243" s="60"/>
      <c r="O243" s="60"/>
      <c r="P243" s="60"/>
      <c r="Q243" s="64"/>
      <c r="R243" s="64"/>
      <c r="S243" s="64"/>
      <c r="T243" s="64"/>
      <c r="U243" s="64"/>
      <c r="V243" s="64"/>
      <c r="W243" s="64"/>
      <c r="X243" s="64"/>
      <c r="Y243" s="64"/>
      <c r="Z243" s="64"/>
      <c r="AA243" s="64"/>
      <c r="AB243" s="64"/>
      <c r="AC243" s="64"/>
      <c r="AD243" s="64"/>
      <c r="AE243" s="64"/>
      <c r="AF243" s="64"/>
      <c r="AG243" s="64"/>
      <c r="AH243" s="64"/>
      <c r="AI243" s="64"/>
      <c r="AJ243" s="64"/>
    </row>
    <row r="244">
      <c r="A244" s="64"/>
      <c r="B244" s="64"/>
      <c r="C244" s="64"/>
      <c r="D244" s="64"/>
      <c r="E244" s="64"/>
      <c r="F244" s="64"/>
      <c r="G244" s="64"/>
      <c r="H244" s="64"/>
      <c r="I244" s="64"/>
      <c r="J244" s="64"/>
      <c r="K244" s="64"/>
      <c r="L244" s="64"/>
      <c r="M244" s="60"/>
      <c r="N244" s="60"/>
      <c r="O244" s="60"/>
      <c r="P244" s="60"/>
      <c r="Q244" s="64"/>
      <c r="R244" s="64"/>
      <c r="S244" s="64"/>
      <c r="T244" s="64"/>
      <c r="U244" s="64"/>
      <c r="V244" s="64"/>
      <c r="W244" s="64"/>
      <c r="X244" s="64"/>
      <c r="Y244" s="64"/>
      <c r="Z244" s="64"/>
      <c r="AA244" s="64"/>
      <c r="AB244" s="64"/>
      <c r="AC244" s="64"/>
      <c r="AD244" s="64"/>
      <c r="AE244" s="64"/>
      <c r="AF244" s="64"/>
      <c r="AG244" s="64"/>
      <c r="AH244" s="64"/>
      <c r="AI244" s="64"/>
      <c r="AJ244" s="64"/>
    </row>
    <row r="245">
      <c r="A245" s="64"/>
      <c r="B245" s="64"/>
      <c r="C245" s="64"/>
      <c r="D245" s="64"/>
      <c r="E245" s="64"/>
      <c r="F245" s="64"/>
      <c r="G245" s="64"/>
      <c r="H245" s="64"/>
      <c r="I245" s="64"/>
      <c r="J245" s="64"/>
      <c r="K245" s="64"/>
      <c r="L245" s="64"/>
      <c r="M245" s="60"/>
      <c r="N245" s="60"/>
      <c r="O245" s="60"/>
      <c r="P245" s="60"/>
      <c r="Q245" s="64"/>
      <c r="R245" s="64"/>
      <c r="S245" s="64"/>
      <c r="T245" s="64"/>
      <c r="U245" s="64"/>
      <c r="V245" s="64"/>
      <c r="W245" s="64"/>
      <c r="X245" s="64"/>
      <c r="Y245" s="64"/>
      <c r="Z245" s="64"/>
      <c r="AA245" s="64"/>
      <c r="AB245" s="64"/>
      <c r="AC245" s="64"/>
      <c r="AD245" s="64"/>
      <c r="AE245" s="64"/>
      <c r="AF245" s="64"/>
      <c r="AG245" s="64"/>
      <c r="AH245" s="64"/>
      <c r="AI245" s="64"/>
      <c r="AJ245" s="64"/>
    </row>
    <row r="246">
      <c r="A246" s="64"/>
      <c r="B246" s="64"/>
      <c r="C246" s="64"/>
      <c r="D246" s="64"/>
      <c r="E246" s="64"/>
      <c r="F246" s="64"/>
      <c r="G246" s="64"/>
      <c r="H246" s="64"/>
      <c r="I246" s="64"/>
      <c r="J246" s="64"/>
      <c r="K246" s="64"/>
      <c r="L246" s="64"/>
      <c r="M246" s="60"/>
      <c r="N246" s="60"/>
      <c r="O246" s="60"/>
      <c r="P246" s="60"/>
      <c r="Q246" s="64"/>
      <c r="R246" s="64"/>
      <c r="S246" s="64"/>
      <c r="T246" s="64"/>
      <c r="U246" s="64"/>
      <c r="V246" s="64"/>
      <c r="W246" s="64"/>
      <c r="X246" s="64"/>
      <c r="Y246" s="64"/>
      <c r="Z246" s="64"/>
      <c r="AA246" s="64"/>
      <c r="AB246" s="64"/>
      <c r="AC246" s="64"/>
      <c r="AD246" s="64"/>
      <c r="AE246" s="64"/>
      <c r="AF246" s="64"/>
      <c r="AG246" s="64"/>
      <c r="AH246" s="64"/>
      <c r="AI246" s="64"/>
      <c r="AJ246" s="64"/>
    </row>
    <row r="247">
      <c r="A247" s="64"/>
      <c r="B247" s="64"/>
      <c r="C247" s="64"/>
      <c r="D247" s="64"/>
      <c r="E247" s="64"/>
      <c r="F247" s="64"/>
      <c r="G247" s="64"/>
      <c r="H247" s="64"/>
      <c r="I247" s="64"/>
      <c r="J247" s="64"/>
      <c r="K247" s="64"/>
      <c r="L247" s="64"/>
      <c r="M247" s="60"/>
      <c r="N247" s="60"/>
      <c r="O247" s="60"/>
      <c r="P247" s="60"/>
      <c r="Q247" s="64"/>
      <c r="R247" s="64"/>
      <c r="S247" s="64"/>
      <c r="T247" s="64"/>
      <c r="U247" s="64"/>
      <c r="V247" s="64"/>
      <c r="W247" s="64"/>
      <c r="X247" s="64"/>
      <c r="Y247" s="64"/>
      <c r="Z247" s="64"/>
      <c r="AA247" s="64"/>
      <c r="AB247" s="64"/>
      <c r="AC247" s="64"/>
      <c r="AD247" s="64"/>
      <c r="AE247" s="64"/>
      <c r="AF247" s="64"/>
      <c r="AG247" s="64"/>
      <c r="AH247" s="64"/>
      <c r="AI247" s="64"/>
      <c r="AJ247" s="64"/>
    </row>
    <row r="248">
      <c r="A248" s="64"/>
      <c r="B248" s="64"/>
      <c r="C248" s="64"/>
      <c r="D248" s="64"/>
      <c r="E248" s="64"/>
      <c r="F248" s="64"/>
      <c r="G248" s="64"/>
      <c r="H248" s="64"/>
      <c r="I248" s="64"/>
      <c r="J248" s="64"/>
      <c r="K248" s="64"/>
      <c r="L248" s="64"/>
      <c r="M248" s="60"/>
      <c r="N248" s="60"/>
      <c r="O248" s="60"/>
      <c r="P248" s="60"/>
      <c r="Q248" s="64"/>
      <c r="R248" s="64"/>
      <c r="S248" s="64"/>
      <c r="T248" s="64"/>
      <c r="U248" s="64"/>
      <c r="V248" s="64"/>
      <c r="W248" s="64"/>
      <c r="X248" s="64"/>
      <c r="Y248" s="64"/>
      <c r="Z248" s="64"/>
      <c r="AA248" s="64"/>
      <c r="AB248" s="64"/>
      <c r="AC248" s="64"/>
      <c r="AD248" s="64"/>
      <c r="AE248" s="64"/>
      <c r="AF248" s="64"/>
      <c r="AG248" s="64"/>
      <c r="AH248" s="64"/>
      <c r="AI248" s="64"/>
      <c r="AJ248" s="64"/>
    </row>
    <row r="249">
      <c r="A249" s="64"/>
      <c r="B249" s="64"/>
      <c r="C249" s="64"/>
      <c r="D249" s="64"/>
      <c r="E249" s="64"/>
      <c r="F249" s="64"/>
      <c r="G249" s="64"/>
      <c r="H249" s="64"/>
      <c r="I249" s="64"/>
      <c r="J249" s="64"/>
      <c r="K249" s="64"/>
      <c r="L249" s="64"/>
      <c r="M249" s="60"/>
      <c r="N249" s="60"/>
      <c r="O249" s="60"/>
      <c r="P249" s="60"/>
      <c r="Q249" s="64"/>
      <c r="R249" s="64"/>
      <c r="S249" s="64"/>
      <c r="T249" s="64"/>
      <c r="U249" s="64"/>
      <c r="V249" s="64"/>
      <c r="W249" s="64"/>
      <c r="X249" s="64"/>
      <c r="Y249" s="64"/>
      <c r="Z249" s="64"/>
      <c r="AA249" s="64"/>
      <c r="AB249" s="64"/>
      <c r="AC249" s="64"/>
      <c r="AD249" s="64"/>
      <c r="AE249" s="64"/>
      <c r="AF249" s="64"/>
      <c r="AG249" s="64"/>
      <c r="AH249" s="64"/>
      <c r="AI249" s="64"/>
      <c r="AJ249" s="64"/>
    </row>
    <row r="250">
      <c r="A250" s="64"/>
      <c r="B250" s="64"/>
      <c r="C250" s="64"/>
      <c r="D250" s="64"/>
      <c r="E250" s="64"/>
      <c r="F250" s="64"/>
      <c r="G250" s="64"/>
      <c r="H250" s="64"/>
      <c r="I250" s="64"/>
      <c r="J250" s="64"/>
      <c r="K250" s="64"/>
      <c r="L250" s="64"/>
      <c r="M250" s="60"/>
      <c r="N250" s="60"/>
      <c r="O250" s="60"/>
      <c r="P250" s="60"/>
      <c r="Q250" s="64"/>
      <c r="R250" s="64"/>
      <c r="S250" s="64"/>
      <c r="T250" s="64"/>
      <c r="U250" s="64"/>
      <c r="V250" s="64"/>
      <c r="W250" s="64"/>
      <c r="X250" s="64"/>
      <c r="Y250" s="64"/>
      <c r="Z250" s="64"/>
      <c r="AA250" s="64"/>
      <c r="AB250" s="64"/>
      <c r="AC250" s="64"/>
      <c r="AD250" s="64"/>
      <c r="AE250" s="64"/>
      <c r="AF250" s="64"/>
      <c r="AG250" s="64"/>
      <c r="AH250" s="64"/>
      <c r="AI250" s="64"/>
      <c r="AJ250" s="64"/>
    </row>
    <row r="251">
      <c r="A251" s="64"/>
      <c r="B251" s="64"/>
      <c r="C251" s="64"/>
      <c r="D251" s="64"/>
      <c r="E251" s="64"/>
      <c r="F251" s="64"/>
      <c r="G251" s="64"/>
      <c r="H251" s="64"/>
      <c r="I251" s="64"/>
      <c r="J251" s="64"/>
      <c r="K251" s="64"/>
      <c r="L251" s="64"/>
      <c r="M251" s="60"/>
      <c r="N251" s="60"/>
      <c r="O251" s="60"/>
      <c r="P251" s="60"/>
      <c r="Q251" s="64"/>
      <c r="R251" s="64"/>
      <c r="S251" s="64"/>
      <c r="T251" s="64"/>
      <c r="U251" s="64"/>
      <c r="V251" s="64"/>
      <c r="W251" s="64"/>
      <c r="X251" s="64"/>
      <c r="Y251" s="64"/>
      <c r="Z251" s="64"/>
      <c r="AA251" s="64"/>
      <c r="AB251" s="64"/>
      <c r="AC251" s="64"/>
      <c r="AD251" s="64"/>
      <c r="AE251" s="64"/>
      <c r="AF251" s="64"/>
      <c r="AG251" s="64"/>
      <c r="AH251" s="64"/>
      <c r="AI251" s="64"/>
      <c r="AJ251" s="64"/>
    </row>
    <row r="252">
      <c r="A252" s="64"/>
      <c r="B252" s="64"/>
      <c r="C252" s="64"/>
      <c r="D252" s="64"/>
      <c r="E252" s="64"/>
      <c r="F252" s="64"/>
      <c r="G252" s="64"/>
      <c r="H252" s="64"/>
      <c r="I252" s="64"/>
      <c r="J252" s="64"/>
      <c r="K252" s="64"/>
      <c r="L252" s="64"/>
      <c r="M252" s="60"/>
      <c r="N252" s="60"/>
      <c r="O252" s="60"/>
      <c r="P252" s="60"/>
      <c r="Q252" s="64"/>
      <c r="R252" s="64"/>
      <c r="S252" s="64"/>
      <c r="T252" s="64"/>
      <c r="U252" s="64"/>
      <c r="V252" s="64"/>
      <c r="W252" s="64"/>
      <c r="X252" s="64"/>
      <c r="Y252" s="64"/>
      <c r="Z252" s="64"/>
      <c r="AA252" s="64"/>
      <c r="AB252" s="64"/>
      <c r="AC252" s="64"/>
      <c r="AD252" s="64"/>
      <c r="AE252" s="64"/>
      <c r="AF252" s="64"/>
      <c r="AG252" s="64"/>
      <c r="AH252" s="64"/>
      <c r="AI252" s="64"/>
      <c r="AJ252" s="64"/>
    </row>
    <row r="253">
      <c r="A253" s="64"/>
      <c r="B253" s="64"/>
      <c r="C253" s="64"/>
      <c r="D253" s="64"/>
      <c r="E253" s="64"/>
      <c r="F253" s="64"/>
      <c r="G253" s="64"/>
      <c r="H253" s="64"/>
      <c r="I253" s="64"/>
      <c r="J253" s="64"/>
      <c r="K253" s="64"/>
      <c r="L253" s="64"/>
      <c r="M253" s="60"/>
      <c r="N253" s="60"/>
      <c r="O253" s="60"/>
      <c r="P253" s="60"/>
      <c r="Q253" s="64"/>
      <c r="R253" s="64"/>
      <c r="S253" s="64"/>
      <c r="T253" s="64"/>
      <c r="U253" s="64"/>
      <c r="V253" s="64"/>
      <c r="W253" s="64"/>
      <c r="X253" s="64"/>
      <c r="Y253" s="64"/>
      <c r="Z253" s="64"/>
      <c r="AA253" s="64"/>
      <c r="AB253" s="64"/>
      <c r="AC253" s="64"/>
      <c r="AD253" s="64"/>
      <c r="AE253" s="64"/>
      <c r="AF253" s="64"/>
      <c r="AG253" s="64"/>
      <c r="AH253" s="64"/>
      <c r="AI253" s="64"/>
      <c r="AJ253" s="64"/>
    </row>
    <row r="254">
      <c r="A254" s="64"/>
      <c r="B254" s="64"/>
      <c r="C254" s="64"/>
      <c r="D254" s="64"/>
      <c r="E254" s="64"/>
      <c r="F254" s="64"/>
      <c r="G254" s="64"/>
      <c r="H254" s="64"/>
      <c r="I254" s="64"/>
      <c r="J254" s="64"/>
      <c r="K254" s="64"/>
      <c r="L254" s="64"/>
      <c r="M254" s="60"/>
      <c r="N254" s="60"/>
      <c r="O254" s="60"/>
      <c r="P254" s="60"/>
      <c r="Q254" s="64"/>
      <c r="R254" s="64"/>
      <c r="S254" s="64"/>
      <c r="T254" s="64"/>
      <c r="U254" s="64"/>
      <c r="V254" s="64"/>
      <c r="W254" s="64"/>
      <c r="X254" s="64"/>
      <c r="Y254" s="64"/>
      <c r="Z254" s="64"/>
      <c r="AA254" s="64"/>
      <c r="AB254" s="64"/>
      <c r="AC254" s="64"/>
      <c r="AD254" s="64"/>
      <c r="AE254" s="64"/>
      <c r="AF254" s="64"/>
      <c r="AG254" s="64"/>
      <c r="AH254" s="64"/>
      <c r="AI254" s="64"/>
      <c r="AJ254" s="64"/>
    </row>
    <row r="255">
      <c r="A255" s="64"/>
      <c r="B255" s="64"/>
      <c r="C255" s="64"/>
      <c r="D255" s="64"/>
      <c r="E255" s="64"/>
      <c r="F255" s="64"/>
      <c r="G255" s="64"/>
      <c r="H255" s="64"/>
      <c r="I255" s="64"/>
      <c r="J255" s="64"/>
      <c r="K255" s="64"/>
      <c r="L255" s="64"/>
      <c r="M255" s="60"/>
      <c r="N255" s="60"/>
      <c r="O255" s="60"/>
      <c r="P255" s="60"/>
      <c r="Q255" s="64"/>
      <c r="R255" s="64"/>
      <c r="S255" s="64"/>
      <c r="T255" s="64"/>
      <c r="U255" s="64"/>
      <c r="V255" s="64"/>
      <c r="W255" s="64"/>
      <c r="X255" s="64"/>
      <c r="Y255" s="64"/>
      <c r="Z255" s="64"/>
      <c r="AA255" s="64"/>
      <c r="AB255" s="64"/>
      <c r="AC255" s="64"/>
      <c r="AD255" s="64"/>
      <c r="AE255" s="64"/>
      <c r="AF255" s="64"/>
      <c r="AG255" s="64"/>
      <c r="AH255" s="64"/>
      <c r="AI255" s="64"/>
      <c r="AJ255" s="64"/>
    </row>
    <row r="256">
      <c r="A256" s="64"/>
      <c r="B256" s="64"/>
      <c r="C256" s="64"/>
      <c r="D256" s="64"/>
      <c r="E256" s="64"/>
      <c r="F256" s="64"/>
      <c r="G256" s="64"/>
      <c r="H256" s="64"/>
      <c r="I256" s="64"/>
      <c r="J256" s="64"/>
      <c r="K256" s="64"/>
      <c r="L256" s="64"/>
      <c r="M256" s="60"/>
      <c r="N256" s="60"/>
      <c r="O256" s="60"/>
      <c r="P256" s="60"/>
      <c r="Q256" s="64"/>
      <c r="R256" s="64"/>
      <c r="S256" s="64"/>
      <c r="T256" s="64"/>
      <c r="U256" s="64"/>
      <c r="V256" s="64"/>
      <c r="W256" s="64"/>
      <c r="X256" s="64"/>
      <c r="Y256" s="64"/>
      <c r="Z256" s="64"/>
      <c r="AA256" s="64"/>
      <c r="AB256" s="64"/>
      <c r="AC256" s="64"/>
      <c r="AD256" s="64"/>
      <c r="AE256" s="64"/>
      <c r="AF256" s="64"/>
      <c r="AG256" s="64"/>
      <c r="AH256" s="64"/>
      <c r="AI256" s="64"/>
      <c r="AJ256" s="64"/>
    </row>
    <row r="257">
      <c r="A257" s="64"/>
      <c r="B257" s="64"/>
      <c r="C257" s="64"/>
      <c r="D257" s="64"/>
      <c r="E257" s="64"/>
      <c r="F257" s="64"/>
      <c r="G257" s="64"/>
      <c r="H257" s="64"/>
      <c r="I257" s="64"/>
      <c r="J257" s="64"/>
      <c r="K257" s="64"/>
      <c r="L257" s="64"/>
      <c r="M257" s="60"/>
      <c r="N257" s="60"/>
      <c r="O257" s="60"/>
      <c r="P257" s="60"/>
      <c r="Q257" s="64"/>
      <c r="R257" s="64"/>
      <c r="S257" s="64"/>
      <c r="T257" s="64"/>
      <c r="U257" s="64"/>
      <c r="V257" s="64"/>
      <c r="W257" s="64"/>
      <c r="X257" s="64"/>
      <c r="Y257" s="64"/>
      <c r="Z257" s="64"/>
      <c r="AA257" s="64"/>
      <c r="AB257" s="64"/>
      <c r="AC257" s="64"/>
      <c r="AD257" s="64"/>
      <c r="AE257" s="64"/>
      <c r="AF257" s="64"/>
      <c r="AG257" s="64"/>
      <c r="AH257" s="64"/>
      <c r="AI257" s="64"/>
      <c r="AJ257" s="64"/>
    </row>
    <row r="258">
      <c r="A258" s="64"/>
      <c r="B258" s="64"/>
      <c r="C258" s="64"/>
      <c r="D258" s="64"/>
      <c r="E258" s="64"/>
      <c r="F258" s="64"/>
      <c r="G258" s="64"/>
      <c r="H258" s="64"/>
      <c r="I258" s="64"/>
      <c r="J258" s="64"/>
      <c r="K258" s="64"/>
      <c r="L258" s="64"/>
      <c r="M258" s="60"/>
      <c r="N258" s="60"/>
      <c r="O258" s="60"/>
      <c r="P258" s="60"/>
      <c r="Q258" s="64"/>
      <c r="R258" s="64"/>
      <c r="S258" s="64"/>
      <c r="T258" s="64"/>
      <c r="U258" s="64"/>
      <c r="V258" s="64"/>
      <c r="W258" s="64"/>
      <c r="X258" s="64"/>
      <c r="Y258" s="64"/>
      <c r="Z258" s="64"/>
      <c r="AA258" s="64"/>
      <c r="AB258" s="64"/>
      <c r="AC258" s="64"/>
      <c r="AD258" s="64"/>
      <c r="AE258" s="64"/>
      <c r="AF258" s="64"/>
      <c r="AG258" s="64"/>
      <c r="AH258" s="64"/>
      <c r="AI258" s="64"/>
      <c r="AJ258" s="64"/>
    </row>
    <row r="259">
      <c r="A259" s="64"/>
      <c r="B259" s="64"/>
      <c r="C259" s="64"/>
      <c r="D259" s="64"/>
      <c r="E259" s="64"/>
      <c r="F259" s="64"/>
      <c r="G259" s="64"/>
      <c r="H259" s="64"/>
      <c r="I259" s="64"/>
      <c r="J259" s="64"/>
      <c r="K259" s="64"/>
      <c r="L259" s="64"/>
      <c r="M259" s="60"/>
      <c r="N259" s="60"/>
      <c r="O259" s="60"/>
      <c r="P259" s="60"/>
      <c r="Q259" s="64"/>
      <c r="R259" s="64"/>
      <c r="S259" s="64"/>
      <c r="T259" s="64"/>
      <c r="U259" s="64"/>
      <c r="V259" s="64"/>
      <c r="W259" s="64"/>
      <c r="X259" s="64"/>
      <c r="Y259" s="64"/>
      <c r="Z259" s="64"/>
      <c r="AA259" s="64"/>
      <c r="AB259" s="64"/>
      <c r="AC259" s="64"/>
      <c r="AD259" s="64"/>
      <c r="AE259" s="64"/>
      <c r="AF259" s="64"/>
      <c r="AG259" s="64"/>
      <c r="AH259" s="64"/>
      <c r="AI259" s="64"/>
      <c r="AJ259" s="64"/>
    </row>
    <row r="260">
      <c r="A260" s="64"/>
      <c r="B260" s="64"/>
      <c r="C260" s="64"/>
      <c r="D260" s="64"/>
      <c r="E260" s="64"/>
      <c r="F260" s="64"/>
      <c r="G260" s="64"/>
      <c r="H260" s="64"/>
      <c r="I260" s="64"/>
      <c r="J260" s="64"/>
      <c r="K260" s="64"/>
      <c r="L260" s="64"/>
      <c r="M260" s="60"/>
      <c r="N260" s="60"/>
      <c r="O260" s="60"/>
      <c r="P260" s="60"/>
      <c r="Q260" s="64"/>
      <c r="R260" s="64"/>
      <c r="S260" s="64"/>
      <c r="T260" s="64"/>
      <c r="U260" s="64"/>
      <c r="V260" s="64"/>
      <c r="W260" s="64"/>
      <c r="X260" s="64"/>
      <c r="Y260" s="64"/>
      <c r="Z260" s="64"/>
      <c r="AA260" s="64"/>
      <c r="AB260" s="64"/>
      <c r="AC260" s="64"/>
      <c r="AD260" s="64"/>
      <c r="AE260" s="64"/>
      <c r="AF260" s="64"/>
      <c r="AG260" s="64"/>
      <c r="AH260" s="64"/>
      <c r="AI260" s="64"/>
      <c r="AJ260" s="64"/>
    </row>
    <row r="261">
      <c r="A261" s="64"/>
      <c r="B261" s="64"/>
      <c r="C261" s="64"/>
      <c r="D261" s="64"/>
      <c r="E261" s="64"/>
      <c r="F261" s="64"/>
      <c r="G261" s="64"/>
      <c r="H261" s="64"/>
      <c r="I261" s="64"/>
      <c r="J261" s="64"/>
      <c r="K261" s="64"/>
      <c r="L261" s="64"/>
      <c r="M261" s="60"/>
      <c r="N261" s="60"/>
      <c r="O261" s="60"/>
      <c r="P261" s="60"/>
      <c r="Q261" s="64"/>
      <c r="R261" s="64"/>
      <c r="S261" s="64"/>
      <c r="T261" s="64"/>
      <c r="U261" s="64"/>
      <c r="V261" s="64"/>
      <c r="W261" s="64"/>
      <c r="X261" s="64"/>
      <c r="Y261" s="64"/>
      <c r="Z261" s="64"/>
      <c r="AA261" s="64"/>
      <c r="AB261" s="64"/>
      <c r="AC261" s="64"/>
      <c r="AD261" s="64"/>
      <c r="AE261" s="64"/>
      <c r="AF261" s="64"/>
      <c r="AG261" s="64"/>
      <c r="AH261" s="64"/>
      <c r="AI261" s="64"/>
      <c r="AJ261" s="64"/>
    </row>
    <row r="262">
      <c r="A262" s="64"/>
      <c r="B262" s="64"/>
      <c r="C262" s="64"/>
      <c r="D262" s="64"/>
      <c r="E262" s="64"/>
      <c r="F262" s="64"/>
      <c r="G262" s="64"/>
      <c r="H262" s="64"/>
      <c r="I262" s="64"/>
      <c r="J262" s="64"/>
      <c r="K262" s="64"/>
      <c r="L262" s="64"/>
      <c r="M262" s="60"/>
      <c r="N262" s="60"/>
      <c r="O262" s="60"/>
      <c r="P262" s="60"/>
      <c r="Q262" s="64"/>
      <c r="R262" s="64"/>
      <c r="S262" s="64"/>
      <c r="T262" s="64"/>
      <c r="U262" s="64"/>
      <c r="V262" s="64"/>
      <c r="W262" s="64"/>
      <c r="X262" s="64"/>
      <c r="Y262" s="64"/>
      <c r="Z262" s="64"/>
      <c r="AA262" s="64"/>
      <c r="AB262" s="64"/>
      <c r="AC262" s="64"/>
      <c r="AD262" s="64"/>
      <c r="AE262" s="64"/>
      <c r="AF262" s="64"/>
      <c r="AG262" s="64"/>
      <c r="AH262" s="64"/>
      <c r="AI262" s="64"/>
      <c r="AJ262" s="64"/>
    </row>
    <row r="263">
      <c r="A263" s="64"/>
      <c r="B263" s="64"/>
      <c r="C263" s="64"/>
      <c r="D263" s="64"/>
      <c r="E263" s="64"/>
      <c r="F263" s="64"/>
      <c r="G263" s="64"/>
      <c r="H263" s="64"/>
      <c r="I263" s="64"/>
      <c r="J263" s="64"/>
      <c r="K263" s="64"/>
      <c r="L263" s="64"/>
      <c r="M263" s="60"/>
      <c r="N263" s="60"/>
      <c r="O263" s="60"/>
      <c r="P263" s="60"/>
      <c r="Q263" s="64"/>
      <c r="R263" s="64"/>
      <c r="S263" s="64"/>
      <c r="T263" s="64"/>
      <c r="U263" s="64"/>
      <c r="V263" s="64"/>
      <c r="W263" s="64"/>
      <c r="X263" s="64"/>
      <c r="Y263" s="64"/>
      <c r="Z263" s="64"/>
      <c r="AA263" s="64"/>
      <c r="AB263" s="64"/>
      <c r="AC263" s="64"/>
      <c r="AD263" s="64"/>
      <c r="AE263" s="64"/>
      <c r="AF263" s="64"/>
      <c r="AG263" s="64"/>
      <c r="AH263" s="64"/>
      <c r="AI263" s="64"/>
      <c r="AJ263" s="64"/>
    </row>
    <row r="264">
      <c r="A264" s="64"/>
      <c r="B264" s="64"/>
      <c r="C264" s="64"/>
      <c r="D264" s="64"/>
      <c r="E264" s="64"/>
      <c r="F264" s="64"/>
      <c r="G264" s="64"/>
      <c r="H264" s="64"/>
      <c r="I264" s="64"/>
      <c r="J264" s="64"/>
      <c r="K264" s="64"/>
      <c r="L264" s="64"/>
      <c r="M264" s="60"/>
      <c r="N264" s="60"/>
      <c r="O264" s="60"/>
      <c r="P264" s="60"/>
      <c r="Q264" s="64"/>
      <c r="R264" s="64"/>
      <c r="S264" s="64"/>
      <c r="T264" s="64"/>
      <c r="U264" s="64"/>
      <c r="V264" s="64"/>
      <c r="W264" s="64"/>
      <c r="X264" s="64"/>
      <c r="Y264" s="64"/>
      <c r="Z264" s="64"/>
      <c r="AA264" s="64"/>
      <c r="AB264" s="64"/>
      <c r="AC264" s="64"/>
      <c r="AD264" s="64"/>
      <c r="AE264" s="64"/>
      <c r="AF264" s="64"/>
      <c r="AG264" s="64"/>
      <c r="AH264" s="64"/>
      <c r="AI264" s="64"/>
      <c r="AJ264" s="64"/>
    </row>
    <row r="265">
      <c r="A265" s="64"/>
      <c r="B265" s="64"/>
      <c r="C265" s="64"/>
      <c r="D265" s="64"/>
      <c r="E265" s="64"/>
      <c r="F265" s="64"/>
      <c r="G265" s="64"/>
      <c r="H265" s="64"/>
      <c r="I265" s="64"/>
      <c r="J265" s="64"/>
      <c r="K265" s="64"/>
      <c r="L265" s="64"/>
      <c r="M265" s="60"/>
      <c r="N265" s="60"/>
      <c r="O265" s="60"/>
      <c r="P265" s="60"/>
      <c r="Q265" s="64"/>
      <c r="R265" s="64"/>
      <c r="S265" s="64"/>
      <c r="T265" s="64"/>
      <c r="U265" s="64"/>
      <c r="V265" s="64"/>
      <c r="W265" s="64"/>
      <c r="X265" s="64"/>
      <c r="Y265" s="64"/>
      <c r="Z265" s="64"/>
      <c r="AA265" s="64"/>
      <c r="AB265" s="64"/>
      <c r="AC265" s="64"/>
      <c r="AD265" s="64"/>
      <c r="AE265" s="64"/>
      <c r="AF265" s="64"/>
      <c r="AG265" s="64"/>
      <c r="AH265" s="64"/>
      <c r="AI265" s="64"/>
      <c r="AJ265" s="64"/>
    </row>
    <row r="266">
      <c r="A266" s="64"/>
      <c r="B266" s="64"/>
      <c r="C266" s="64"/>
      <c r="D266" s="64"/>
      <c r="E266" s="64"/>
      <c r="F266" s="64"/>
      <c r="G266" s="64"/>
      <c r="H266" s="64"/>
      <c r="I266" s="64"/>
      <c r="J266" s="64"/>
      <c r="K266" s="64"/>
      <c r="L266" s="64"/>
      <c r="M266" s="60"/>
      <c r="N266" s="60"/>
      <c r="O266" s="60"/>
      <c r="P266" s="60"/>
      <c r="Q266" s="64"/>
      <c r="R266" s="64"/>
      <c r="S266" s="64"/>
      <c r="T266" s="64"/>
      <c r="U266" s="64"/>
      <c r="V266" s="64"/>
      <c r="W266" s="64"/>
      <c r="X266" s="64"/>
      <c r="Y266" s="64"/>
      <c r="Z266" s="64"/>
      <c r="AA266" s="64"/>
      <c r="AB266" s="64"/>
      <c r="AC266" s="64"/>
      <c r="AD266" s="64"/>
      <c r="AE266" s="64"/>
      <c r="AF266" s="64"/>
      <c r="AG266" s="64"/>
      <c r="AH266" s="64"/>
      <c r="AI266" s="64"/>
      <c r="AJ266" s="64"/>
    </row>
    <row r="267">
      <c r="A267" s="64"/>
      <c r="B267" s="64"/>
      <c r="C267" s="64"/>
      <c r="D267" s="64"/>
      <c r="E267" s="64"/>
      <c r="F267" s="64"/>
      <c r="G267" s="64"/>
      <c r="H267" s="64"/>
      <c r="I267" s="64"/>
      <c r="J267" s="64"/>
      <c r="K267" s="64"/>
      <c r="L267" s="64"/>
      <c r="M267" s="60"/>
      <c r="N267" s="60"/>
      <c r="O267" s="60"/>
      <c r="P267" s="60"/>
      <c r="Q267" s="64"/>
      <c r="R267" s="64"/>
      <c r="S267" s="64"/>
      <c r="T267" s="64"/>
      <c r="U267" s="64"/>
      <c r="V267" s="64"/>
      <c r="W267" s="64"/>
      <c r="X267" s="64"/>
      <c r="Y267" s="64"/>
      <c r="Z267" s="64"/>
      <c r="AA267" s="64"/>
      <c r="AB267" s="64"/>
      <c r="AC267" s="64"/>
      <c r="AD267" s="64"/>
      <c r="AE267" s="64"/>
      <c r="AF267" s="64"/>
      <c r="AG267" s="64"/>
      <c r="AH267" s="64"/>
      <c r="AI267" s="64"/>
      <c r="AJ267" s="64"/>
    </row>
    <row r="268">
      <c r="A268" s="64"/>
      <c r="B268" s="64"/>
      <c r="C268" s="64"/>
      <c r="D268" s="64"/>
      <c r="E268" s="64"/>
      <c r="F268" s="64"/>
      <c r="G268" s="64"/>
      <c r="H268" s="64"/>
      <c r="I268" s="64"/>
      <c r="J268" s="64"/>
      <c r="K268" s="64"/>
      <c r="L268" s="64"/>
      <c r="M268" s="60"/>
      <c r="N268" s="60"/>
      <c r="O268" s="60"/>
      <c r="P268" s="60"/>
      <c r="Q268" s="64"/>
      <c r="R268" s="64"/>
      <c r="S268" s="64"/>
      <c r="T268" s="64"/>
      <c r="U268" s="64"/>
      <c r="V268" s="64"/>
      <c r="W268" s="64"/>
      <c r="X268" s="64"/>
      <c r="Y268" s="64"/>
      <c r="Z268" s="64"/>
      <c r="AA268" s="64"/>
      <c r="AB268" s="64"/>
      <c r="AC268" s="64"/>
      <c r="AD268" s="64"/>
      <c r="AE268" s="64"/>
      <c r="AF268" s="64"/>
      <c r="AG268" s="64"/>
      <c r="AH268" s="64"/>
      <c r="AI268" s="64"/>
      <c r="AJ268" s="64"/>
    </row>
    <row r="269">
      <c r="A269" s="64"/>
      <c r="B269" s="64"/>
      <c r="C269" s="64"/>
      <c r="D269" s="64"/>
      <c r="E269" s="64"/>
      <c r="F269" s="64"/>
      <c r="G269" s="64"/>
      <c r="H269" s="64"/>
      <c r="I269" s="64"/>
      <c r="J269" s="64"/>
      <c r="K269" s="64"/>
      <c r="L269" s="64"/>
      <c r="M269" s="60"/>
      <c r="N269" s="60"/>
      <c r="O269" s="60"/>
      <c r="P269" s="60"/>
      <c r="Q269" s="64"/>
      <c r="R269" s="64"/>
      <c r="S269" s="64"/>
      <c r="T269" s="64"/>
      <c r="U269" s="64"/>
      <c r="V269" s="64"/>
      <c r="W269" s="64"/>
      <c r="X269" s="64"/>
      <c r="Y269" s="64"/>
      <c r="Z269" s="64"/>
      <c r="AA269" s="64"/>
      <c r="AB269" s="64"/>
      <c r="AC269" s="64"/>
      <c r="AD269" s="64"/>
      <c r="AE269" s="64"/>
      <c r="AF269" s="64"/>
      <c r="AG269" s="64"/>
      <c r="AH269" s="64"/>
      <c r="AI269" s="64"/>
      <c r="AJ269" s="64"/>
    </row>
    <row r="270">
      <c r="A270" s="64"/>
      <c r="B270" s="64"/>
      <c r="C270" s="64"/>
      <c r="D270" s="64"/>
      <c r="E270" s="64"/>
      <c r="F270" s="64"/>
      <c r="G270" s="64"/>
      <c r="H270" s="64"/>
      <c r="I270" s="64"/>
      <c r="J270" s="64"/>
      <c r="K270" s="64"/>
      <c r="L270" s="64"/>
      <c r="M270" s="60"/>
      <c r="N270" s="60"/>
      <c r="O270" s="60"/>
      <c r="P270" s="60"/>
      <c r="Q270" s="64"/>
      <c r="R270" s="64"/>
      <c r="S270" s="64"/>
      <c r="T270" s="64"/>
      <c r="U270" s="64"/>
      <c r="V270" s="64"/>
      <c r="W270" s="64"/>
      <c r="X270" s="64"/>
      <c r="Y270" s="64"/>
      <c r="Z270" s="64"/>
      <c r="AA270" s="64"/>
      <c r="AB270" s="64"/>
      <c r="AC270" s="64"/>
      <c r="AD270" s="64"/>
      <c r="AE270" s="64"/>
      <c r="AF270" s="64"/>
      <c r="AG270" s="64"/>
      <c r="AH270" s="64"/>
      <c r="AI270" s="64"/>
      <c r="AJ270" s="64"/>
    </row>
    <row r="271">
      <c r="A271" s="64"/>
      <c r="B271" s="64"/>
      <c r="C271" s="64"/>
      <c r="D271" s="64"/>
      <c r="E271" s="64"/>
      <c r="F271" s="64"/>
      <c r="G271" s="64"/>
      <c r="H271" s="64"/>
      <c r="I271" s="64"/>
      <c r="J271" s="64"/>
      <c r="K271" s="64"/>
      <c r="L271" s="64"/>
      <c r="M271" s="60"/>
      <c r="N271" s="60"/>
      <c r="O271" s="60"/>
      <c r="P271" s="60"/>
      <c r="Q271" s="64"/>
      <c r="R271" s="64"/>
      <c r="S271" s="64"/>
      <c r="T271" s="64"/>
      <c r="U271" s="64"/>
      <c r="V271" s="64"/>
      <c r="W271" s="64"/>
      <c r="X271" s="64"/>
      <c r="Y271" s="64"/>
      <c r="Z271" s="64"/>
      <c r="AA271" s="64"/>
      <c r="AB271" s="64"/>
      <c r="AC271" s="64"/>
      <c r="AD271" s="64"/>
      <c r="AE271" s="64"/>
      <c r="AF271" s="64"/>
      <c r="AG271" s="64"/>
      <c r="AH271" s="64"/>
      <c r="AI271" s="64"/>
      <c r="AJ271" s="64"/>
    </row>
    <row r="272">
      <c r="A272" s="64"/>
      <c r="B272" s="64"/>
      <c r="C272" s="64"/>
      <c r="D272" s="64"/>
      <c r="E272" s="64"/>
      <c r="F272" s="64"/>
      <c r="G272" s="64"/>
      <c r="H272" s="64"/>
      <c r="I272" s="64"/>
      <c r="J272" s="64"/>
      <c r="K272" s="64"/>
      <c r="L272" s="64"/>
      <c r="M272" s="60"/>
      <c r="N272" s="60"/>
      <c r="O272" s="60"/>
      <c r="P272" s="60"/>
      <c r="Q272" s="64"/>
      <c r="R272" s="64"/>
      <c r="S272" s="64"/>
      <c r="T272" s="64"/>
      <c r="U272" s="64"/>
      <c r="V272" s="64"/>
      <c r="W272" s="64"/>
      <c r="X272" s="64"/>
      <c r="Y272" s="64"/>
      <c r="Z272" s="64"/>
      <c r="AA272" s="64"/>
      <c r="AB272" s="64"/>
      <c r="AC272" s="64"/>
      <c r="AD272" s="64"/>
      <c r="AE272" s="64"/>
      <c r="AF272" s="64"/>
      <c r="AG272" s="64"/>
      <c r="AH272" s="64"/>
      <c r="AI272" s="64"/>
      <c r="AJ272" s="64"/>
    </row>
    <row r="273">
      <c r="A273" s="64"/>
      <c r="B273" s="64"/>
      <c r="C273" s="64"/>
      <c r="D273" s="64"/>
      <c r="E273" s="64"/>
      <c r="F273" s="64"/>
      <c r="G273" s="64"/>
      <c r="H273" s="64"/>
      <c r="I273" s="64"/>
      <c r="J273" s="64"/>
      <c r="K273" s="64"/>
      <c r="L273" s="64"/>
      <c r="M273" s="60"/>
      <c r="N273" s="60"/>
      <c r="O273" s="60"/>
      <c r="P273" s="60"/>
      <c r="Q273" s="64"/>
      <c r="R273" s="64"/>
      <c r="S273" s="64"/>
      <c r="T273" s="64"/>
      <c r="U273" s="64"/>
      <c r="V273" s="64"/>
      <c r="W273" s="64"/>
      <c r="X273" s="64"/>
      <c r="Y273" s="64"/>
      <c r="Z273" s="64"/>
      <c r="AA273" s="64"/>
      <c r="AB273" s="64"/>
      <c r="AC273" s="64"/>
      <c r="AD273" s="64"/>
      <c r="AE273" s="64"/>
      <c r="AF273" s="64"/>
      <c r="AG273" s="64"/>
      <c r="AH273" s="64"/>
      <c r="AI273" s="64"/>
      <c r="AJ273" s="64"/>
    </row>
    <row r="274">
      <c r="A274" s="64"/>
      <c r="B274" s="64"/>
      <c r="C274" s="64"/>
      <c r="D274" s="64"/>
      <c r="E274" s="64"/>
      <c r="F274" s="64"/>
      <c r="G274" s="64"/>
      <c r="H274" s="64"/>
      <c r="I274" s="64"/>
      <c r="J274" s="64"/>
      <c r="K274" s="64"/>
      <c r="L274" s="64"/>
      <c r="M274" s="60"/>
      <c r="N274" s="60"/>
      <c r="O274" s="60"/>
      <c r="P274" s="60"/>
      <c r="Q274" s="64"/>
      <c r="R274" s="64"/>
      <c r="S274" s="64"/>
      <c r="T274" s="64"/>
      <c r="U274" s="64"/>
      <c r="V274" s="64"/>
      <c r="W274" s="64"/>
      <c r="X274" s="64"/>
      <c r="Y274" s="64"/>
      <c r="Z274" s="64"/>
      <c r="AA274" s="64"/>
      <c r="AB274" s="64"/>
      <c r="AC274" s="64"/>
      <c r="AD274" s="64"/>
      <c r="AE274" s="64"/>
      <c r="AF274" s="64"/>
      <c r="AG274" s="64"/>
      <c r="AH274" s="64"/>
      <c r="AI274" s="64"/>
      <c r="AJ274" s="64"/>
    </row>
    <row r="275">
      <c r="A275" s="64"/>
      <c r="B275" s="64"/>
      <c r="C275" s="64"/>
      <c r="D275" s="64"/>
      <c r="E275" s="64"/>
      <c r="F275" s="64"/>
      <c r="G275" s="64"/>
      <c r="H275" s="64"/>
      <c r="I275" s="64"/>
      <c r="J275" s="64"/>
      <c r="K275" s="64"/>
      <c r="L275" s="64"/>
      <c r="M275" s="60"/>
      <c r="N275" s="60"/>
      <c r="O275" s="60"/>
      <c r="P275" s="60"/>
      <c r="Q275" s="64"/>
      <c r="R275" s="64"/>
      <c r="S275" s="64"/>
      <c r="T275" s="64"/>
      <c r="U275" s="64"/>
      <c r="V275" s="64"/>
      <c r="W275" s="64"/>
      <c r="X275" s="64"/>
      <c r="Y275" s="64"/>
      <c r="Z275" s="64"/>
      <c r="AA275" s="64"/>
      <c r="AB275" s="64"/>
      <c r="AC275" s="64"/>
      <c r="AD275" s="64"/>
      <c r="AE275" s="64"/>
      <c r="AF275" s="64"/>
      <c r="AG275" s="64"/>
      <c r="AH275" s="64"/>
      <c r="AI275" s="64"/>
      <c r="AJ275" s="64"/>
    </row>
    <row r="276">
      <c r="A276" s="64"/>
      <c r="B276" s="64"/>
      <c r="C276" s="64"/>
      <c r="D276" s="64"/>
      <c r="E276" s="64"/>
      <c r="F276" s="64"/>
      <c r="G276" s="64"/>
      <c r="H276" s="64"/>
      <c r="I276" s="64"/>
      <c r="J276" s="64"/>
      <c r="K276" s="64"/>
      <c r="L276" s="64"/>
      <c r="M276" s="60"/>
      <c r="N276" s="60"/>
      <c r="O276" s="60"/>
      <c r="P276" s="60"/>
      <c r="Q276" s="64"/>
      <c r="R276" s="64"/>
      <c r="S276" s="64"/>
      <c r="T276" s="64"/>
      <c r="U276" s="64"/>
      <c r="V276" s="64"/>
      <c r="W276" s="64"/>
      <c r="X276" s="64"/>
      <c r="Y276" s="64"/>
      <c r="Z276" s="64"/>
      <c r="AA276" s="64"/>
      <c r="AB276" s="64"/>
      <c r="AC276" s="64"/>
      <c r="AD276" s="64"/>
      <c r="AE276" s="64"/>
      <c r="AF276" s="64"/>
      <c r="AG276" s="64"/>
      <c r="AH276" s="64"/>
      <c r="AI276" s="64"/>
      <c r="AJ276" s="64"/>
    </row>
    <row r="277">
      <c r="A277" s="64"/>
      <c r="B277" s="64"/>
      <c r="C277" s="64"/>
      <c r="D277" s="64"/>
      <c r="E277" s="64"/>
      <c r="F277" s="64"/>
      <c r="G277" s="64"/>
      <c r="H277" s="64"/>
      <c r="I277" s="64"/>
      <c r="J277" s="64"/>
      <c r="K277" s="64"/>
      <c r="L277" s="64"/>
      <c r="M277" s="60"/>
      <c r="N277" s="60"/>
      <c r="O277" s="60"/>
      <c r="P277" s="60"/>
      <c r="Q277" s="64"/>
      <c r="R277" s="64"/>
      <c r="S277" s="64"/>
      <c r="T277" s="64"/>
      <c r="U277" s="64"/>
      <c r="V277" s="64"/>
      <c r="W277" s="64"/>
      <c r="X277" s="64"/>
      <c r="Y277" s="64"/>
      <c r="Z277" s="64"/>
      <c r="AA277" s="64"/>
      <c r="AB277" s="64"/>
      <c r="AC277" s="64"/>
      <c r="AD277" s="64"/>
      <c r="AE277" s="64"/>
      <c r="AF277" s="64"/>
      <c r="AG277" s="64"/>
      <c r="AH277" s="64"/>
      <c r="AI277" s="64"/>
      <c r="AJ277" s="64"/>
    </row>
    <row r="278">
      <c r="A278" s="64"/>
      <c r="B278" s="64"/>
      <c r="C278" s="64"/>
      <c r="D278" s="64"/>
      <c r="E278" s="64"/>
      <c r="F278" s="64"/>
      <c r="G278" s="64"/>
      <c r="H278" s="64"/>
      <c r="I278" s="64"/>
      <c r="J278" s="64"/>
      <c r="K278" s="64"/>
      <c r="L278" s="64"/>
      <c r="M278" s="60"/>
      <c r="N278" s="60"/>
      <c r="O278" s="60"/>
      <c r="P278" s="60"/>
      <c r="Q278" s="64"/>
      <c r="R278" s="64"/>
      <c r="S278" s="64"/>
      <c r="T278" s="64"/>
      <c r="U278" s="64"/>
      <c r="V278" s="64"/>
      <c r="W278" s="64"/>
      <c r="X278" s="64"/>
      <c r="Y278" s="64"/>
      <c r="Z278" s="64"/>
      <c r="AA278" s="64"/>
      <c r="AB278" s="64"/>
      <c r="AC278" s="64"/>
      <c r="AD278" s="64"/>
      <c r="AE278" s="64"/>
      <c r="AF278" s="64"/>
      <c r="AG278" s="64"/>
      <c r="AH278" s="64"/>
      <c r="AI278" s="64"/>
      <c r="AJ278" s="64"/>
    </row>
    <row r="279">
      <c r="A279" s="64"/>
      <c r="B279" s="64"/>
      <c r="C279" s="64"/>
      <c r="D279" s="64"/>
      <c r="E279" s="64"/>
      <c r="F279" s="64"/>
      <c r="G279" s="64"/>
      <c r="H279" s="64"/>
      <c r="I279" s="64"/>
      <c r="J279" s="64"/>
      <c r="K279" s="64"/>
      <c r="L279" s="64"/>
      <c r="M279" s="60"/>
      <c r="N279" s="60"/>
      <c r="O279" s="60"/>
      <c r="P279" s="60"/>
      <c r="Q279" s="64"/>
      <c r="R279" s="64"/>
      <c r="S279" s="64"/>
      <c r="T279" s="64"/>
      <c r="U279" s="64"/>
      <c r="V279" s="64"/>
      <c r="W279" s="64"/>
      <c r="X279" s="64"/>
      <c r="Y279" s="64"/>
      <c r="Z279" s="64"/>
      <c r="AA279" s="64"/>
      <c r="AB279" s="64"/>
      <c r="AC279" s="64"/>
      <c r="AD279" s="64"/>
      <c r="AE279" s="64"/>
      <c r="AF279" s="64"/>
      <c r="AG279" s="64"/>
      <c r="AH279" s="64"/>
      <c r="AI279" s="64"/>
      <c r="AJ279" s="64"/>
    </row>
    <row r="280">
      <c r="A280" s="64"/>
      <c r="B280" s="64"/>
      <c r="C280" s="64"/>
      <c r="D280" s="64"/>
      <c r="E280" s="64"/>
      <c r="F280" s="64"/>
      <c r="G280" s="64"/>
      <c r="H280" s="64"/>
      <c r="I280" s="64"/>
      <c r="J280" s="64"/>
      <c r="K280" s="64"/>
      <c r="L280" s="64"/>
      <c r="M280" s="60"/>
      <c r="N280" s="60"/>
      <c r="O280" s="60"/>
      <c r="P280" s="60"/>
      <c r="Q280" s="64"/>
      <c r="R280" s="64"/>
      <c r="S280" s="64"/>
      <c r="T280" s="64"/>
      <c r="U280" s="64"/>
      <c r="V280" s="64"/>
      <c r="W280" s="64"/>
      <c r="X280" s="64"/>
      <c r="Y280" s="64"/>
      <c r="Z280" s="64"/>
      <c r="AA280" s="64"/>
      <c r="AB280" s="64"/>
      <c r="AC280" s="64"/>
      <c r="AD280" s="64"/>
      <c r="AE280" s="64"/>
      <c r="AF280" s="64"/>
      <c r="AG280" s="64"/>
      <c r="AH280" s="64"/>
      <c r="AI280" s="64"/>
      <c r="AJ280" s="64"/>
    </row>
    <row r="281">
      <c r="A281" s="64"/>
      <c r="B281" s="64"/>
      <c r="C281" s="64"/>
      <c r="D281" s="64"/>
      <c r="E281" s="64"/>
      <c r="F281" s="64"/>
      <c r="G281" s="64"/>
      <c r="H281" s="64"/>
      <c r="I281" s="64"/>
      <c r="J281" s="64"/>
      <c r="K281" s="64"/>
      <c r="L281" s="64"/>
      <c r="M281" s="60"/>
      <c r="N281" s="60"/>
      <c r="O281" s="60"/>
      <c r="P281" s="60"/>
      <c r="Q281" s="64"/>
      <c r="R281" s="64"/>
      <c r="S281" s="64"/>
      <c r="T281" s="64"/>
      <c r="U281" s="64"/>
      <c r="V281" s="64"/>
      <c r="W281" s="64"/>
      <c r="X281" s="64"/>
      <c r="Y281" s="64"/>
      <c r="Z281" s="64"/>
      <c r="AA281" s="64"/>
      <c r="AB281" s="64"/>
      <c r="AC281" s="64"/>
      <c r="AD281" s="64"/>
      <c r="AE281" s="64"/>
      <c r="AF281" s="64"/>
      <c r="AG281" s="64"/>
      <c r="AH281" s="64"/>
      <c r="AI281" s="64"/>
      <c r="AJ281" s="64"/>
    </row>
    <row r="282">
      <c r="A282" s="64"/>
      <c r="B282" s="64"/>
      <c r="C282" s="64"/>
      <c r="D282" s="64"/>
      <c r="E282" s="64"/>
      <c r="F282" s="64"/>
      <c r="G282" s="64"/>
      <c r="H282" s="64"/>
      <c r="I282" s="64"/>
      <c r="J282" s="64"/>
      <c r="K282" s="64"/>
      <c r="L282" s="64"/>
      <c r="M282" s="60"/>
      <c r="N282" s="60"/>
      <c r="O282" s="60"/>
      <c r="P282" s="60"/>
      <c r="Q282" s="64"/>
      <c r="R282" s="64"/>
      <c r="S282" s="64"/>
      <c r="T282" s="64"/>
      <c r="U282" s="64"/>
      <c r="V282" s="64"/>
      <c r="W282" s="64"/>
      <c r="X282" s="64"/>
      <c r="Y282" s="64"/>
      <c r="Z282" s="64"/>
      <c r="AA282" s="64"/>
      <c r="AB282" s="64"/>
      <c r="AC282" s="64"/>
      <c r="AD282" s="64"/>
      <c r="AE282" s="64"/>
      <c r="AF282" s="64"/>
      <c r="AG282" s="64"/>
      <c r="AH282" s="64"/>
      <c r="AI282" s="64"/>
      <c r="AJ282" s="64"/>
    </row>
    <row r="283">
      <c r="A283" s="64"/>
      <c r="B283" s="64"/>
      <c r="C283" s="64"/>
      <c r="D283" s="64"/>
      <c r="E283" s="64"/>
      <c r="F283" s="64"/>
      <c r="G283" s="64"/>
      <c r="H283" s="64"/>
      <c r="I283" s="64"/>
      <c r="J283" s="64"/>
      <c r="K283" s="64"/>
      <c r="L283" s="64"/>
      <c r="M283" s="60"/>
      <c r="N283" s="60"/>
      <c r="O283" s="60"/>
      <c r="P283" s="60"/>
      <c r="Q283" s="64"/>
      <c r="R283" s="64"/>
      <c r="S283" s="64"/>
      <c r="T283" s="64"/>
      <c r="U283" s="64"/>
      <c r="V283" s="64"/>
      <c r="W283" s="64"/>
      <c r="X283" s="64"/>
      <c r="Y283" s="64"/>
      <c r="Z283" s="64"/>
      <c r="AA283" s="64"/>
      <c r="AB283" s="64"/>
      <c r="AC283" s="64"/>
      <c r="AD283" s="64"/>
      <c r="AE283" s="64"/>
      <c r="AF283" s="64"/>
      <c r="AG283" s="64"/>
      <c r="AH283" s="64"/>
      <c r="AI283" s="64"/>
      <c r="AJ283" s="64"/>
    </row>
    <row r="284">
      <c r="A284" s="64"/>
      <c r="B284" s="64"/>
      <c r="C284" s="64"/>
      <c r="D284" s="64"/>
      <c r="E284" s="64"/>
      <c r="F284" s="64"/>
      <c r="G284" s="64"/>
      <c r="H284" s="64"/>
      <c r="I284" s="64"/>
      <c r="J284" s="64"/>
      <c r="K284" s="64"/>
      <c r="L284" s="64"/>
      <c r="M284" s="60"/>
      <c r="N284" s="60"/>
      <c r="O284" s="60"/>
      <c r="P284" s="60"/>
      <c r="Q284" s="64"/>
      <c r="R284" s="64"/>
      <c r="S284" s="64"/>
      <c r="T284" s="64"/>
      <c r="U284" s="64"/>
      <c r="V284" s="64"/>
      <c r="W284" s="64"/>
      <c r="X284" s="64"/>
      <c r="Y284" s="64"/>
      <c r="Z284" s="64"/>
      <c r="AA284" s="64"/>
      <c r="AB284" s="64"/>
      <c r="AC284" s="64"/>
      <c r="AD284" s="64"/>
      <c r="AE284" s="64"/>
      <c r="AF284" s="64"/>
      <c r="AG284" s="64"/>
      <c r="AH284" s="64"/>
      <c r="AI284" s="64"/>
      <c r="AJ284" s="64"/>
    </row>
    <row r="285">
      <c r="A285" s="64"/>
      <c r="B285" s="64"/>
      <c r="C285" s="64"/>
      <c r="D285" s="64"/>
      <c r="E285" s="64"/>
      <c r="F285" s="64"/>
      <c r="G285" s="64"/>
      <c r="H285" s="64"/>
      <c r="I285" s="64"/>
      <c r="J285" s="64"/>
      <c r="K285" s="64"/>
      <c r="L285" s="64"/>
      <c r="M285" s="60"/>
      <c r="N285" s="60"/>
      <c r="O285" s="60"/>
      <c r="P285" s="60"/>
      <c r="Q285" s="64"/>
      <c r="R285" s="64"/>
      <c r="S285" s="64"/>
      <c r="T285" s="64"/>
      <c r="U285" s="64"/>
      <c r="V285" s="64"/>
      <c r="W285" s="64"/>
      <c r="X285" s="64"/>
      <c r="Y285" s="64"/>
      <c r="Z285" s="64"/>
      <c r="AA285" s="64"/>
      <c r="AB285" s="64"/>
      <c r="AC285" s="64"/>
      <c r="AD285" s="64"/>
      <c r="AE285" s="64"/>
      <c r="AF285" s="64"/>
      <c r="AG285" s="64"/>
      <c r="AH285" s="64"/>
      <c r="AI285" s="64"/>
      <c r="AJ285" s="64"/>
    </row>
    <row r="286">
      <c r="A286" s="64"/>
      <c r="B286" s="64"/>
      <c r="C286" s="64"/>
      <c r="D286" s="64"/>
      <c r="E286" s="64"/>
      <c r="F286" s="64"/>
      <c r="G286" s="64"/>
      <c r="H286" s="64"/>
      <c r="I286" s="64"/>
      <c r="J286" s="64"/>
      <c r="K286" s="64"/>
      <c r="L286" s="64"/>
      <c r="M286" s="60"/>
      <c r="N286" s="60"/>
      <c r="O286" s="60"/>
      <c r="P286" s="60"/>
      <c r="Q286" s="64"/>
      <c r="R286" s="64"/>
      <c r="S286" s="64"/>
      <c r="T286" s="64"/>
      <c r="U286" s="64"/>
      <c r="V286" s="64"/>
      <c r="W286" s="64"/>
      <c r="X286" s="64"/>
      <c r="Y286" s="64"/>
      <c r="Z286" s="64"/>
      <c r="AA286" s="64"/>
      <c r="AB286" s="64"/>
      <c r="AC286" s="64"/>
      <c r="AD286" s="64"/>
      <c r="AE286" s="64"/>
      <c r="AF286" s="64"/>
      <c r="AG286" s="64"/>
      <c r="AH286" s="64"/>
      <c r="AI286" s="64"/>
      <c r="AJ286" s="64"/>
    </row>
    <row r="287">
      <c r="A287" s="64"/>
      <c r="B287" s="64"/>
      <c r="C287" s="64"/>
      <c r="D287" s="64"/>
      <c r="E287" s="64"/>
      <c r="F287" s="64"/>
      <c r="G287" s="64"/>
      <c r="H287" s="64"/>
      <c r="I287" s="64"/>
      <c r="J287" s="64"/>
      <c r="K287" s="64"/>
      <c r="L287" s="64"/>
      <c r="M287" s="60"/>
      <c r="N287" s="60"/>
      <c r="O287" s="60"/>
      <c r="P287" s="60"/>
      <c r="Q287" s="64"/>
      <c r="R287" s="64"/>
      <c r="S287" s="64"/>
      <c r="T287" s="64"/>
      <c r="U287" s="64"/>
      <c r="V287" s="64"/>
      <c r="W287" s="64"/>
      <c r="X287" s="64"/>
      <c r="Y287" s="64"/>
      <c r="Z287" s="64"/>
      <c r="AA287" s="64"/>
      <c r="AB287" s="64"/>
      <c r="AC287" s="64"/>
      <c r="AD287" s="64"/>
      <c r="AE287" s="64"/>
      <c r="AF287" s="64"/>
      <c r="AG287" s="64"/>
      <c r="AH287" s="64"/>
      <c r="AI287" s="64"/>
      <c r="AJ287" s="64"/>
    </row>
    <row r="288">
      <c r="A288" s="64"/>
      <c r="B288" s="64"/>
      <c r="C288" s="64"/>
      <c r="D288" s="64"/>
      <c r="E288" s="64"/>
      <c r="F288" s="64"/>
      <c r="G288" s="64"/>
      <c r="H288" s="64"/>
      <c r="I288" s="64"/>
      <c r="J288" s="64"/>
      <c r="K288" s="64"/>
      <c r="L288" s="64"/>
      <c r="M288" s="60"/>
      <c r="N288" s="60"/>
      <c r="O288" s="60"/>
      <c r="P288" s="60"/>
      <c r="Q288" s="64"/>
      <c r="R288" s="64"/>
      <c r="S288" s="64"/>
      <c r="T288" s="64"/>
      <c r="U288" s="64"/>
      <c r="V288" s="64"/>
      <c r="W288" s="64"/>
      <c r="X288" s="64"/>
      <c r="Y288" s="64"/>
      <c r="Z288" s="64"/>
      <c r="AA288" s="64"/>
      <c r="AB288" s="64"/>
      <c r="AC288" s="64"/>
      <c r="AD288" s="64"/>
      <c r="AE288" s="64"/>
      <c r="AF288" s="64"/>
      <c r="AG288" s="64"/>
      <c r="AH288" s="64"/>
      <c r="AI288" s="64"/>
      <c r="AJ288" s="64"/>
    </row>
    <row r="289">
      <c r="A289" s="64"/>
      <c r="B289" s="64"/>
      <c r="C289" s="64"/>
      <c r="D289" s="64"/>
      <c r="E289" s="64"/>
      <c r="F289" s="64"/>
      <c r="G289" s="64"/>
      <c r="H289" s="64"/>
      <c r="I289" s="64"/>
      <c r="J289" s="64"/>
      <c r="K289" s="64"/>
      <c r="L289" s="64"/>
      <c r="M289" s="60"/>
      <c r="N289" s="60"/>
      <c r="O289" s="60"/>
      <c r="P289" s="60"/>
      <c r="Q289" s="64"/>
      <c r="R289" s="64"/>
      <c r="S289" s="64"/>
      <c r="T289" s="64"/>
      <c r="U289" s="64"/>
      <c r="V289" s="64"/>
      <c r="W289" s="64"/>
      <c r="X289" s="64"/>
      <c r="Y289" s="64"/>
      <c r="Z289" s="64"/>
      <c r="AA289" s="64"/>
      <c r="AB289" s="64"/>
      <c r="AC289" s="64"/>
      <c r="AD289" s="64"/>
      <c r="AE289" s="64"/>
      <c r="AF289" s="64"/>
      <c r="AG289" s="64"/>
      <c r="AH289" s="64"/>
      <c r="AI289" s="64"/>
      <c r="AJ289" s="64"/>
    </row>
    <row r="290">
      <c r="A290" s="64"/>
      <c r="B290" s="64"/>
      <c r="C290" s="64"/>
      <c r="D290" s="64"/>
      <c r="E290" s="64"/>
      <c r="F290" s="64"/>
      <c r="G290" s="64"/>
      <c r="H290" s="64"/>
      <c r="I290" s="64"/>
      <c r="J290" s="64"/>
      <c r="K290" s="64"/>
      <c r="L290" s="64"/>
      <c r="M290" s="60"/>
      <c r="N290" s="60"/>
      <c r="O290" s="60"/>
      <c r="P290" s="60"/>
      <c r="Q290" s="64"/>
      <c r="R290" s="64"/>
      <c r="S290" s="64"/>
      <c r="T290" s="64"/>
      <c r="U290" s="64"/>
      <c r="V290" s="64"/>
      <c r="W290" s="64"/>
      <c r="X290" s="64"/>
      <c r="Y290" s="64"/>
      <c r="Z290" s="64"/>
      <c r="AA290" s="64"/>
      <c r="AB290" s="64"/>
      <c r="AC290" s="64"/>
      <c r="AD290" s="64"/>
      <c r="AE290" s="64"/>
      <c r="AF290" s="64"/>
      <c r="AG290" s="64"/>
      <c r="AH290" s="64"/>
      <c r="AI290" s="64"/>
      <c r="AJ290" s="64"/>
    </row>
    <row r="291">
      <c r="A291" s="64"/>
      <c r="B291" s="64"/>
      <c r="C291" s="64"/>
      <c r="D291" s="64"/>
      <c r="E291" s="64"/>
      <c r="F291" s="64"/>
      <c r="G291" s="64"/>
      <c r="H291" s="64"/>
      <c r="I291" s="64"/>
      <c r="J291" s="64"/>
      <c r="K291" s="64"/>
      <c r="L291" s="64"/>
      <c r="M291" s="60"/>
      <c r="N291" s="60"/>
      <c r="O291" s="60"/>
      <c r="P291" s="60"/>
      <c r="Q291" s="64"/>
      <c r="R291" s="64"/>
      <c r="S291" s="64"/>
      <c r="T291" s="64"/>
      <c r="U291" s="64"/>
      <c r="V291" s="64"/>
      <c r="W291" s="64"/>
      <c r="X291" s="64"/>
      <c r="Y291" s="64"/>
      <c r="Z291" s="64"/>
      <c r="AA291" s="64"/>
      <c r="AB291" s="64"/>
      <c r="AC291" s="64"/>
      <c r="AD291" s="64"/>
      <c r="AE291" s="64"/>
      <c r="AF291" s="64"/>
      <c r="AG291" s="64"/>
      <c r="AH291" s="64"/>
      <c r="AI291" s="64"/>
      <c r="AJ291" s="64"/>
    </row>
    <row r="292">
      <c r="A292" s="64"/>
      <c r="B292" s="64"/>
      <c r="C292" s="64"/>
      <c r="D292" s="64"/>
      <c r="E292" s="64"/>
      <c r="F292" s="64"/>
      <c r="G292" s="64"/>
      <c r="H292" s="64"/>
      <c r="I292" s="64"/>
      <c r="J292" s="64"/>
      <c r="K292" s="64"/>
      <c r="L292" s="64"/>
      <c r="M292" s="60"/>
      <c r="N292" s="60"/>
      <c r="O292" s="60"/>
      <c r="P292" s="60"/>
      <c r="Q292" s="64"/>
      <c r="R292" s="64"/>
      <c r="S292" s="64"/>
      <c r="T292" s="64"/>
      <c r="U292" s="64"/>
      <c r="V292" s="64"/>
      <c r="W292" s="64"/>
      <c r="X292" s="64"/>
      <c r="Y292" s="64"/>
      <c r="Z292" s="64"/>
      <c r="AA292" s="64"/>
      <c r="AB292" s="64"/>
      <c r="AC292" s="64"/>
      <c r="AD292" s="64"/>
      <c r="AE292" s="64"/>
      <c r="AF292" s="64"/>
      <c r="AG292" s="64"/>
      <c r="AH292" s="64"/>
      <c r="AI292" s="64"/>
      <c r="AJ292" s="64"/>
    </row>
    <row r="293">
      <c r="A293" s="64"/>
      <c r="B293" s="64"/>
      <c r="C293" s="64"/>
      <c r="D293" s="64"/>
      <c r="E293" s="64"/>
      <c r="F293" s="64"/>
      <c r="G293" s="64"/>
      <c r="H293" s="64"/>
      <c r="I293" s="64"/>
      <c r="J293" s="64"/>
      <c r="K293" s="64"/>
      <c r="L293" s="64"/>
      <c r="M293" s="60"/>
      <c r="N293" s="60"/>
      <c r="O293" s="60"/>
      <c r="P293" s="60"/>
      <c r="Q293" s="64"/>
      <c r="R293" s="64"/>
      <c r="S293" s="64"/>
      <c r="T293" s="64"/>
      <c r="U293" s="64"/>
      <c r="V293" s="64"/>
      <c r="W293" s="64"/>
      <c r="X293" s="64"/>
      <c r="Y293" s="64"/>
      <c r="Z293" s="64"/>
      <c r="AA293" s="64"/>
      <c r="AB293" s="64"/>
      <c r="AC293" s="64"/>
      <c r="AD293" s="64"/>
      <c r="AE293" s="64"/>
      <c r="AF293" s="64"/>
      <c r="AG293" s="64"/>
      <c r="AH293" s="64"/>
      <c r="AI293" s="64"/>
      <c r="AJ293" s="64"/>
    </row>
    <row r="294">
      <c r="A294" s="64"/>
      <c r="B294" s="64"/>
      <c r="C294" s="64"/>
      <c r="D294" s="64"/>
      <c r="E294" s="64"/>
      <c r="F294" s="64"/>
      <c r="G294" s="64"/>
      <c r="H294" s="64"/>
      <c r="I294" s="64"/>
      <c r="J294" s="64"/>
      <c r="K294" s="64"/>
      <c r="L294" s="64"/>
      <c r="M294" s="60"/>
      <c r="N294" s="60"/>
      <c r="O294" s="60"/>
      <c r="P294" s="60"/>
      <c r="Q294" s="64"/>
      <c r="R294" s="64"/>
      <c r="S294" s="64"/>
      <c r="T294" s="64"/>
      <c r="U294" s="64"/>
      <c r="V294" s="64"/>
      <c r="W294" s="64"/>
      <c r="X294" s="64"/>
      <c r="Y294" s="64"/>
      <c r="Z294" s="64"/>
      <c r="AA294" s="64"/>
      <c r="AB294" s="64"/>
      <c r="AC294" s="64"/>
      <c r="AD294" s="64"/>
      <c r="AE294" s="64"/>
      <c r="AF294" s="64"/>
      <c r="AG294" s="64"/>
      <c r="AH294" s="64"/>
      <c r="AI294" s="64"/>
      <c r="AJ294" s="64"/>
    </row>
    <row r="295">
      <c r="A295" s="64"/>
      <c r="B295" s="64"/>
      <c r="C295" s="64"/>
      <c r="D295" s="64"/>
      <c r="E295" s="64"/>
      <c r="F295" s="64"/>
      <c r="G295" s="64"/>
      <c r="H295" s="64"/>
      <c r="I295" s="64"/>
      <c r="J295" s="64"/>
      <c r="K295" s="64"/>
      <c r="L295" s="64"/>
      <c r="M295" s="60"/>
      <c r="N295" s="60"/>
      <c r="O295" s="60"/>
      <c r="P295" s="60"/>
      <c r="Q295" s="64"/>
      <c r="R295" s="64"/>
      <c r="S295" s="64"/>
      <c r="T295" s="64"/>
      <c r="U295" s="64"/>
      <c r="V295" s="64"/>
      <c r="W295" s="64"/>
      <c r="X295" s="64"/>
      <c r="Y295" s="64"/>
      <c r="Z295" s="64"/>
      <c r="AA295" s="64"/>
      <c r="AB295" s="64"/>
      <c r="AC295" s="64"/>
      <c r="AD295" s="64"/>
      <c r="AE295" s="64"/>
      <c r="AF295" s="64"/>
      <c r="AG295" s="64"/>
      <c r="AH295" s="64"/>
      <c r="AI295" s="64"/>
      <c r="AJ295" s="64"/>
    </row>
    <row r="296">
      <c r="A296" s="64"/>
      <c r="B296" s="64"/>
      <c r="C296" s="64"/>
      <c r="D296" s="64"/>
      <c r="E296" s="64"/>
      <c r="F296" s="64"/>
      <c r="G296" s="64"/>
      <c r="H296" s="64"/>
      <c r="I296" s="64"/>
      <c r="J296" s="64"/>
      <c r="K296" s="64"/>
      <c r="L296" s="64"/>
      <c r="M296" s="60"/>
      <c r="N296" s="60"/>
      <c r="O296" s="60"/>
      <c r="P296" s="60"/>
      <c r="Q296" s="64"/>
      <c r="R296" s="64"/>
      <c r="S296" s="64"/>
      <c r="T296" s="64"/>
      <c r="U296" s="64"/>
      <c r="V296" s="64"/>
      <c r="W296" s="64"/>
      <c r="X296" s="64"/>
      <c r="Y296" s="64"/>
      <c r="Z296" s="64"/>
      <c r="AA296" s="64"/>
      <c r="AB296" s="64"/>
      <c r="AC296" s="64"/>
      <c r="AD296" s="64"/>
      <c r="AE296" s="64"/>
      <c r="AF296" s="64"/>
      <c r="AG296" s="64"/>
      <c r="AH296" s="64"/>
      <c r="AI296" s="64"/>
      <c r="AJ296" s="64"/>
    </row>
    <row r="297">
      <c r="A297" s="64"/>
      <c r="B297" s="64"/>
      <c r="C297" s="64"/>
      <c r="D297" s="64"/>
      <c r="E297" s="64"/>
      <c r="F297" s="64"/>
      <c r="G297" s="64"/>
      <c r="H297" s="64"/>
      <c r="I297" s="64"/>
      <c r="J297" s="64"/>
      <c r="K297" s="64"/>
      <c r="L297" s="64"/>
      <c r="M297" s="60"/>
      <c r="N297" s="60"/>
      <c r="O297" s="60"/>
      <c r="P297" s="60"/>
      <c r="Q297" s="64"/>
      <c r="R297" s="64"/>
      <c r="S297" s="64"/>
      <c r="T297" s="64"/>
      <c r="U297" s="64"/>
      <c r="V297" s="64"/>
      <c r="W297" s="64"/>
      <c r="X297" s="64"/>
      <c r="Y297" s="64"/>
      <c r="Z297" s="64"/>
      <c r="AA297" s="64"/>
      <c r="AB297" s="64"/>
      <c r="AC297" s="64"/>
      <c r="AD297" s="64"/>
      <c r="AE297" s="64"/>
      <c r="AF297" s="64"/>
      <c r="AG297" s="64"/>
      <c r="AH297" s="64"/>
      <c r="AI297" s="64"/>
      <c r="AJ297" s="64"/>
    </row>
    <row r="298">
      <c r="A298" s="64"/>
      <c r="B298" s="64"/>
      <c r="C298" s="64"/>
      <c r="D298" s="64"/>
      <c r="E298" s="64"/>
      <c r="F298" s="64"/>
      <c r="G298" s="64"/>
      <c r="H298" s="64"/>
      <c r="I298" s="64"/>
      <c r="J298" s="64"/>
      <c r="K298" s="64"/>
      <c r="L298" s="64"/>
      <c r="M298" s="60"/>
      <c r="N298" s="60"/>
      <c r="O298" s="60"/>
      <c r="P298" s="60"/>
      <c r="Q298" s="64"/>
      <c r="R298" s="64"/>
      <c r="S298" s="64"/>
      <c r="T298" s="64"/>
      <c r="U298" s="64"/>
      <c r="V298" s="64"/>
      <c r="W298" s="64"/>
      <c r="X298" s="64"/>
      <c r="Y298" s="64"/>
      <c r="Z298" s="64"/>
      <c r="AA298" s="64"/>
      <c r="AB298" s="64"/>
      <c r="AC298" s="64"/>
      <c r="AD298" s="64"/>
      <c r="AE298" s="64"/>
      <c r="AF298" s="64"/>
      <c r="AG298" s="64"/>
      <c r="AH298" s="64"/>
      <c r="AI298" s="64"/>
      <c r="AJ298" s="64"/>
    </row>
    <row r="299">
      <c r="A299" s="64"/>
      <c r="B299" s="64"/>
      <c r="C299" s="64"/>
      <c r="D299" s="64"/>
      <c r="E299" s="64"/>
      <c r="F299" s="64"/>
      <c r="G299" s="64"/>
      <c r="H299" s="64"/>
      <c r="I299" s="64"/>
      <c r="J299" s="64"/>
      <c r="K299" s="64"/>
      <c r="L299" s="64"/>
      <c r="M299" s="60"/>
      <c r="N299" s="60"/>
      <c r="O299" s="60"/>
      <c r="P299" s="60"/>
      <c r="Q299" s="64"/>
      <c r="R299" s="64"/>
      <c r="S299" s="64"/>
      <c r="T299" s="64"/>
      <c r="U299" s="64"/>
      <c r="V299" s="64"/>
      <c r="W299" s="64"/>
      <c r="X299" s="64"/>
      <c r="Y299" s="64"/>
      <c r="Z299" s="64"/>
      <c r="AA299" s="64"/>
      <c r="AB299" s="64"/>
      <c r="AC299" s="64"/>
      <c r="AD299" s="64"/>
      <c r="AE299" s="64"/>
      <c r="AF299" s="64"/>
      <c r="AG299" s="64"/>
      <c r="AH299" s="64"/>
      <c r="AI299" s="64"/>
      <c r="AJ299" s="64"/>
    </row>
    <row r="300">
      <c r="A300" s="64"/>
      <c r="B300" s="64"/>
      <c r="C300" s="64"/>
      <c r="D300" s="64"/>
      <c r="E300" s="64"/>
      <c r="F300" s="64"/>
      <c r="G300" s="64"/>
      <c r="H300" s="64"/>
      <c r="I300" s="64"/>
      <c r="J300" s="64"/>
      <c r="K300" s="64"/>
      <c r="L300" s="64"/>
      <c r="M300" s="60"/>
      <c r="N300" s="60"/>
      <c r="O300" s="60"/>
      <c r="P300" s="60"/>
      <c r="Q300" s="64"/>
      <c r="R300" s="64"/>
      <c r="S300" s="64"/>
      <c r="T300" s="64"/>
      <c r="U300" s="64"/>
      <c r="V300" s="64"/>
      <c r="W300" s="64"/>
      <c r="X300" s="64"/>
      <c r="Y300" s="64"/>
      <c r="Z300" s="64"/>
      <c r="AA300" s="64"/>
      <c r="AB300" s="64"/>
      <c r="AC300" s="64"/>
      <c r="AD300" s="64"/>
      <c r="AE300" s="64"/>
      <c r="AF300" s="64"/>
      <c r="AG300" s="64"/>
      <c r="AH300" s="64"/>
      <c r="AI300" s="64"/>
      <c r="AJ300" s="64"/>
    </row>
    <row r="301">
      <c r="A301" s="64"/>
      <c r="B301" s="64"/>
      <c r="C301" s="64"/>
      <c r="D301" s="64"/>
      <c r="E301" s="64"/>
      <c r="F301" s="64"/>
      <c r="G301" s="64"/>
      <c r="H301" s="64"/>
      <c r="I301" s="64"/>
      <c r="J301" s="64"/>
      <c r="K301" s="64"/>
      <c r="L301" s="64"/>
      <c r="M301" s="60"/>
      <c r="N301" s="60"/>
      <c r="O301" s="60"/>
      <c r="P301" s="60"/>
      <c r="Q301" s="64"/>
      <c r="R301" s="64"/>
      <c r="S301" s="64"/>
      <c r="T301" s="64"/>
      <c r="U301" s="64"/>
      <c r="V301" s="64"/>
      <c r="W301" s="64"/>
      <c r="X301" s="64"/>
      <c r="Y301" s="64"/>
      <c r="Z301" s="64"/>
      <c r="AA301" s="64"/>
      <c r="AB301" s="64"/>
      <c r="AC301" s="64"/>
      <c r="AD301" s="64"/>
      <c r="AE301" s="64"/>
      <c r="AF301" s="64"/>
      <c r="AG301" s="64"/>
      <c r="AH301" s="64"/>
      <c r="AI301" s="64"/>
      <c r="AJ301" s="64"/>
    </row>
    <row r="302">
      <c r="A302" s="64"/>
      <c r="B302" s="64"/>
      <c r="C302" s="64"/>
      <c r="D302" s="64"/>
      <c r="E302" s="64"/>
      <c r="F302" s="64"/>
      <c r="G302" s="64"/>
      <c r="H302" s="64"/>
      <c r="I302" s="64"/>
      <c r="J302" s="64"/>
      <c r="K302" s="64"/>
      <c r="L302" s="64"/>
      <c r="M302" s="60"/>
      <c r="N302" s="60"/>
      <c r="O302" s="60"/>
      <c r="P302" s="60"/>
      <c r="Q302" s="64"/>
      <c r="R302" s="64"/>
      <c r="S302" s="64"/>
      <c r="T302" s="64"/>
      <c r="U302" s="64"/>
      <c r="V302" s="64"/>
      <c r="W302" s="64"/>
      <c r="X302" s="64"/>
      <c r="Y302" s="64"/>
      <c r="Z302" s="64"/>
      <c r="AA302" s="64"/>
      <c r="AB302" s="64"/>
      <c r="AC302" s="64"/>
      <c r="AD302" s="64"/>
      <c r="AE302" s="64"/>
      <c r="AF302" s="64"/>
      <c r="AG302" s="64"/>
      <c r="AH302" s="64"/>
      <c r="AI302" s="64"/>
      <c r="AJ302" s="64"/>
    </row>
    <row r="303">
      <c r="A303" s="64"/>
      <c r="B303" s="64"/>
      <c r="C303" s="64"/>
      <c r="D303" s="64"/>
      <c r="E303" s="64"/>
      <c r="F303" s="64"/>
      <c r="G303" s="64"/>
      <c r="H303" s="64"/>
      <c r="I303" s="64"/>
      <c r="J303" s="64"/>
      <c r="K303" s="64"/>
      <c r="L303" s="64"/>
      <c r="M303" s="60"/>
      <c r="N303" s="60"/>
      <c r="O303" s="60"/>
      <c r="P303" s="60"/>
      <c r="Q303" s="64"/>
      <c r="R303" s="64"/>
      <c r="S303" s="64"/>
      <c r="T303" s="64"/>
      <c r="U303" s="64"/>
      <c r="V303" s="64"/>
      <c r="W303" s="64"/>
      <c r="X303" s="64"/>
      <c r="Y303" s="64"/>
      <c r="Z303" s="64"/>
      <c r="AA303" s="64"/>
      <c r="AB303" s="64"/>
      <c r="AC303" s="64"/>
      <c r="AD303" s="64"/>
      <c r="AE303" s="64"/>
      <c r="AF303" s="64"/>
      <c r="AG303" s="64"/>
      <c r="AH303" s="64"/>
      <c r="AI303" s="64"/>
      <c r="AJ303" s="64"/>
    </row>
    <row r="304">
      <c r="A304" s="64"/>
      <c r="B304" s="64"/>
      <c r="C304" s="64"/>
      <c r="D304" s="64"/>
      <c r="E304" s="64"/>
      <c r="F304" s="64"/>
      <c r="G304" s="64"/>
      <c r="H304" s="64"/>
      <c r="I304" s="64"/>
      <c r="J304" s="64"/>
      <c r="K304" s="64"/>
      <c r="L304" s="64"/>
      <c r="M304" s="60"/>
      <c r="N304" s="60"/>
      <c r="O304" s="60"/>
      <c r="P304" s="60"/>
      <c r="Q304" s="64"/>
      <c r="R304" s="64"/>
      <c r="S304" s="64"/>
      <c r="T304" s="64"/>
      <c r="U304" s="64"/>
      <c r="V304" s="64"/>
      <c r="W304" s="64"/>
      <c r="X304" s="64"/>
      <c r="Y304" s="64"/>
      <c r="Z304" s="64"/>
      <c r="AA304" s="64"/>
      <c r="AB304" s="64"/>
      <c r="AC304" s="64"/>
      <c r="AD304" s="64"/>
      <c r="AE304" s="64"/>
      <c r="AF304" s="64"/>
      <c r="AG304" s="64"/>
      <c r="AH304" s="64"/>
      <c r="AI304" s="64"/>
      <c r="AJ304" s="64"/>
    </row>
    <row r="305">
      <c r="A305" s="64"/>
      <c r="B305" s="64"/>
      <c r="C305" s="64"/>
      <c r="D305" s="64"/>
      <c r="E305" s="64"/>
      <c r="F305" s="64"/>
      <c r="G305" s="64"/>
      <c r="H305" s="64"/>
      <c r="I305" s="64"/>
      <c r="J305" s="64"/>
      <c r="K305" s="64"/>
      <c r="L305" s="64"/>
      <c r="M305" s="60"/>
      <c r="N305" s="60"/>
      <c r="O305" s="60"/>
      <c r="P305" s="60"/>
      <c r="Q305" s="64"/>
      <c r="R305" s="64"/>
      <c r="S305" s="64"/>
      <c r="T305" s="64"/>
      <c r="U305" s="64"/>
      <c r="V305" s="64"/>
      <c r="W305" s="64"/>
      <c r="X305" s="64"/>
      <c r="Y305" s="64"/>
      <c r="Z305" s="64"/>
      <c r="AA305" s="64"/>
      <c r="AB305" s="64"/>
      <c r="AC305" s="64"/>
      <c r="AD305" s="64"/>
      <c r="AE305" s="64"/>
      <c r="AF305" s="64"/>
      <c r="AG305" s="64"/>
      <c r="AH305" s="64"/>
      <c r="AI305" s="64"/>
      <c r="AJ305" s="64"/>
    </row>
    <row r="306">
      <c r="A306" s="64"/>
      <c r="B306" s="64"/>
      <c r="C306" s="64"/>
      <c r="D306" s="64"/>
      <c r="E306" s="64"/>
      <c r="F306" s="64"/>
      <c r="G306" s="64"/>
      <c r="H306" s="64"/>
      <c r="I306" s="64"/>
      <c r="J306" s="64"/>
      <c r="K306" s="64"/>
      <c r="L306" s="64"/>
      <c r="M306" s="60"/>
      <c r="N306" s="60"/>
      <c r="O306" s="60"/>
      <c r="P306" s="60"/>
      <c r="Q306" s="64"/>
      <c r="R306" s="64"/>
      <c r="S306" s="64"/>
      <c r="T306" s="64"/>
      <c r="U306" s="64"/>
      <c r="V306" s="64"/>
      <c r="W306" s="64"/>
      <c r="X306" s="64"/>
      <c r="Y306" s="64"/>
      <c r="Z306" s="64"/>
      <c r="AA306" s="64"/>
      <c r="AB306" s="64"/>
      <c r="AC306" s="64"/>
      <c r="AD306" s="64"/>
      <c r="AE306" s="64"/>
      <c r="AF306" s="64"/>
      <c r="AG306" s="64"/>
      <c r="AH306" s="64"/>
      <c r="AI306" s="64"/>
      <c r="AJ306" s="64"/>
    </row>
    <row r="307">
      <c r="A307" s="64"/>
      <c r="B307" s="64"/>
      <c r="C307" s="64"/>
      <c r="D307" s="64"/>
      <c r="E307" s="64"/>
      <c r="F307" s="64"/>
      <c r="G307" s="64"/>
      <c r="H307" s="64"/>
      <c r="I307" s="64"/>
      <c r="J307" s="64"/>
      <c r="K307" s="64"/>
      <c r="L307" s="64"/>
      <c r="M307" s="60"/>
      <c r="N307" s="60"/>
      <c r="O307" s="60"/>
      <c r="P307" s="60"/>
      <c r="Q307" s="64"/>
      <c r="R307" s="64"/>
      <c r="S307" s="64"/>
      <c r="T307" s="64"/>
      <c r="U307" s="64"/>
      <c r="V307" s="64"/>
      <c r="W307" s="64"/>
      <c r="X307" s="64"/>
      <c r="Y307" s="64"/>
      <c r="Z307" s="64"/>
      <c r="AA307" s="64"/>
      <c r="AB307" s="64"/>
      <c r="AC307" s="64"/>
      <c r="AD307" s="64"/>
      <c r="AE307" s="64"/>
      <c r="AF307" s="64"/>
      <c r="AG307" s="64"/>
      <c r="AH307" s="64"/>
      <c r="AI307" s="64"/>
      <c r="AJ307" s="64"/>
    </row>
    <row r="308">
      <c r="A308" s="64"/>
      <c r="B308" s="64"/>
      <c r="C308" s="64"/>
      <c r="D308" s="64"/>
      <c r="E308" s="64"/>
      <c r="F308" s="64"/>
      <c r="G308" s="64"/>
      <c r="H308" s="64"/>
      <c r="I308" s="64"/>
      <c r="J308" s="64"/>
      <c r="K308" s="64"/>
      <c r="L308" s="64"/>
      <c r="M308" s="60"/>
      <c r="N308" s="60"/>
      <c r="O308" s="60"/>
      <c r="P308" s="60"/>
      <c r="Q308" s="64"/>
      <c r="R308" s="64"/>
      <c r="S308" s="64"/>
      <c r="T308" s="64"/>
      <c r="U308" s="64"/>
      <c r="V308" s="64"/>
      <c r="W308" s="64"/>
      <c r="X308" s="64"/>
      <c r="Y308" s="64"/>
      <c r="Z308" s="64"/>
      <c r="AA308" s="64"/>
      <c r="AB308" s="64"/>
      <c r="AC308" s="64"/>
      <c r="AD308" s="64"/>
      <c r="AE308" s="64"/>
      <c r="AF308" s="64"/>
      <c r="AG308" s="64"/>
      <c r="AH308" s="64"/>
      <c r="AI308" s="64"/>
      <c r="AJ308" s="64"/>
    </row>
    <row r="309">
      <c r="A309" s="64"/>
      <c r="B309" s="64"/>
      <c r="C309" s="64"/>
      <c r="D309" s="64"/>
      <c r="E309" s="64"/>
      <c r="F309" s="64"/>
      <c r="G309" s="64"/>
      <c r="H309" s="64"/>
      <c r="I309" s="64"/>
      <c r="J309" s="64"/>
      <c r="K309" s="64"/>
      <c r="L309" s="64"/>
      <c r="M309" s="60"/>
      <c r="N309" s="60"/>
      <c r="O309" s="60"/>
      <c r="P309" s="60"/>
      <c r="Q309" s="64"/>
      <c r="R309" s="64"/>
      <c r="S309" s="64"/>
      <c r="T309" s="64"/>
      <c r="U309" s="64"/>
      <c r="V309" s="64"/>
      <c r="W309" s="64"/>
      <c r="X309" s="64"/>
      <c r="Y309" s="64"/>
      <c r="Z309" s="64"/>
      <c r="AA309" s="64"/>
      <c r="AB309" s="64"/>
      <c r="AC309" s="64"/>
      <c r="AD309" s="64"/>
      <c r="AE309" s="64"/>
      <c r="AF309" s="64"/>
      <c r="AG309" s="64"/>
      <c r="AH309" s="64"/>
      <c r="AI309" s="64"/>
      <c r="AJ309" s="64"/>
    </row>
    <row r="310">
      <c r="A310" s="64"/>
      <c r="B310" s="64"/>
      <c r="C310" s="64"/>
      <c r="D310" s="64"/>
      <c r="E310" s="64"/>
      <c r="F310" s="64"/>
      <c r="G310" s="64"/>
      <c r="H310" s="64"/>
      <c r="I310" s="64"/>
      <c r="J310" s="64"/>
      <c r="K310" s="64"/>
      <c r="L310" s="64"/>
      <c r="M310" s="60"/>
      <c r="N310" s="60"/>
      <c r="O310" s="60"/>
      <c r="P310" s="60"/>
      <c r="Q310" s="64"/>
      <c r="R310" s="64"/>
      <c r="S310" s="64"/>
      <c r="T310" s="64"/>
      <c r="U310" s="64"/>
      <c r="V310" s="64"/>
      <c r="W310" s="64"/>
      <c r="X310" s="64"/>
      <c r="Y310" s="64"/>
      <c r="Z310" s="64"/>
      <c r="AA310" s="64"/>
      <c r="AB310" s="64"/>
      <c r="AC310" s="64"/>
      <c r="AD310" s="64"/>
      <c r="AE310" s="64"/>
      <c r="AF310" s="64"/>
      <c r="AG310" s="64"/>
      <c r="AH310" s="64"/>
      <c r="AI310" s="64"/>
      <c r="AJ310" s="64"/>
    </row>
    <row r="311">
      <c r="A311" s="64"/>
      <c r="B311" s="64"/>
      <c r="C311" s="64"/>
      <c r="D311" s="64"/>
      <c r="E311" s="64"/>
      <c r="F311" s="64"/>
      <c r="G311" s="64"/>
      <c r="H311" s="64"/>
      <c r="I311" s="64"/>
      <c r="J311" s="64"/>
      <c r="K311" s="64"/>
      <c r="L311" s="64"/>
      <c r="M311" s="60"/>
      <c r="N311" s="60"/>
      <c r="O311" s="60"/>
      <c r="P311" s="60"/>
      <c r="Q311" s="64"/>
      <c r="R311" s="64"/>
      <c r="S311" s="64"/>
      <c r="T311" s="64"/>
      <c r="U311" s="64"/>
      <c r="V311" s="64"/>
      <c r="W311" s="64"/>
      <c r="X311" s="64"/>
      <c r="Y311" s="64"/>
      <c r="Z311" s="64"/>
      <c r="AA311" s="64"/>
      <c r="AB311" s="64"/>
      <c r="AC311" s="64"/>
      <c r="AD311" s="64"/>
      <c r="AE311" s="64"/>
      <c r="AF311" s="64"/>
      <c r="AG311" s="64"/>
      <c r="AH311" s="64"/>
      <c r="AI311" s="64"/>
      <c r="AJ311" s="64"/>
    </row>
    <row r="312">
      <c r="A312" s="64"/>
      <c r="B312" s="64"/>
      <c r="C312" s="64"/>
      <c r="D312" s="64"/>
      <c r="E312" s="64"/>
      <c r="F312" s="64"/>
      <c r="G312" s="64"/>
      <c r="H312" s="64"/>
      <c r="I312" s="64"/>
      <c r="J312" s="64"/>
      <c r="K312" s="64"/>
      <c r="L312" s="64"/>
      <c r="M312" s="60"/>
      <c r="N312" s="60"/>
      <c r="O312" s="60"/>
      <c r="P312" s="60"/>
      <c r="Q312" s="64"/>
      <c r="R312" s="64"/>
      <c r="S312" s="64"/>
      <c r="T312" s="64"/>
      <c r="U312" s="64"/>
      <c r="V312" s="64"/>
      <c r="W312" s="64"/>
      <c r="X312" s="64"/>
      <c r="Y312" s="64"/>
      <c r="Z312" s="64"/>
      <c r="AA312" s="64"/>
      <c r="AB312" s="64"/>
      <c r="AC312" s="64"/>
      <c r="AD312" s="64"/>
      <c r="AE312" s="64"/>
      <c r="AF312" s="64"/>
      <c r="AG312" s="64"/>
      <c r="AH312" s="64"/>
      <c r="AI312" s="64"/>
      <c r="AJ312" s="64"/>
    </row>
    <row r="313">
      <c r="A313" s="64"/>
      <c r="B313" s="64"/>
      <c r="C313" s="64"/>
      <c r="D313" s="64"/>
      <c r="E313" s="64"/>
      <c r="F313" s="64"/>
      <c r="G313" s="64"/>
      <c r="H313" s="64"/>
      <c r="I313" s="64"/>
      <c r="J313" s="64"/>
      <c r="K313" s="64"/>
      <c r="L313" s="64"/>
      <c r="M313" s="60"/>
      <c r="N313" s="60"/>
      <c r="O313" s="60"/>
      <c r="P313" s="60"/>
      <c r="Q313" s="64"/>
      <c r="R313" s="64"/>
      <c r="S313" s="64"/>
      <c r="T313" s="64"/>
      <c r="U313" s="64"/>
      <c r="V313" s="64"/>
      <c r="W313" s="64"/>
      <c r="X313" s="64"/>
      <c r="Y313" s="64"/>
      <c r="Z313" s="64"/>
      <c r="AA313" s="64"/>
      <c r="AB313" s="64"/>
      <c r="AC313" s="64"/>
      <c r="AD313" s="64"/>
      <c r="AE313" s="64"/>
      <c r="AF313" s="64"/>
      <c r="AG313" s="64"/>
      <c r="AH313" s="64"/>
      <c r="AI313" s="64"/>
      <c r="AJ313" s="64"/>
    </row>
    <row r="314">
      <c r="A314" s="64"/>
      <c r="B314" s="64"/>
      <c r="C314" s="64"/>
      <c r="D314" s="64"/>
      <c r="E314" s="64"/>
      <c r="F314" s="64"/>
      <c r="G314" s="64"/>
      <c r="H314" s="64"/>
      <c r="I314" s="64"/>
      <c r="J314" s="64"/>
      <c r="K314" s="64"/>
      <c r="L314" s="64"/>
      <c r="M314" s="60"/>
      <c r="N314" s="60"/>
      <c r="O314" s="60"/>
      <c r="P314" s="60"/>
      <c r="Q314" s="64"/>
      <c r="R314" s="64"/>
      <c r="S314" s="64"/>
      <c r="T314" s="64"/>
      <c r="U314" s="64"/>
      <c r="V314" s="64"/>
      <c r="W314" s="64"/>
      <c r="X314" s="64"/>
      <c r="Y314" s="64"/>
      <c r="Z314" s="64"/>
      <c r="AA314" s="64"/>
      <c r="AB314" s="64"/>
      <c r="AC314" s="64"/>
      <c r="AD314" s="64"/>
      <c r="AE314" s="64"/>
      <c r="AF314" s="64"/>
      <c r="AG314" s="64"/>
      <c r="AH314" s="64"/>
      <c r="AI314" s="64"/>
      <c r="AJ314" s="64"/>
    </row>
    <row r="315">
      <c r="A315" s="64"/>
      <c r="B315" s="64"/>
      <c r="C315" s="64"/>
      <c r="D315" s="64"/>
      <c r="E315" s="64"/>
      <c r="F315" s="64"/>
      <c r="G315" s="64"/>
      <c r="H315" s="64"/>
      <c r="I315" s="64"/>
      <c r="J315" s="64"/>
      <c r="K315" s="64"/>
      <c r="L315" s="64"/>
      <c r="M315" s="60"/>
      <c r="N315" s="60"/>
      <c r="O315" s="60"/>
      <c r="P315" s="60"/>
      <c r="Q315" s="64"/>
      <c r="R315" s="64"/>
      <c r="S315" s="64"/>
      <c r="T315" s="64"/>
      <c r="U315" s="64"/>
      <c r="V315" s="64"/>
      <c r="W315" s="64"/>
      <c r="X315" s="64"/>
      <c r="Y315" s="64"/>
      <c r="Z315" s="64"/>
      <c r="AA315" s="64"/>
      <c r="AB315" s="64"/>
      <c r="AC315" s="64"/>
      <c r="AD315" s="64"/>
      <c r="AE315" s="64"/>
      <c r="AF315" s="64"/>
      <c r="AG315" s="64"/>
      <c r="AH315" s="64"/>
      <c r="AI315" s="64"/>
      <c r="AJ315" s="64"/>
    </row>
    <row r="316">
      <c r="A316" s="64"/>
      <c r="B316" s="64"/>
      <c r="C316" s="64"/>
      <c r="D316" s="64"/>
      <c r="E316" s="64"/>
      <c r="F316" s="64"/>
      <c r="G316" s="64"/>
      <c r="H316" s="64"/>
      <c r="I316" s="64"/>
      <c r="J316" s="64"/>
      <c r="K316" s="64"/>
      <c r="L316" s="64"/>
      <c r="M316" s="60"/>
      <c r="N316" s="60"/>
      <c r="O316" s="60"/>
      <c r="P316" s="60"/>
      <c r="Q316" s="64"/>
      <c r="R316" s="64"/>
      <c r="S316" s="64"/>
      <c r="T316" s="64"/>
      <c r="U316" s="64"/>
      <c r="V316" s="64"/>
      <c r="W316" s="64"/>
      <c r="X316" s="64"/>
      <c r="Y316" s="64"/>
      <c r="Z316" s="64"/>
      <c r="AA316" s="64"/>
      <c r="AB316" s="64"/>
      <c r="AC316" s="64"/>
      <c r="AD316" s="64"/>
      <c r="AE316" s="64"/>
      <c r="AF316" s="64"/>
      <c r="AG316" s="64"/>
      <c r="AH316" s="64"/>
      <c r="AI316" s="64"/>
      <c r="AJ316" s="64"/>
    </row>
    <row r="317">
      <c r="A317" s="64"/>
      <c r="B317" s="64"/>
      <c r="C317" s="64"/>
      <c r="D317" s="64"/>
      <c r="E317" s="64"/>
      <c r="F317" s="64"/>
      <c r="G317" s="64"/>
      <c r="H317" s="64"/>
      <c r="I317" s="64"/>
      <c r="J317" s="64"/>
      <c r="K317" s="64"/>
      <c r="L317" s="64"/>
      <c r="M317" s="60"/>
      <c r="N317" s="60"/>
      <c r="O317" s="60"/>
      <c r="P317" s="60"/>
      <c r="Q317" s="64"/>
      <c r="R317" s="64"/>
      <c r="S317" s="64"/>
      <c r="T317" s="64"/>
      <c r="U317" s="64"/>
      <c r="V317" s="64"/>
      <c r="W317" s="64"/>
      <c r="X317" s="64"/>
      <c r="Y317" s="64"/>
      <c r="Z317" s="64"/>
      <c r="AA317" s="64"/>
      <c r="AB317" s="64"/>
      <c r="AC317" s="64"/>
      <c r="AD317" s="64"/>
      <c r="AE317" s="64"/>
      <c r="AF317" s="64"/>
      <c r="AG317" s="64"/>
      <c r="AH317" s="64"/>
      <c r="AI317" s="64"/>
      <c r="AJ317" s="64"/>
    </row>
    <row r="318">
      <c r="A318" s="64"/>
      <c r="B318" s="64"/>
      <c r="C318" s="64"/>
      <c r="D318" s="64"/>
      <c r="E318" s="64"/>
      <c r="F318" s="64"/>
      <c r="G318" s="64"/>
      <c r="H318" s="64"/>
      <c r="I318" s="64"/>
      <c r="J318" s="64"/>
      <c r="K318" s="64"/>
      <c r="L318" s="64"/>
      <c r="M318" s="60"/>
      <c r="N318" s="60"/>
      <c r="O318" s="60"/>
      <c r="P318" s="60"/>
      <c r="Q318" s="64"/>
      <c r="R318" s="64"/>
      <c r="S318" s="64"/>
      <c r="T318" s="64"/>
      <c r="U318" s="64"/>
      <c r="V318" s="64"/>
      <c r="W318" s="64"/>
      <c r="X318" s="64"/>
      <c r="Y318" s="64"/>
      <c r="Z318" s="64"/>
      <c r="AA318" s="64"/>
      <c r="AB318" s="64"/>
      <c r="AC318" s="64"/>
      <c r="AD318" s="64"/>
      <c r="AE318" s="64"/>
      <c r="AF318" s="64"/>
      <c r="AG318" s="64"/>
      <c r="AH318" s="64"/>
      <c r="AI318" s="64"/>
      <c r="AJ318" s="64"/>
    </row>
    <row r="319">
      <c r="A319" s="64"/>
      <c r="B319" s="64"/>
      <c r="C319" s="64"/>
      <c r="D319" s="64"/>
      <c r="E319" s="64"/>
      <c r="F319" s="64"/>
      <c r="G319" s="64"/>
      <c r="H319" s="64"/>
      <c r="I319" s="64"/>
      <c r="J319" s="64"/>
      <c r="K319" s="64"/>
      <c r="L319" s="64"/>
      <c r="M319" s="60"/>
      <c r="N319" s="60"/>
      <c r="O319" s="60"/>
      <c r="P319" s="60"/>
      <c r="Q319" s="64"/>
      <c r="R319" s="64"/>
      <c r="S319" s="64"/>
      <c r="T319" s="64"/>
      <c r="U319" s="64"/>
      <c r="V319" s="64"/>
      <c r="W319" s="64"/>
      <c r="X319" s="64"/>
      <c r="Y319" s="64"/>
      <c r="Z319" s="64"/>
      <c r="AA319" s="64"/>
      <c r="AB319" s="64"/>
      <c r="AC319" s="64"/>
      <c r="AD319" s="64"/>
      <c r="AE319" s="64"/>
      <c r="AF319" s="64"/>
      <c r="AG319" s="64"/>
      <c r="AH319" s="64"/>
      <c r="AI319" s="64"/>
      <c r="AJ319" s="64"/>
    </row>
    <row r="320">
      <c r="A320" s="64"/>
      <c r="B320" s="64"/>
      <c r="C320" s="64"/>
      <c r="D320" s="64"/>
      <c r="E320" s="64"/>
      <c r="F320" s="64"/>
      <c r="G320" s="64"/>
      <c r="H320" s="64"/>
      <c r="I320" s="64"/>
      <c r="J320" s="64"/>
      <c r="K320" s="64"/>
      <c r="L320" s="64"/>
      <c r="M320" s="60"/>
      <c r="N320" s="60"/>
      <c r="O320" s="60"/>
      <c r="P320" s="60"/>
      <c r="Q320" s="64"/>
      <c r="R320" s="64"/>
      <c r="S320" s="64"/>
      <c r="T320" s="64"/>
      <c r="U320" s="64"/>
      <c r="V320" s="64"/>
      <c r="W320" s="64"/>
      <c r="X320" s="64"/>
      <c r="Y320" s="64"/>
      <c r="Z320" s="64"/>
      <c r="AA320" s="64"/>
      <c r="AB320" s="64"/>
      <c r="AC320" s="64"/>
      <c r="AD320" s="64"/>
      <c r="AE320" s="64"/>
      <c r="AF320" s="64"/>
      <c r="AG320" s="64"/>
      <c r="AH320" s="64"/>
      <c r="AI320" s="64"/>
      <c r="AJ320" s="64"/>
    </row>
    <row r="321">
      <c r="A321" s="64"/>
      <c r="B321" s="64"/>
      <c r="C321" s="64"/>
      <c r="D321" s="64"/>
      <c r="E321" s="64"/>
      <c r="F321" s="64"/>
      <c r="G321" s="64"/>
      <c r="H321" s="64"/>
      <c r="I321" s="64"/>
      <c r="J321" s="64"/>
      <c r="K321" s="64"/>
      <c r="L321" s="64"/>
      <c r="M321" s="60"/>
      <c r="N321" s="60"/>
      <c r="O321" s="60"/>
      <c r="P321" s="60"/>
      <c r="Q321" s="64"/>
      <c r="R321" s="64"/>
      <c r="S321" s="64"/>
      <c r="T321" s="64"/>
      <c r="U321" s="64"/>
      <c r="V321" s="64"/>
      <c r="W321" s="64"/>
      <c r="X321" s="64"/>
      <c r="Y321" s="64"/>
      <c r="Z321" s="64"/>
      <c r="AA321" s="64"/>
      <c r="AB321" s="64"/>
      <c r="AC321" s="64"/>
      <c r="AD321" s="64"/>
      <c r="AE321" s="64"/>
      <c r="AF321" s="64"/>
      <c r="AG321" s="64"/>
      <c r="AH321" s="64"/>
      <c r="AI321" s="64"/>
      <c r="AJ321" s="64"/>
    </row>
    <row r="322">
      <c r="A322" s="64"/>
      <c r="B322" s="64"/>
      <c r="C322" s="64"/>
      <c r="D322" s="64"/>
      <c r="E322" s="64"/>
      <c r="F322" s="64"/>
      <c r="G322" s="64"/>
      <c r="H322" s="64"/>
      <c r="I322" s="64"/>
      <c r="J322" s="64"/>
      <c r="K322" s="64"/>
      <c r="L322" s="64"/>
      <c r="M322" s="60"/>
      <c r="N322" s="60"/>
      <c r="O322" s="60"/>
      <c r="P322" s="60"/>
      <c r="Q322" s="64"/>
      <c r="R322" s="64"/>
      <c r="S322" s="64"/>
      <c r="T322" s="64"/>
      <c r="U322" s="64"/>
      <c r="V322" s="64"/>
      <c r="W322" s="64"/>
      <c r="X322" s="64"/>
      <c r="Y322" s="64"/>
      <c r="Z322" s="64"/>
      <c r="AA322" s="64"/>
      <c r="AB322" s="64"/>
      <c r="AC322" s="64"/>
      <c r="AD322" s="64"/>
      <c r="AE322" s="64"/>
      <c r="AF322" s="64"/>
      <c r="AG322" s="64"/>
      <c r="AH322" s="64"/>
      <c r="AI322" s="64"/>
      <c r="AJ322" s="64"/>
    </row>
    <row r="323">
      <c r="A323" s="64"/>
      <c r="B323" s="64"/>
      <c r="C323" s="64"/>
      <c r="D323" s="64"/>
      <c r="E323" s="64"/>
      <c r="F323" s="64"/>
      <c r="G323" s="64"/>
      <c r="H323" s="64"/>
      <c r="I323" s="64"/>
      <c r="J323" s="64"/>
      <c r="K323" s="64"/>
      <c r="L323" s="64"/>
      <c r="M323" s="60"/>
      <c r="N323" s="60"/>
      <c r="O323" s="60"/>
      <c r="P323" s="60"/>
      <c r="Q323" s="64"/>
      <c r="R323" s="64"/>
      <c r="S323" s="64"/>
      <c r="T323" s="64"/>
      <c r="U323" s="64"/>
      <c r="V323" s="64"/>
      <c r="W323" s="64"/>
      <c r="X323" s="64"/>
      <c r="Y323" s="64"/>
      <c r="Z323" s="64"/>
      <c r="AA323" s="64"/>
      <c r="AB323" s="64"/>
      <c r="AC323" s="64"/>
      <c r="AD323" s="64"/>
      <c r="AE323" s="64"/>
      <c r="AF323" s="64"/>
      <c r="AG323" s="64"/>
      <c r="AH323" s="64"/>
      <c r="AI323" s="64"/>
      <c r="AJ323" s="64"/>
    </row>
    <row r="324">
      <c r="A324" s="64"/>
      <c r="B324" s="64"/>
      <c r="C324" s="64"/>
      <c r="D324" s="64"/>
      <c r="E324" s="64"/>
      <c r="F324" s="64"/>
      <c r="G324" s="64"/>
      <c r="H324" s="64"/>
      <c r="I324" s="64"/>
      <c r="J324" s="64"/>
      <c r="K324" s="64"/>
      <c r="L324" s="64"/>
      <c r="M324" s="60"/>
      <c r="N324" s="60"/>
      <c r="O324" s="60"/>
      <c r="P324" s="60"/>
      <c r="Q324" s="64"/>
      <c r="R324" s="64"/>
      <c r="S324" s="64"/>
      <c r="T324" s="64"/>
      <c r="U324" s="64"/>
      <c r="V324" s="64"/>
      <c r="W324" s="64"/>
      <c r="X324" s="64"/>
      <c r="Y324" s="64"/>
      <c r="Z324" s="64"/>
      <c r="AA324" s="64"/>
      <c r="AB324" s="64"/>
      <c r="AC324" s="64"/>
      <c r="AD324" s="64"/>
      <c r="AE324" s="64"/>
      <c r="AF324" s="64"/>
      <c r="AG324" s="64"/>
      <c r="AH324" s="64"/>
      <c r="AI324" s="64"/>
      <c r="AJ324" s="64"/>
    </row>
    <row r="325">
      <c r="A325" s="64"/>
      <c r="B325" s="64"/>
      <c r="C325" s="64"/>
      <c r="D325" s="64"/>
      <c r="E325" s="64"/>
      <c r="F325" s="64"/>
      <c r="G325" s="64"/>
      <c r="H325" s="64"/>
      <c r="I325" s="64"/>
      <c r="J325" s="64"/>
      <c r="K325" s="64"/>
      <c r="L325" s="64"/>
      <c r="M325" s="60"/>
      <c r="N325" s="60"/>
      <c r="O325" s="60"/>
      <c r="P325" s="60"/>
      <c r="Q325" s="64"/>
      <c r="R325" s="64"/>
      <c r="S325" s="64"/>
      <c r="T325" s="64"/>
      <c r="U325" s="64"/>
      <c r="V325" s="64"/>
      <c r="W325" s="64"/>
      <c r="X325" s="64"/>
      <c r="Y325" s="64"/>
      <c r="Z325" s="64"/>
      <c r="AA325" s="64"/>
      <c r="AB325" s="64"/>
      <c r="AC325" s="64"/>
      <c r="AD325" s="64"/>
      <c r="AE325" s="64"/>
      <c r="AF325" s="64"/>
      <c r="AG325" s="64"/>
      <c r="AH325" s="64"/>
      <c r="AI325" s="64"/>
      <c r="AJ325" s="64"/>
    </row>
    <row r="326">
      <c r="A326" s="64"/>
      <c r="B326" s="64"/>
      <c r="C326" s="64"/>
      <c r="D326" s="64"/>
      <c r="E326" s="64"/>
      <c r="F326" s="64"/>
      <c r="G326" s="64"/>
      <c r="H326" s="64"/>
      <c r="I326" s="64"/>
      <c r="J326" s="64"/>
      <c r="K326" s="64"/>
      <c r="L326" s="64"/>
      <c r="M326" s="60"/>
      <c r="N326" s="60"/>
      <c r="O326" s="60"/>
      <c r="P326" s="60"/>
      <c r="Q326" s="64"/>
      <c r="R326" s="64"/>
      <c r="S326" s="64"/>
      <c r="T326" s="64"/>
      <c r="U326" s="64"/>
      <c r="V326" s="64"/>
      <c r="W326" s="64"/>
      <c r="X326" s="64"/>
      <c r="Y326" s="64"/>
      <c r="Z326" s="64"/>
      <c r="AA326" s="64"/>
      <c r="AB326" s="64"/>
      <c r="AC326" s="64"/>
      <c r="AD326" s="64"/>
      <c r="AE326" s="64"/>
      <c r="AF326" s="64"/>
      <c r="AG326" s="64"/>
      <c r="AH326" s="64"/>
      <c r="AI326" s="64"/>
      <c r="AJ326" s="64"/>
    </row>
    <row r="327">
      <c r="A327" s="64"/>
      <c r="B327" s="64"/>
      <c r="C327" s="64"/>
      <c r="D327" s="64"/>
      <c r="E327" s="64"/>
      <c r="F327" s="64"/>
      <c r="G327" s="64"/>
      <c r="H327" s="64"/>
      <c r="I327" s="64"/>
      <c r="J327" s="64"/>
      <c r="K327" s="64"/>
      <c r="L327" s="64"/>
      <c r="M327" s="60"/>
      <c r="N327" s="60"/>
      <c r="O327" s="60"/>
      <c r="P327" s="60"/>
      <c r="Q327" s="64"/>
      <c r="R327" s="64"/>
      <c r="S327" s="64"/>
      <c r="T327" s="64"/>
      <c r="U327" s="64"/>
      <c r="V327" s="64"/>
      <c r="W327" s="64"/>
      <c r="X327" s="64"/>
      <c r="Y327" s="64"/>
      <c r="Z327" s="64"/>
      <c r="AA327" s="64"/>
      <c r="AB327" s="64"/>
      <c r="AC327" s="64"/>
      <c r="AD327" s="64"/>
      <c r="AE327" s="64"/>
      <c r="AF327" s="64"/>
      <c r="AG327" s="64"/>
      <c r="AH327" s="64"/>
      <c r="AI327" s="64"/>
      <c r="AJ327" s="64"/>
    </row>
    <row r="328">
      <c r="A328" s="64"/>
      <c r="B328" s="64"/>
      <c r="C328" s="64"/>
      <c r="D328" s="64"/>
      <c r="E328" s="64"/>
      <c r="F328" s="64"/>
      <c r="G328" s="64"/>
      <c r="H328" s="64"/>
      <c r="I328" s="64"/>
      <c r="J328" s="64"/>
      <c r="K328" s="64"/>
      <c r="L328" s="64"/>
      <c r="M328" s="60"/>
      <c r="N328" s="60"/>
      <c r="O328" s="60"/>
      <c r="P328" s="60"/>
      <c r="Q328" s="64"/>
      <c r="R328" s="64"/>
      <c r="S328" s="64"/>
      <c r="T328" s="64"/>
      <c r="U328" s="64"/>
      <c r="V328" s="64"/>
      <c r="W328" s="64"/>
      <c r="X328" s="64"/>
      <c r="Y328" s="64"/>
      <c r="Z328" s="64"/>
      <c r="AA328" s="64"/>
      <c r="AB328" s="64"/>
      <c r="AC328" s="64"/>
      <c r="AD328" s="64"/>
      <c r="AE328" s="64"/>
      <c r="AF328" s="64"/>
      <c r="AG328" s="64"/>
      <c r="AH328" s="64"/>
      <c r="AI328" s="64"/>
      <c r="AJ328" s="64"/>
    </row>
    <row r="329">
      <c r="A329" s="64"/>
      <c r="B329" s="64"/>
      <c r="C329" s="64"/>
      <c r="D329" s="64"/>
      <c r="E329" s="64"/>
      <c r="F329" s="64"/>
      <c r="G329" s="64"/>
      <c r="H329" s="64"/>
      <c r="I329" s="64"/>
      <c r="J329" s="64"/>
      <c r="K329" s="64"/>
      <c r="L329" s="64"/>
      <c r="M329" s="60"/>
      <c r="N329" s="60"/>
      <c r="O329" s="60"/>
      <c r="P329" s="60"/>
      <c r="Q329" s="64"/>
      <c r="R329" s="64"/>
      <c r="S329" s="64"/>
      <c r="T329" s="64"/>
      <c r="U329" s="64"/>
      <c r="V329" s="64"/>
      <c r="W329" s="64"/>
      <c r="X329" s="64"/>
      <c r="Y329" s="64"/>
      <c r="Z329" s="64"/>
      <c r="AA329" s="64"/>
      <c r="AB329" s="64"/>
      <c r="AC329" s="64"/>
      <c r="AD329" s="64"/>
      <c r="AE329" s="64"/>
      <c r="AF329" s="64"/>
      <c r="AG329" s="64"/>
      <c r="AH329" s="64"/>
      <c r="AI329" s="64"/>
      <c r="AJ329" s="64"/>
    </row>
    <row r="330">
      <c r="A330" s="64"/>
      <c r="B330" s="64"/>
      <c r="C330" s="64"/>
      <c r="D330" s="64"/>
      <c r="E330" s="64"/>
      <c r="F330" s="64"/>
      <c r="G330" s="64"/>
      <c r="H330" s="64"/>
      <c r="I330" s="64"/>
      <c r="J330" s="64"/>
      <c r="K330" s="64"/>
      <c r="L330" s="64"/>
      <c r="M330" s="60"/>
      <c r="N330" s="60"/>
      <c r="O330" s="60"/>
      <c r="P330" s="60"/>
      <c r="Q330" s="64"/>
      <c r="R330" s="64"/>
      <c r="S330" s="64"/>
      <c r="T330" s="64"/>
      <c r="U330" s="64"/>
      <c r="V330" s="64"/>
      <c r="W330" s="64"/>
      <c r="X330" s="64"/>
      <c r="Y330" s="64"/>
      <c r="Z330" s="64"/>
      <c r="AA330" s="64"/>
      <c r="AB330" s="64"/>
      <c r="AC330" s="64"/>
      <c r="AD330" s="64"/>
      <c r="AE330" s="64"/>
      <c r="AF330" s="64"/>
      <c r="AG330" s="64"/>
      <c r="AH330" s="64"/>
      <c r="AI330" s="64"/>
      <c r="AJ330" s="64"/>
    </row>
    <row r="331">
      <c r="A331" s="64"/>
      <c r="B331" s="64"/>
      <c r="C331" s="64"/>
      <c r="D331" s="64"/>
      <c r="E331" s="64"/>
      <c r="F331" s="64"/>
      <c r="G331" s="64"/>
      <c r="H331" s="64"/>
      <c r="I331" s="64"/>
      <c r="J331" s="64"/>
      <c r="K331" s="64"/>
      <c r="L331" s="64"/>
      <c r="M331" s="60"/>
      <c r="N331" s="60"/>
      <c r="O331" s="60"/>
      <c r="P331" s="60"/>
      <c r="Q331" s="64"/>
      <c r="R331" s="64"/>
      <c r="S331" s="64"/>
      <c r="T331" s="64"/>
      <c r="U331" s="64"/>
      <c r="V331" s="64"/>
      <c r="W331" s="64"/>
      <c r="X331" s="64"/>
      <c r="Y331" s="64"/>
      <c r="Z331" s="64"/>
      <c r="AA331" s="64"/>
      <c r="AB331" s="64"/>
      <c r="AC331" s="64"/>
      <c r="AD331" s="64"/>
      <c r="AE331" s="64"/>
      <c r="AF331" s="64"/>
      <c r="AG331" s="64"/>
      <c r="AH331" s="64"/>
      <c r="AI331" s="64"/>
      <c r="AJ331" s="64"/>
    </row>
    <row r="332">
      <c r="A332" s="64"/>
      <c r="B332" s="64"/>
      <c r="C332" s="64"/>
      <c r="D332" s="64"/>
      <c r="E332" s="64"/>
      <c r="F332" s="64"/>
      <c r="G332" s="64"/>
      <c r="H332" s="64"/>
      <c r="I332" s="64"/>
      <c r="J332" s="64"/>
      <c r="K332" s="64"/>
      <c r="L332" s="64"/>
      <c r="M332" s="60"/>
      <c r="N332" s="60"/>
      <c r="O332" s="60"/>
      <c r="P332" s="60"/>
      <c r="Q332" s="64"/>
      <c r="R332" s="64"/>
      <c r="S332" s="64"/>
      <c r="T332" s="64"/>
      <c r="U332" s="64"/>
      <c r="V332" s="64"/>
      <c r="W332" s="64"/>
      <c r="X332" s="64"/>
      <c r="Y332" s="64"/>
      <c r="Z332" s="64"/>
      <c r="AA332" s="64"/>
      <c r="AB332" s="64"/>
      <c r="AC332" s="64"/>
      <c r="AD332" s="64"/>
      <c r="AE332" s="64"/>
      <c r="AF332" s="64"/>
      <c r="AG332" s="64"/>
      <c r="AH332" s="64"/>
      <c r="AI332" s="64"/>
      <c r="AJ332" s="64"/>
    </row>
    <row r="333">
      <c r="A333" s="64"/>
      <c r="B333" s="64"/>
      <c r="C333" s="64"/>
      <c r="D333" s="64"/>
      <c r="E333" s="64"/>
      <c r="F333" s="64"/>
      <c r="G333" s="64"/>
      <c r="H333" s="64"/>
      <c r="I333" s="64"/>
      <c r="J333" s="64"/>
      <c r="K333" s="64"/>
      <c r="L333" s="64"/>
      <c r="M333" s="60"/>
      <c r="N333" s="60"/>
      <c r="O333" s="60"/>
      <c r="P333" s="60"/>
      <c r="Q333" s="64"/>
      <c r="R333" s="64"/>
      <c r="S333" s="64"/>
      <c r="T333" s="64"/>
      <c r="U333" s="64"/>
      <c r="V333" s="64"/>
      <c r="W333" s="64"/>
      <c r="X333" s="64"/>
      <c r="Y333" s="64"/>
      <c r="Z333" s="64"/>
      <c r="AA333" s="64"/>
      <c r="AB333" s="64"/>
      <c r="AC333" s="64"/>
      <c r="AD333" s="64"/>
      <c r="AE333" s="64"/>
      <c r="AF333" s="64"/>
      <c r="AG333" s="64"/>
      <c r="AH333" s="64"/>
      <c r="AI333" s="64"/>
      <c r="AJ333" s="64"/>
    </row>
    <row r="334">
      <c r="A334" s="64"/>
      <c r="B334" s="64"/>
      <c r="C334" s="64"/>
      <c r="D334" s="64"/>
      <c r="E334" s="64"/>
      <c r="F334" s="64"/>
      <c r="G334" s="64"/>
      <c r="H334" s="64"/>
      <c r="I334" s="64"/>
      <c r="J334" s="64"/>
      <c r="K334" s="64"/>
      <c r="L334" s="64"/>
      <c r="M334" s="60"/>
      <c r="N334" s="60"/>
      <c r="O334" s="60"/>
      <c r="P334" s="60"/>
      <c r="Q334" s="64"/>
      <c r="R334" s="64"/>
      <c r="S334" s="64"/>
      <c r="T334" s="64"/>
      <c r="U334" s="64"/>
      <c r="V334" s="64"/>
      <c r="W334" s="64"/>
      <c r="X334" s="64"/>
      <c r="Y334" s="64"/>
      <c r="Z334" s="64"/>
      <c r="AA334" s="64"/>
      <c r="AB334" s="64"/>
      <c r="AC334" s="64"/>
      <c r="AD334" s="64"/>
      <c r="AE334" s="64"/>
      <c r="AF334" s="64"/>
      <c r="AG334" s="64"/>
      <c r="AH334" s="64"/>
      <c r="AI334" s="64"/>
      <c r="AJ334" s="64"/>
    </row>
    <row r="335">
      <c r="A335" s="64"/>
      <c r="B335" s="64"/>
      <c r="C335" s="64"/>
      <c r="D335" s="64"/>
      <c r="E335" s="64"/>
      <c r="F335" s="64"/>
      <c r="G335" s="64"/>
      <c r="H335" s="64"/>
      <c r="I335" s="64"/>
      <c r="J335" s="64"/>
      <c r="K335" s="64"/>
      <c r="L335" s="64"/>
      <c r="M335" s="60"/>
      <c r="N335" s="60"/>
      <c r="O335" s="60"/>
      <c r="P335" s="60"/>
      <c r="Q335" s="64"/>
      <c r="R335" s="64"/>
      <c r="S335" s="64"/>
      <c r="T335" s="64"/>
      <c r="U335" s="64"/>
      <c r="V335" s="64"/>
      <c r="W335" s="64"/>
      <c r="X335" s="64"/>
      <c r="Y335" s="64"/>
      <c r="Z335" s="64"/>
      <c r="AA335" s="64"/>
      <c r="AB335" s="64"/>
      <c r="AC335" s="64"/>
      <c r="AD335" s="64"/>
      <c r="AE335" s="64"/>
      <c r="AF335" s="64"/>
      <c r="AG335" s="64"/>
      <c r="AH335" s="64"/>
      <c r="AI335" s="64"/>
      <c r="AJ335" s="64"/>
    </row>
    <row r="336">
      <c r="A336" s="64"/>
      <c r="B336" s="64"/>
      <c r="C336" s="64"/>
      <c r="D336" s="64"/>
      <c r="E336" s="64"/>
      <c r="F336" s="64"/>
      <c r="G336" s="64"/>
      <c r="H336" s="64"/>
      <c r="I336" s="64"/>
      <c r="J336" s="64"/>
      <c r="K336" s="64"/>
      <c r="L336" s="64"/>
      <c r="M336" s="60"/>
      <c r="N336" s="60"/>
      <c r="O336" s="60"/>
      <c r="P336" s="60"/>
      <c r="Q336" s="64"/>
      <c r="R336" s="64"/>
      <c r="S336" s="64"/>
      <c r="T336" s="64"/>
      <c r="U336" s="64"/>
      <c r="V336" s="64"/>
      <c r="W336" s="64"/>
      <c r="X336" s="64"/>
      <c r="Y336" s="64"/>
      <c r="Z336" s="64"/>
      <c r="AA336" s="64"/>
      <c r="AB336" s="64"/>
      <c r="AC336" s="64"/>
      <c r="AD336" s="64"/>
      <c r="AE336" s="64"/>
      <c r="AF336" s="64"/>
      <c r="AG336" s="64"/>
      <c r="AH336" s="64"/>
      <c r="AI336" s="64"/>
      <c r="AJ336" s="64"/>
    </row>
    <row r="337">
      <c r="A337" s="64"/>
      <c r="B337" s="64"/>
      <c r="C337" s="64"/>
      <c r="D337" s="64"/>
      <c r="E337" s="64"/>
      <c r="F337" s="64"/>
      <c r="G337" s="64"/>
      <c r="H337" s="64"/>
      <c r="I337" s="64"/>
      <c r="J337" s="64"/>
      <c r="K337" s="64"/>
      <c r="L337" s="64"/>
      <c r="M337" s="60"/>
      <c r="N337" s="60"/>
      <c r="O337" s="60"/>
      <c r="P337" s="60"/>
      <c r="Q337" s="64"/>
      <c r="R337" s="64"/>
      <c r="S337" s="64"/>
      <c r="T337" s="64"/>
      <c r="U337" s="64"/>
      <c r="V337" s="64"/>
      <c r="W337" s="64"/>
      <c r="X337" s="64"/>
      <c r="Y337" s="64"/>
      <c r="Z337" s="64"/>
      <c r="AA337" s="64"/>
      <c r="AB337" s="64"/>
      <c r="AC337" s="64"/>
      <c r="AD337" s="64"/>
      <c r="AE337" s="64"/>
      <c r="AF337" s="64"/>
      <c r="AG337" s="64"/>
      <c r="AH337" s="64"/>
      <c r="AI337" s="64"/>
      <c r="AJ337" s="64"/>
    </row>
    <row r="338">
      <c r="A338" s="64"/>
      <c r="B338" s="64"/>
      <c r="C338" s="64"/>
      <c r="D338" s="64"/>
      <c r="E338" s="64"/>
      <c r="F338" s="64"/>
      <c r="G338" s="64"/>
      <c r="H338" s="64"/>
      <c r="I338" s="64"/>
      <c r="J338" s="64"/>
      <c r="K338" s="64"/>
      <c r="L338" s="64"/>
      <c r="M338" s="60"/>
      <c r="N338" s="60"/>
      <c r="O338" s="60"/>
      <c r="P338" s="60"/>
      <c r="Q338" s="64"/>
      <c r="R338" s="64"/>
      <c r="S338" s="64"/>
      <c r="T338" s="64"/>
      <c r="U338" s="64"/>
      <c r="V338" s="64"/>
      <c r="W338" s="64"/>
      <c r="X338" s="64"/>
      <c r="Y338" s="64"/>
      <c r="Z338" s="64"/>
      <c r="AA338" s="64"/>
      <c r="AB338" s="64"/>
      <c r="AC338" s="64"/>
      <c r="AD338" s="64"/>
      <c r="AE338" s="64"/>
      <c r="AF338" s="64"/>
      <c r="AG338" s="64"/>
      <c r="AH338" s="64"/>
      <c r="AI338" s="64"/>
      <c r="AJ338" s="64"/>
    </row>
    <row r="339">
      <c r="A339" s="64"/>
      <c r="B339" s="64"/>
      <c r="C339" s="64"/>
      <c r="D339" s="64"/>
      <c r="E339" s="64"/>
      <c r="F339" s="64"/>
      <c r="G339" s="64"/>
      <c r="H339" s="64"/>
      <c r="I339" s="64"/>
      <c r="J339" s="64"/>
      <c r="K339" s="64"/>
      <c r="L339" s="64"/>
      <c r="M339" s="60"/>
      <c r="N339" s="60"/>
      <c r="O339" s="60"/>
      <c r="P339" s="60"/>
      <c r="Q339" s="64"/>
      <c r="R339" s="64"/>
      <c r="S339" s="64"/>
      <c r="T339" s="64"/>
      <c r="U339" s="64"/>
      <c r="V339" s="64"/>
      <c r="W339" s="64"/>
      <c r="X339" s="64"/>
      <c r="Y339" s="64"/>
      <c r="Z339" s="64"/>
      <c r="AA339" s="64"/>
      <c r="AB339" s="64"/>
      <c r="AC339" s="64"/>
      <c r="AD339" s="64"/>
      <c r="AE339" s="64"/>
      <c r="AF339" s="64"/>
      <c r="AG339" s="64"/>
      <c r="AH339" s="64"/>
      <c r="AI339" s="64"/>
      <c r="AJ339" s="64"/>
    </row>
    <row r="340">
      <c r="A340" s="64"/>
      <c r="B340" s="64"/>
      <c r="C340" s="64"/>
      <c r="D340" s="64"/>
      <c r="E340" s="64"/>
      <c r="F340" s="64"/>
      <c r="G340" s="64"/>
      <c r="H340" s="64"/>
      <c r="I340" s="64"/>
      <c r="J340" s="64"/>
      <c r="K340" s="64"/>
      <c r="L340" s="64"/>
      <c r="M340" s="60"/>
      <c r="N340" s="60"/>
      <c r="O340" s="60"/>
      <c r="P340" s="60"/>
      <c r="Q340" s="64"/>
      <c r="R340" s="64"/>
      <c r="S340" s="64"/>
      <c r="T340" s="64"/>
      <c r="U340" s="64"/>
      <c r="V340" s="64"/>
      <c r="W340" s="64"/>
      <c r="X340" s="64"/>
      <c r="Y340" s="64"/>
      <c r="Z340" s="64"/>
      <c r="AA340" s="64"/>
      <c r="AB340" s="64"/>
      <c r="AC340" s="64"/>
      <c r="AD340" s="64"/>
      <c r="AE340" s="64"/>
      <c r="AF340" s="64"/>
      <c r="AG340" s="64"/>
      <c r="AH340" s="64"/>
      <c r="AI340" s="64"/>
      <c r="AJ340" s="64"/>
    </row>
    <row r="341">
      <c r="A341" s="64"/>
      <c r="B341" s="64"/>
      <c r="C341" s="64"/>
      <c r="D341" s="64"/>
      <c r="E341" s="64"/>
      <c r="F341" s="64"/>
      <c r="G341" s="64"/>
      <c r="H341" s="64"/>
      <c r="I341" s="64"/>
      <c r="J341" s="64"/>
      <c r="K341" s="64"/>
      <c r="L341" s="64"/>
      <c r="M341" s="60"/>
      <c r="N341" s="60"/>
      <c r="O341" s="60"/>
      <c r="P341" s="60"/>
      <c r="Q341" s="64"/>
      <c r="R341" s="64"/>
      <c r="S341" s="64"/>
      <c r="T341" s="64"/>
      <c r="U341" s="64"/>
      <c r="V341" s="64"/>
      <c r="W341" s="64"/>
      <c r="X341" s="64"/>
      <c r="Y341" s="64"/>
      <c r="Z341" s="64"/>
      <c r="AA341" s="64"/>
      <c r="AB341" s="64"/>
      <c r="AC341" s="64"/>
      <c r="AD341" s="64"/>
      <c r="AE341" s="64"/>
      <c r="AF341" s="64"/>
      <c r="AG341" s="64"/>
      <c r="AH341" s="64"/>
      <c r="AI341" s="64"/>
      <c r="AJ341" s="64"/>
    </row>
    <row r="342">
      <c r="A342" s="64"/>
      <c r="B342" s="64"/>
      <c r="C342" s="64"/>
      <c r="D342" s="64"/>
      <c r="E342" s="64"/>
      <c r="F342" s="64"/>
      <c r="G342" s="64"/>
      <c r="H342" s="64"/>
      <c r="I342" s="64"/>
      <c r="J342" s="64"/>
      <c r="K342" s="64"/>
      <c r="L342" s="64"/>
      <c r="M342" s="60"/>
      <c r="N342" s="60"/>
      <c r="O342" s="60"/>
      <c r="P342" s="60"/>
      <c r="Q342" s="64"/>
      <c r="R342" s="64"/>
      <c r="S342" s="64"/>
      <c r="T342" s="64"/>
      <c r="U342" s="64"/>
      <c r="V342" s="64"/>
      <c r="W342" s="64"/>
      <c r="X342" s="64"/>
      <c r="Y342" s="64"/>
      <c r="Z342" s="64"/>
      <c r="AA342" s="64"/>
      <c r="AB342" s="64"/>
      <c r="AC342" s="64"/>
      <c r="AD342" s="64"/>
      <c r="AE342" s="64"/>
      <c r="AF342" s="64"/>
      <c r="AG342" s="64"/>
      <c r="AH342" s="64"/>
      <c r="AI342" s="64"/>
      <c r="AJ342" s="64"/>
    </row>
    <row r="343">
      <c r="A343" s="64"/>
      <c r="B343" s="64"/>
      <c r="C343" s="64"/>
      <c r="D343" s="64"/>
      <c r="E343" s="64"/>
      <c r="F343" s="64"/>
      <c r="G343" s="64"/>
      <c r="H343" s="64"/>
      <c r="I343" s="64"/>
      <c r="J343" s="64"/>
      <c r="K343" s="64"/>
      <c r="L343" s="64"/>
      <c r="M343" s="60"/>
      <c r="N343" s="60"/>
      <c r="O343" s="60"/>
      <c r="P343" s="60"/>
      <c r="Q343" s="64"/>
      <c r="R343" s="64"/>
      <c r="S343" s="64"/>
      <c r="T343" s="64"/>
      <c r="U343" s="64"/>
      <c r="V343" s="64"/>
      <c r="W343" s="64"/>
      <c r="X343" s="64"/>
      <c r="Y343" s="64"/>
      <c r="Z343" s="64"/>
      <c r="AA343" s="64"/>
      <c r="AB343" s="64"/>
      <c r="AC343" s="64"/>
      <c r="AD343" s="64"/>
      <c r="AE343" s="64"/>
      <c r="AF343" s="64"/>
      <c r="AG343" s="64"/>
      <c r="AH343" s="64"/>
      <c r="AI343" s="64"/>
      <c r="AJ343" s="64"/>
    </row>
    <row r="344">
      <c r="A344" s="64"/>
      <c r="B344" s="64"/>
      <c r="C344" s="64"/>
      <c r="D344" s="64"/>
      <c r="E344" s="64"/>
      <c r="F344" s="64"/>
      <c r="G344" s="64"/>
      <c r="H344" s="64"/>
      <c r="I344" s="64"/>
      <c r="J344" s="64"/>
      <c r="K344" s="64"/>
      <c r="L344" s="64"/>
      <c r="M344" s="60"/>
      <c r="N344" s="60"/>
      <c r="O344" s="60"/>
      <c r="P344" s="60"/>
      <c r="Q344" s="64"/>
      <c r="R344" s="64"/>
      <c r="S344" s="64"/>
      <c r="T344" s="64"/>
      <c r="U344" s="64"/>
      <c r="V344" s="64"/>
      <c r="W344" s="64"/>
      <c r="X344" s="64"/>
      <c r="Y344" s="64"/>
      <c r="Z344" s="64"/>
      <c r="AA344" s="64"/>
      <c r="AB344" s="64"/>
      <c r="AC344" s="64"/>
      <c r="AD344" s="64"/>
      <c r="AE344" s="64"/>
      <c r="AF344" s="64"/>
      <c r="AG344" s="64"/>
      <c r="AH344" s="64"/>
      <c r="AI344" s="64"/>
      <c r="AJ344" s="64"/>
    </row>
    <row r="345">
      <c r="A345" s="64"/>
      <c r="B345" s="64"/>
      <c r="C345" s="64"/>
      <c r="D345" s="64"/>
      <c r="E345" s="64"/>
      <c r="F345" s="64"/>
      <c r="G345" s="64"/>
      <c r="H345" s="64"/>
      <c r="I345" s="64"/>
      <c r="J345" s="64"/>
      <c r="K345" s="64"/>
      <c r="L345" s="64"/>
      <c r="M345" s="60"/>
      <c r="N345" s="60"/>
      <c r="O345" s="60"/>
      <c r="P345" s="60"/>
      <c r="Q345" s="64"/>
      <c r="R345" s="64"/>
      <c r="S345" s="64"/>
      <c r="T345" s="64"/>
      <c r="U345" s="64"/>
      <c r="V345" s="64"/>
      <c r="W345" s="64"/>
      <c r="X345" s="64"/>
      <c r="Y345" s="64"/>
      <c r="Z345" s="64"/>
      <c r="AA345" s="64"/>
      <c r="AB345" s="64"/>
      <c r="AC345" s="64"/>
      <c r="AD345" s="64"/>
      <c r="AE345" s="64"/>
      <c r="AF345" s="64"/>
      <c r="AG345" s="64"/>
      <c r="AH345" s="64"/>
      <c r="AI345" s="64"/>
      <c r="AJ345" s="64"/>
    </row>
    <row r="346">
      <c r="A346" s="64"/>
      <c r="B346" s="64"/>
      <c r="C346" s="64"/>
      <c r="D346" s="64"/>
      <c r="E346" s="64"/>
      <c r="F346" s="64"/>
      <c r="G346" s="64"/>
      <c r="H346" s="64"/>
      <c r="I346" s="64"/>
      <c r="J346" s="64"/>
      <c r="K346" s="64"/>
      <c r="L346" s="64"/>
      <c r="M346" s="60"/>
      <c r="N346" s="60"/>
      <c r="O346" s="60"/>
      <c r="P346" s="60"/>
      <c r="Q346" s="64"/>
      <c r="R346" s="64"/>
      <c r="S346" s="64"/>
      <c r="T346" s="64"/>
      <c r="U346" s="64"/>
      <c r="V346" s="64"/>
      <c r="W346" s="64"/>
      <c r="X346" s="64"/>
      <c r="Y346" s="64"/>
      <c r="Z346" s="64"/>
      <c r="AA346" s="64"/>
      <c r="AB346" s="64"/>
      <c r="AC346" s="64"/>
      <c r="AD346" s="64"/>
      <c r="AE346" s="64"/>
      <c r="AF346" s="64"/>
      <c r="AG346" s="64"/>
      <c r="AH346" s="64"/>
      <c r="AI346" s="64"/>
      <c r="AJ346" s="64"/>
    </row>
    <row r="347">
      <c r="A347" s="64"/>
      <c r="B347" s="64"/>
      <c r="C347" s="64"/>
      <c r="D347" s="64"/>
      <c r="E347" s="64"/>
      <c r="F347" s="64"/>
      <c r="G347" s="64"/>
      <c r="H347" s="64"/>
      <c r="I347" s="64"/>
      <c r="J347" s="64"/>
      <c r="K347" s="64"/>
      <c r="L347" s="64"/>
      <c r="M347" s="60"/>
      <c r="N347" s="60"/>
      <c r="O347" s="60"/>
      <c r="P347" s="60"/>
      <c r="Q347" s="64"/>
      <c r="R347" s="64"/>
      <c r="S347" s="64"/>
      <c r="T347" s="64"/>
      <c r="U347" s="64"/>
      <c r="V347" s="64"/>
      <c r="W347" s="64"/>
      <c r="X347" s="64"/>
      <c r="Y347" s="64"/>
      <c r="Z347" s="64"/>
      <c r="AA347" s="64"/>
      <c r="AB347" s="64"/>
      <c r="AC347" s="64"/>
      <c r="AD347" s="64"/>
      <c r="AE347" s="64"/>
      <c r="AF347" s="64"/>
      <c r="AG347" s="64"/>
      <c r="AH347" s="64"/>
      <c r="AI347" s="64"/>
      <c r="AJ347" s="64"/>
    </row>
    <row r="348">
      <c r="A348" s="64"/>
      <c r="B348" s="64"/>
      <c r="C348" s="64"/>
      <c r="D348" s="64"/>
      <c r="E348" s="64"/>
      <c r="F348" s="64"/>
      <c r="G348" s="64"/>
      <c r="H348" s="64"/>
      <c r="I348" s="64"/>
      <c r="J348" s="64"/>
      <c r="K348" s="64"/>
      <c r="L348" s="64"/>
      <c r="M348" s="60"/>
      <c r="N348" s="60"/>
      <c r="O348" s="60"/>
      <c r="P348" s="60"/>
      <c r="Q348" s="64"/>
      <c r="R348" s="64"/>
      <c r="S348" s="64"/>
      <c r="T348" s="64"/>
      <c r="U348" s="64"/>
      <c r="V348" s="64"/>
      <c r="W348" s="64"/>
      <c r="X348" s="64"/>
      <c r="Y348" s="64"/>
      <c r="Z348" s="64"/>
      <c r="AA348" s="64"/>
      <c r="AB348" s="64"/>
      <c r="AC348" s="64"/>
      <c r="AD348" s="64"/>
      <c r="AE348" s="64"/>
      <c r="AF348" s="64"/>
      <c r="AG348" s="64"/>
      <c r="AH348" s="64"/>
      <c r="AI348" s="64"/>
      <c r="AJ348" s="64"/>
    </row>
    <row r="349">
      <c r="A349" s="64"/>
      <c r="B349" s="64"/>
      <c r="C349" s="64"/>
      <c r="D349" s="64"/>
      <c r="E349" s="64"/>
      <c r="F349" s="64"/>
      <c r="G349" s="64"/>
      <c r="H349" s="64"/>
      <c r="I349" s="64"/>
      <c r="J349" s="64"/>
      <c r="K349" s="64"/>
      <c r="L349" s="64"/>
      <c r="M349" s="60"/>
      <c r="N349" s="60"/>
      <c r="O349" s="60"/>
      <c r="P349" s="60"/>
      <c r="Q349" s="64"/>
      <c r="R349" s="64"/>
      <c r="S349" s="64"/>
      <c r="T349" s="64"/>
      <c r="U349" s="64"/>
      <c r="V349" s="64"/>
      <c r="W349" s="64"/>
      <c r="X349" s="64"/>
      <c r="Y349" s="64"/>
      <c r="Z349" s="64"/>
      <c r="AA349" s="64"/>
      <c r="AB349" s="64"/>
      <c r="AC349" s="64"/>
      <c r="AD349" s="64"/>
      <c r="AE349" s="64"/>
      <c r="AF349" s="64"/>
      <c r="AG349" s="64"/>
      <c r="AH349" s="64"/>
      <c r="AI349" s="64"/>
      <c r="AJ349" s="64"/>
    </row>
    <row r="350">
      <c r="A350" s="64"/>
      <c r="B350" s="64"/>
      <c r="C350" s="64"/>
      <c r="D350" s="64"/>
      <c r="E350" s="64"/>
      <c r="F350" s="64"/>
      <c r="G350" s="64"/>
      <c r="H350" s="64"/>
      <c r="I350" s="64"/>
      <c r="J350" s="64"/>
      <c r="K350" s="64"/>
      <c r="L350" s="64"/>
      <c r="M350" s="60"/>
      <c r="N350" s="60"/>
      <c r="O350" s="60"/>
      <c r="P350" s="60"/>
      <c r="Q350" s="64"/>
      <c r="R350" s="64"/>
      <c r="S350" s="64"/>
      <c r="T350" s="64"/>
      <c r="U350" s="64"/>
      <c r="V350" s="64"/>
      <c r="W350" s="64"/>
      <c r="X350" s="64"/>
      <c r="Y350" s="64"/>
      <c r="Z350" s="64"/>
      <c r="AA350" s="64"/>
      <c r="AB350" s="64"/>
      <c r="AC350" s="64"/>
      <c r="AD350" s="64"/>
      <c r="AE350" s="64"/>
      <c r="AF350" s="64"/>
      <c r="AG350" s="64"/>
      <c r="AH350" s="64"/>
      <c r="AI350" s="64"/>
      <c r="AJ350" s="64"/>
    </row>
    <row r="351">
      <c r="A351" s="64"/>
      <c r="B351" s="64"/>
      <c r="C351" s="64"/>
      <c r="D351" s="64"/>
      <c r="E351" s="64"/>
      <c r="F351" s="64"/>
      <c r="G351" s="64"/>
      <c r="H351" s="64"/>
      <c r="I351" s="64"/>
      <c r="J351" s="64"/>
      <c r="K351" s="64"/>
      <c r="L351" s="64"/>
      <c r="M351" s="60"/>
      <c r="N351" s="60"/>
      <c r="O351" s="60"/>
      <c r="P351" s="60"/>
      <c r="Q351" s="64"/>
      <c r="R351" s="64"/>
      <c r="S351" s="64"/>
      <c r="T351" s="64"/>
      <c r="U351" s="64"/>
      <c r="V351" s="64"/>
      <c r="W351" s="64"/>
      <c r="X351" s="64"/>
      <c r="Y351" s="64"/>
      <c r="Z351" s="64"/>
      <c r="AA351" s="64"/>
      <c r="AB351" s="64"/>
      <c r="AC351" s="64"/>
      <c r="AD351" s="64"/>
      <c r="AE351" s="64"/>
      <c r="AF351" s="64"/>
      <c r="AG351" s="64"/>
      <c r="AH351" s="64"/>
      <c r="AI351" s="64"/>
      <c r="AJ351" s="64"/>
    </row>
    <row r="352">
      <c r="A352" s="64"/>
      <c r="B352" s="64"/>
      <c r="C352" s="64"/>
      <c r="D352" s="64"/>
      <c r="E352" s="64"/>
      <c r="F352" s="64"/>
      <c r="G352" s="64"/>
      <c r="H352" s="64"/>
      <c r="I352" s="64"/>
      <c r="J352" s="64"/>
      <c r="K352" s="64"/>
      <c r="L352" s="64"/>
      <c r="M352" s="60"/>
      <c r="N352" s="60"/>
      <c r="O352" s="60"/>
      <c r="P352" s="60"/>
      <c r="Q352" s="64"/>
      <c r="R352" s="64"/>
      <c r="S352" s="64"/>
      <c r="T352" s="64"/>
      <c r="U352" s="64"/>
      <c r="V352" s="64"/>
      <c r="W352" s="64"/>
      <c r="X352" s="64"/>
      <c r="Y352" s="64"/>
      <c r="Z352" s="64"/>
      <c r="AA352" s="64"/>
      <c r="AB352" s="64"/>
      <c r="AC352" s="64"/>
      <c r="AD352" s="64"/>
      <c r="AE352" s="64"/>
      <c r="AF352" s="64"/>
      <c r="AG352" s="64"/>
      <c r="AH352" s="64"/>
      <c r="AI352" s="64"/>
      <c r="AJ352" s="64"/>
    </row>
    <row r="353">
      <c r="A353" s="64"/>
      <c r="B353" s="64"/>
      <c r="C353" s="64"/>
      <c r="D353" s="64"/>
      <c r="E353" s="64"/>
      <c r="F353" s="64"/>
      <c r="G353" s="64"/>
      <c r="H353" s="64"/>
      <c r="I353" s="64"/>
      <c r="J353" s="64"/>
      <c r="K353" s="64"/>
      <c r="L353" s="64"/>
      <c r="M353" s="60"/>
      <c r="N353" s="60"/>
      <c r="O353" s="60"/>
      <c r="P353" s="60"/>
      <c r="Q353" s="64"/>
      <c r="R353" s="64"/>
      <c r="S353" s="64"/>
      <c r="T353" s="64"/>
      <c r="U353" s="64"/>
      <c r="V353" s="64"/>
      <c r="W353" s="64"/>
      <c r="X353" s="64"/>
      <c r="Y353" s="64"/>
      <c r="Z353" s="64"/>
      <c r="AA353" s="64"/>
      <c r="AB353" s="64"/>
      <c r="AC353" s="64"/>
      <c r="AD353" s="64"/>
      <c r="AE353" s="64"/>
      <c r="AF353" s="64"/>
      <c r="AG353" s="64"/>
      <c r="AH353" s="64"/>
      <c r="AI353" s="64"/>
      <c r="AJ353" s="64"/>
    </row>
    <row r="354">
      <c r="A354" s="64"/>
      <c r="B354" s="64"/>
      <c r="C354" s="64"/>
      <c r="D354" s="64"/>
      <c r="E354" s="64"/>
      <c r="F354" s="64"/>
      <c r="G354" s="64"/>
      <c r="H354" s="64"/>
      <c r="I354" s="64"/>
      <c r="J354" s="64"/>
      <c r="K354" s="64"/>
      <c r="L354" s="64"/>
      <c r="M354" s="60"/>
      <c r="N354" s="60"/>
      <c r="O354" s="60"/>
      <c r="P354" s="60"/>
      <c r="Q354" s="64"/>
      <c r="R354" s="64"/>
      <c r="S354" s="64"/>
      <c r="T354" s="64"/>
      <c r="U354" s="64"/>
      <c r="V354" s="64"/>
      <c r="W354" s="64"/>
      <c r="X354" s="64"/>
      <c r="Y354" s="64"/>
      <c r="Z354" s="64"/>
      <c r="AA354" s="64"/>
      <c r="AB354" s="64"/>
      <c r="AC354" s="64"/>
      <c r="AD354" s="64"/>
      <c r="AE354" s="64"/>
      <c r="AF354" s="64"/>
      <c r="AG354" s="64"/>
      <c r="AH354" s="64"/>
      <c r="AI354" s="64"/>
      <c r="AJ354" s="64"/>
    </row>
    <row r="355">
      <c r="A355" s="64"/>
      <c r="B355" s="64"/>
      <c r="C355" s="64"/>
      <c r="D355" s="64"/>
      <c r="E355" s="64"/>
      <c r="F355" s="64"/>
      <c r="G355" s="64"/>
      <c r="H355" s="64"/>
      <c r="I355" s="64"/>
      <c r="J355" s="64"/>
      <c r="K355" s="64"/>
      <c r="L355" s="64"/>
      <c r="M355" s="60"/>
      <c r="N355" s="60"/>
      <c r="O355" s="60"/>
      <c r="P355" s="60"/>
      <c r="Q355" s="64"/>
      <c r="R355" s="64"/>
      <c r="S355" s="64"/>
      <c r="T355" s="64"/>
      <c r="U355" s="64"/>
      <c r="V355" s="64"/>
      <c r="W355" s="64"/>
      <c r="X355" s="64"/>
      <c r="Y355" s="64"/>
      <c r="Z355" s="64"/>
      <c r="AA355" s="64"/>
      <c r="AB355" s="64"/>
      <c r="AC355" s="64"/>
      <c r="AD355" s="64"/>
      <c r="AE355" s="64"/>
      <c r="AF355" s="64"/>
      <c r="AG355" s="64"/>
      <c r="AH355" s="64"/>
      <c r="AI355" s="64"/>
      <c r="AJ355" s="64"/>
    </row>
    <row r="356">
      <c r="A356" s="64"/>
      <c r="B356" s="64"/>
      <c r="C356" s="64"/>
      <c r="D356" s="64"/>
      <c r="E356" s="64"/>
      <c r="F356" s="64"/>
      <c r="G356" s="64"/>
      <c r="H356" s="64"/>
      <c r="I356" s="64"/>
      <c r="J356" s="64"/>
      <c r="K356" s="64"/>
      <c r="L356" s="64"/>
      <c r="M356" s="60"/>
      <c r="N356" s="60"/>
      <c r="O356" s="60"/>
      <c r="P356" s="60"/>
      <c r="Q356" s="64"/>
      <c r="R356" s="64"/>
      <c r="S356" s="64"/>
      <c r="T356" s="64"/>
      <c r="U356" s="64"/>
      <c r="V356" s="64"/>
      <c r="W356" s="64"/>
      <c r="X356" s="64"/>
      <c r="Y356" s="64"/>
      <c r="Z356" s="64"/>
      <c r="AA356" s="64"/>
      <c r="AB356" s="64"/>
      <c r="AC356" s="64"/>
      <c r="AD356" s="64"/>
      <c r="AE356" s="64"/>
      <c r="AF356" s="64"/>
      <c r="AG356" s="64"/>
      <c r="AH356" s="64"/>
      <c r="AI356" s="64"/>
      <c r="AJ356" s="64"/>
    </row>
    <row r="357">
      <c r="A357" s="64"/>
      <c r="B357" s="64"/>
      <c r="C357" s="64"/>
      <c r="D357" s="64"/>
      <c r="E357" s="64"/>
      <c r="F357" s="64"/>
      <c r="G357" s="64"/>
      <c r="H357" s="64"/>
      <c r="I357" s="64"/>
      <c r="J357" s="64"/>
      <c r="K357" s="64"/>
      <c r="L357" s="64"/>
      <c r="M357" s="60"/>
      <c r="N357" s="60"/>
      <c r="O357" s="60"/>
      <c r="P357" s="60"/>
      <c r="Q357" s="64"/>
      <c r="R357" s="64"/>
      <c r="S357" s="64"/>
      <c r="T357" s="64"/>
      <c r="U357" s="64"/>
      <c r="V357" s="64"/>
      <c r="W357" s="64"/>
      <c r="X357" s="64"/>
      <c r="Y357" s="64"/>
      <c r="Z357" s="64"/>
      <c r="AA357" s="64"/>
      <c r="AB357" s="64"/>
      <c r="AC357" s="64"/>
      <c r="AD357" s="64"/>
      <c r="AE357" s="64"/>
      <c r="AF357" s="64"/>
      <c r="AG357" s="64"/>
      <c r="AH357" s="64"/>
      <c r="AI357" s="64"/>
      <c r="AJ357" s="64"/>
    </row>
    <row r="358">
      <c r="A358" s="64"/>
      <c r="B358" s="64"/>
      <c r="C358" s="64"/>
      <c r="D358" s="64"/>
      <c r="E358" s="64"/>
      <c r="F358" s="64"/>
      <c r="G358" s="64"/>
      <c r="H358" s="64"/>
      <c r="I358" s="64"/>
      <c r="J358" s="64"/>
      <c r="K358" s="64"/>
      <c r="L358" s="64"/>
      <c r="M358" s="60"/>
      <c r="N358" s="60"/>
      <c r="O358" s="60"/>
      <c r="P358" s="60"/>
      <c r="Q358" s="64"/>
      <c r="R358" s="64"/>
      <c r="S358" s="64"/>
      <c r="T358" s="64"/>
      <c r="U358" s="64"/>
      <c r="V358" s="64"/>
      <c r="W358" s="64"/>
      <c r="X358" s="64"/>
      <c r="Y358" s="64"/>
      <c r="Z358" s="64"/>
      <c r="AA358" s="64"/>
      <c r="AB358" s="64"/>
      <c r="AC358" s="64"/>
      <c r="AD358" s="64"/>
      <c r="AE358" s="64"/>
      <c r="AF358" s="64"/>
      <c r="AG358" s="64"/>
      <c r="AH358" s="64"/>
      <c r="AI358" s="64"/>
      <c r="AJ358" s="64"/>
    </row>
    <row r="359">
      <c r="A359" s="64"/>
      <c r="B359" s="64"/>
      <c r="C359" s="64"/>
      <c r="D359" s="64"/>
      <c r="E359" s="64"/>
      <c r="F359" s="64"/>
      <c r="G359" s="64"/>
      <c r="H359" s="64"/>
      <c r="I359" s="64"/>
      <c r="J359" s="64"/>
      <c r="K359" s="64"/>
      <c r="L359" s="64"/>
      <c r="M359" s="60"/>
      <c r="N359" s="60"/>
      <c r="O359" s="60"/>
      <c r="P359" s="60"/>
      <c r="Q359" s="64"/>
      <c r="R359" s="64"/>
      <c r="S359" s="64"/>
      <c r="T359" s="64"/>
      <c r="U359" s="64"/>
      <c r="V359" s="64"/>
      <c r="W359" s="64"/>
      <c r="X359" s="64"/>
      <c r="Y359" s="64"/>
      <c r="Z359" s="64"/>
      <c r="AA359" s="64"/>
      <c r="AB359" s="64"/>
      <c r="AC359" s="64"/>
      <c r="AD359" s="64"/>
      <c r="AE359" s="64"/>
      <c r="AF359" s="64"/>
      <c r="AG359" s="64"/>
      <c r="AH359" s="64"/>
      <c r="AI359" s="64"/>
      <c r="AJ359" s="64"/>
    </row>
    <row r="360">
      <c r="A360" s="64"/>
      <c r="B360" s="64"/>
      <c r="C360" s="64"/>
      <c r="D360" s="64"/>
      <c r="E360" s="64"/>
      <c r="F360" s="64"/>
      <c r="G360" s="64"/>
      <c r="H360" s="64"/>
      <c r="I360" s="64"/>
      <c r="J360" s="64"/>
      <c r="K360" s="64"/>
      <c r="L360" s="64"/>
      <c r="M360" s="60"/>
      <c r="N360" s="60"/>
      <c r="O360" s="60"/>
      <c r="P360" s="60"/>
      <c r="Q360" s="64"/>
      <c r="R360" s="64"/>
      <c r="S360" s="64"/>
      <c r="T360" s="64"/>
      <c r="U360" s="64"/>
      <c r="V360" s="64"/>
      <c r="W360" s="64"/>
      <c r="X360" s="64"/>
      <c r="Y360" s="64"/>
      <c r="Z360" s="64"/>
      <c r="AA360" s="64"/>
      <c r="AB360" s="64"/>
      <c r="AC360" s="64"/>
      <c r="AD360" s="64"/>
      <c r="AE360" s="64"/>
      <c r="AF360" s="64"/>
      <c r="AG360" s="64"/>
      <c r="AH360" s="64"/>
      <c r="AI360" s="64"/>
      <c r="AJ360" s="64"/>
    </row>
    <row r="361">
      <c r="A361" s="64"/>
      <c r="B361" s="64"/>
      <c r="C361" s="64"/>
      <c r="D361" s="64"/>
      <c r="E361" s="64"/>
      <c r="F361" s="64"/>
      <c r="G361" s="64"/>
      <c r="H361" s="64"/>
      <c r="I361" s="64"/>
      <c r="J361" s="64"/>
      <c r="K361" s="64"/>
      <c r="L361" s="64"/>
      <c r="M361" s="60"/>
      <c r="N361" s="60"/>
      <c r="O361" s="60"/>
      <c r="P361" s="60"/>
      <c r="Q361" s="64"/>
      <c r="R361" s="64"/>
      <c r="S361" s="64"/>
      <c r="T361" s="64"/>
      <c r="U361" s="64"/>
      <c r="V361" s="64"/>
      <c r="W361" s="64"/>
      <c r="X361" s="64"/>
      <c r="Y361" s="64"/>
      <c r="Z361" s="64"/>
      <c r="AA361" s="64"/>
      <c r="AB361" s="64"/>
      <c r="AC361" s="64"/>
      <c r="AD361" s="64"/>
      <c r="AE361" s="64"/>
      <c r="AF361" s="64"/>
      <c r="AG361" s="64"/>
      <c r="AH361" s="64"/>
      <c r="AI361" s="64"/>
      <c r="AJ361" s="64"/>
    </row>
    <row r="362">
      <c r="A362" s="64"/>
      <c r="B362" s="64"/>
      <c r="C362" s="64"/>
      <c r="D362" s="64"/>
      <c r="E362" s="64"/>
      <c r="F362" s="64"/>
      <c r="G362" s="64"/>
      <c r="H362" s="64"/>
      <c r="I362" s="64"/>
      <c r="J362" s="64"/>
      <c r="K362" s="64"/>
      <c r="L362" s="64"/>
      <c r="M362" s="60"/>
      <c r="N362" s="60"/>
      <c r="O362" s="60"/>
      <c r="P362" s="60"/>
      <c r="Q362" s="64"/>
      <c r="R362" s="64"/>
      <c r="S362" s="64"/>
      <c r="T362" s="64"/>
      <c r="U362" s="64"/>
      <c r="V362" s="64"/>
      <c r="W362" s="64"/>
      <c r="X362" s="64"/>
      <c r="Y362" s="64"/>
      <c r="Z362" s="64"/>
      <c r="AA362" s="64"/>
      <c r="AB362" s="64"/>
      <c r="AC362" s="64"/>
      <c r="AD362" s="64"/>
      <c r="AE362" s="64"/>
      <c r="AF362" s="64"/>
      <c r="AG362" s="64"/>
      <c r="AH362" s="64"/>
      <c r="AI362" s="64"/>
      <c r="AJ362" s="64"/>
    </row>
    <row r="363">
      <c r="A363" s="64"/>
      <c r="B363" s="64"/>
      <c r="C363" s="64"/>
      <c r="D363" s="64"/>
      <c r="E363" s="64"/>
      <c r="F363" s="64"/>
      <c r="G363" s="64"/>
      <c r="H363" s="64"/>
      <c r="I363" s="64"/>
      <c r="J363" s="64"/>
      <c r="K363" s="64"/>
      <c r="L363" s="64"/>
      <c r="M363" s="60"/>
      <c r="N363" s="60"/>
      <c r="O363" s="60"/>
      <c r="P363" s="60"/>
      <c r="Q363" s="64"/>
      <c r="R363" s="64"/>
      <c r="S363" s="64"/>
      <c r="T363" s="64"/>
      <c r="U363" s="64"/>
      <c r="V363" s="64"/>
      <c r="W363" s="64"/>
      <c r="X363" s="64"/>
      <c r="Y363" s="64"/>
      <c r="Z363" s="64"/>
      <c r="AA363" s="64"/>
      <c r="AB363" s="64"/>
      <c r="AC363" s="64"/>
      <c r="AD363" s="64"/>
      <c r="AE363" s="64"/>
      <c r="AF363" s="64"/>
      <c r="AG363" s="64"/>
      <c r="AH363" s="64"/>
      <c r="AI363" s="64"/>
      <c r="AJ363" s="64"/>
    </row>
    <row r="364">
      <c r="A364" s="64"/>
      <c r="B364" s="64"/>
      <c r="C364" s="64"/>
      <c r="D364" s="64"/>
      <c r="E364" s="64"/>
      <c r="F364" s="64"/>
      <c r="G364" s="64"/>
      <c r="H364" s="64"/>
      <c r="I364" s="64"/>
      <c r="J364" s="64"/>
      <c r="K364" s="64"/>
      <c r="L364" s="64"/>
      <c r="M364" s="60"/>
      <c r="N364" s="60"/>
      <c r="O364" s="60"/>
      <c r="P364" s="60"/>
      <c r="Q364" s="64"/>
      <c r="R364" s="64"/>
      <c r="S364" s="64"/>
      <c r="T364" s="64"/>
      <c r="U364" s="64"/>
      <c r="V364" s="64"/>
      <c r="W364" s="64"/>
      <c r="X364" s="64"/>
      <c r="Y364" s="64"/>
      <c r="Z364" s="64"/>
      <c r="AA364" s="64"/>
      <c r="AB364" s="64"/>
      <c r="AC364" s="64"/>
      <c r="AD364" s="64"/>
      <c r="AE364" s="64"/>
      <c r="AF364" s="64"/>
      <c r="AG364" s="64"/>
      <c r="AH364" s="64"/>
      <c r="AI364" s="64"/>
      <c r="AJ364" s="64"/>
    </row>
    <row r="365">
      <c r="A365" s="64"/>
      <c r="B365" s="64"/>
      <c r="C365" s="64"/>
      <c r="D365" s="64"/>
      <c r="E365" s="64"/>
      <c r="F365" s="64"/>
      <c r="G365" s="64"/>
      <c r="H365" s="64"/>
      <c r="I365" s="64"/>
      <c r="J365" s="64"/>
      <c r="K365" s="64"/>
      <c r="L365" s="64"/>
      <c r="M365" s="60"/>
      <c r="N365" s="60"/>
      <c r="O365" s="60"/>
      <c r="P365" s="60"/>
      <c r="Q365" s="64"/>
      <c r="R365" s="64"/>
      <c r="S365" s="64"/>
      <c r="T365" s="64"/>
      <c r="U365" s="64"/>
      <c r="V365" s="64"/>
      <c r="W365" s="64"/>
      <c r="X365" s="64"/>
      <c r="Y365" s="64"/>
      <c r="Z365" s="64"/>
      <c r="AA365" s="64"/>
      <c r="AB365" s="64"/>
      <c r="AC365" s="64"/>
      <c r="AD365" s="64"/>
      <c r="AE365" s="64"/>
      <c r="AF365" s="64"/>
      <c r="AG365" s="64"/>
      <c r="AH365" s="64"/>
      <c r="AI365" s="64"/>
      <c r="AJ365" s="64"/>
    </row>
    <row r="366">
      <c r="A366" s="64"/>
      <c r="B366" s="64"/>
      <c r="C366" s="64"/>
      <c r="D366" s="64"/>
      <c r="E366" s="64"/>
      <c r="F366" s="64"/>
      <c r="G366" s="64"/>
      <c r="H366" s="64"/>
      <c r="I366" s="64"/>
      <c r="J366" s="64"/>
      <c r="K366" s="64"/>
      <c r="L366" s="64"/>
      <c r="M366" s="60"/>
      <c r="N366" s="60"/>
      <c r="O366" s="60"/>
      <c r="P366" s="60"/>
      <c r="Q366" s="64"/>
      <c r="R366" s="64"/>
      <c r="S366" s="64"/>
      <c r="T366" s="64"/>
      <c r="U366" s="64"/>
      <c r="V366" s="64"/>
      <c r="W366" s="64"/>
      <c r="X366" s="64"/>
      <c r="Y366" s="64"/>
      <c r="Z366" s="64"/>
      <c r="AA366" s="64"/>
      <c r="AB366" s="64"/>
      <c r="AC366" s="64"/>
      <c r="AD366" s="64"/>
      <c r="AE366" s="64"/>
      <c r="AF366" s="64"/>
      <c r="AG366" s="64"/>
      <c r="AH366" s="64"/>
      <c r="AI366" s="64"/>
      <c r="AJ366" s="64"/>
    </row>
    <row r="367">
      <c r="A367" s="64"/>
      <c r="B367" s="64"/>
      <c r="C367" s="64"/>
      <c r="D367" s="64"/>
      <c r="E367" s="64"/>
      <c r="F367" s="64"/>
      <c r="G367" s="64"/>
      <c r="H367" s="64"/>
      <c r="I367" s="64"/>
      <c r="J367" s="64"/>
      <c r="K367" s="64"/>
      <c r="L367" s="64"/>
      <c r="M367" s="60"/>
      <c r="N367" s="60"/>
      <c r="O367" s="60"/>
      <c r="P367" s="60"/>
      <c r="Q367" s="64"/>
      <c r="R367" s="64"/>
      <c r="S367" s="64"/>
      <c r="T367" s="64"/>
      <c r="U367" s="64"/>
      <c r="V367" s="64"/>
      <c r="W367" s="64"/>
      <c r="X367" s="64"/>
      <c r="Y367" s="64"/>
      <c r="Z367" s="64"/>
      <c r="AA367" s="64"/>
      <c r="AB367" s="64"/>
      <c r="AC367" s="64"/>
      <c r="AD367" s="64"/>
      <c r="AE367" s="64"/>
      <c r="AF367" s="64"/>
      <c r="AG367" s="64"/>
      <c r="AH367" s="64"/>
      <c r="AI367" s="64"/>
      <c r="AJ367" s="64"/>
    </row>
    <row r="368">
      <c r="A368" s="64"/>
      <c r="B368" s="64"/>
      <c r="C368" s="64"/>
      <c r="D368" s="64"/>
      <c r="E368" s="64"/>
      <c r="F368" s="64"/>
      <c r="G368" s="64"/>
      <c r="H368" s="64"/>
      <c r="I368" s="64"/>
      <c r="J368" s="64"/>
      <c r="K368" s="64"/>
      <c r="L368" s="64"/>
      <c r="M368" s="60"/>
      <c r="N368" s="60"/>
      <c r="O368" s="60"/>
      <c r="P368" s="60"/>
      <c r="Q368" s="64"/>
      <c r="R368" s="64"/>
      <c r="S368" s="64"/>
      <c r="T368" s="64"/>
      <c r="U368" s="64"/>
      <c r="V368" s="64"/>
      <c r="W368" s="64"/>
      <c r="X368" s="64"/>
      <c r="Y368" s="64"/>
      <c r="Z368" s="64"/>
      <c r="AA368" s="64"/>
      <c r="AB368" s="64"/>
      <c r="AC368" s="64"/>
      <c r="AD368" s="64"/>
      <c r="AE368" s="64"/>
      <c r="AF368" s="64"/>
      <c r="AG368" s="64"/>
      <c r="AH368" s="64"/>
      <c r="AI368" s="64"/>
      <c r="AJ368" s="64"/>
    </row>
    <row r="369">
      <c r="A369" s="64"/>
      <c r="B369" s="64"/>
      <c r="C369" s="64"/>
      <c r="D369" s="64"/>
      <c r="E369" s="64"/>
      <c r="F369" s="64"/>
      <c r="G369" s="64"/>
      <c r="H369" s="64"/>
      <c r="I369" s="64"/>
      <c r="J369" s="64"/>
      <c r="K369" s="64"/>
      <c r="L369" s="64"/>
      <c r="M369" s="60"/>
      <c r="N369" s="60"/>
      <c r="O369" s="60"/>
      <c r="P369" s="60"/>
      <c r="Q369" s="64"/>
      <c r="R369" s="64"/>
      <c r="S369" s="64"/>
      <c r="T369" s="64"/>
      <c r="U369" s="64"/>
      <c r="V369" s="64"/>
      <c r="W369" s="64"/>
      <c r="X369" s="64"/>
      <c r="Y369" s="64"/>
      <c r="Z369" s="64"/>
      <c r="AA369" s="64"/>
      <c r="AB369" s="64"/>
      <c r="AC369" s="64"/>
      <c r="AD369" s="64"/>
      <c r="AE369" s="64"/>
      <c r="AF369" s="64"/>
      <c r="AG369" s="64"/>
      <c r="AH369" s="64"/>
      <c r="AI369" s="64"/>
      <c r="AJ369" s="64"/>
    </row>
    <row r="370">
      <c r="A370" s="64"/>
      <c r="B370" s="64"/>
      <c r="C370" s="64"/>
      <c r="D370" s="64"/>
      <c r="E370" s="64"/>
      <c r="F370" s="64"/>
      <c r="G370" s="64"/>
      <c r="H370" s="64"/>
      <c r="I370" s="64"/>
      <c r="J370" s="64"/>
      <c r="K370" s="64"/>
      <c r="L370" s="64"/>
      <c r="M370" s="60"/>
      <c r="N370" s="60"/>
      <c r="O370" s="60"/>
      <c r="P370" s="60"/>
      <c r="Q370" s="64"/>
      <c r="R370" s="64"/>
      <c r="S370" s="64"/>
      <c r="T370" s="64"/>
      <c r="U370" s="64"/>
      <c r="V370" s="64"/>
      <c r="W370" s="64"/>
      <c r="X370" s="64"/>
      <c r="Y370" s="64"/>
      <c r="Z370" s="64"/>
      <c r="AA370" s="64"/>
      <c r="AB370" s="64"/>
      <c r="AC370" s="64"/>
      <c r="AD370" s="64"/>
      <c r="AE370" s="64"/>
      <c r="AF370" s="64"/>
      <c r="AG370" s="64"/>
      <c r="AH370" s="64"/>
      <c r="AI370" s="64"/>
      <c r="AJ370" s="64"/>
    </row>
    <row r="371">
      <c r="A371" s="64"/>
      <c r="B371" s="64"/>
      <c r="C371" s="64"/>
      <c r="D371" s="64"/>
      <c r="E371" s="64"/>
      <c r="F371" s="64"/>
      <c r="G371" s="64"/>
      <c r="H371" s="64"/>
      <c r="I371" s="64"/>
      <c r="J371" s="64"/>
      <c r="K371" s="64"/>
      <c r="L371" s="64"/>
      <c r="M371" s="60"/>
      <c r="N371" s="60"/>
      <c r="O371" s="60"/>
      <c r="P371" s="60"/>
      <c r="Q371" s="64"/>
      <c r="R371" s="64"/>
      <c r="S371" s="64"/>
      <c r="T371" s="64"/>
      <c r="U371" s="64"/>
      <c r="V371" s="64"/>
      <c r="W371" s="64"/>
      <c r="X371" s="64"/>
      <c r="Y371" s="64"/>
      <c r="Z371" s="64"/>
      <c r="AA371" s="64"/>
      <c r="AB371" s="64"/>
      <c r="AC371" s="64"/>
      <c r="AD371" s="64"/>
      <c r="AE371" s="64"/>
      <c r="AF371" s="64"/>
      <c r="AG371" s="64"/>
      <c r="AH371" s="64"/>
      <c r="AI371" s="64"/>
      <c r="AJ371" s="64"/>
    </row>
    <row r="372">
      <c r="A372" s="64"/>
      <c r="B372" s="64"/>
      <c r="C372" s="64"/>
      <c r="D372" s="64"/>
      <c r="E372" s="64"/>
      <c r="F372" s="64"/>
      <c r="G372" s="64"/>
      <c r="H372" s="64"/>
      <c r="I372" s="64"/>
      <c r="J372" s="64"/>
      <c r="K372" s="64"/>
      <c r="L372" s="64"/>
      <c r="M372" s="60"/>
      <c r="N372" s="60"/>
      <c r="O372" s="60"/>
      <c r="P372" s="60"/>
      <c r="Q372" s="64"/>
      <c r="R372" s="64"/>
      <c r="S372" s="64"/>
      <c r="T372" s="64"/>
      <c r="U372" s="64"/>
      <c r="V372" s="64"/>
      <c r="W372" s="64"/>
      <c r="X372" s="64"/>
      <c r="Y372" s="64"/>
      <c r="Z372" s="64"/>
      <c r="AA372" s="64"/>
      <c r="AB372" s="64"/>
      <c r="AC372" s="64"/>
      <c r="AD372" s="64"/>
      <c r="AE372" s="64"/>
      <c r="AF372" s="64"/>
      <c r="AG372" s="64"/>
      <c r="AH372" s="64"/>
      <c r="AI372" s="64"/>
      <c r="AJ372" s="64"/>
    </row>
    <row r="373">
      <c r="A373" s="64"/>
      <c r="B373" s="64"/>
      <c r="C373" s="64"/>
      <c r="D373" s="64"/>
      <c r="E373" s="64"/>
      <c r="F373" s="64"/>
      <c r="G373" s="64"/>
      <c r="H373" s="64"/>
      <c r="I373" s="64"/>
      <c r="J373" s="64"/>
      <c r="K373" s="64"/>
      <c r="L373" s="64"/>
      <c r="M373" s="60"/>
      <c r="N373" s="60"/>
      <c r="O373" s="60"/>
      <c r="P373" s="60"/>
      <c r="Q373" s="64"/>
      <c r="R373" s="64"/>
      <c r="S373" s="64"/>
      <c r="T373" s="64"/>
      <c r="U373" s="64"/>
      <c r="V373" s="64"/>
      <c r="W373" s="64"/>
      <c r="X373" s="64"/>
      <c r="Y373" s="64"/>
      <c r="Z373" s="64"/>
      <c r="AA373" s="64"/>
      <c r="AB373" s="64"/>
      <c r="AC373" s="64"/>
      <c r="AD373" s="64"/>
      <c r="AE373" s="64"/>
      <c r="AF373" s="64"/>
      <c r="AG373" s="64"/>
      <c r="AH373" s="64"/>
      <c r="AI373" s="64"/>
      <c r="AJ373" s="64"/>
    </row>
    <row r="374">
      <c r="A374" s="64"/>
      <c r="B374" s="64"/>
      <c r="C374" s="64"/>
      <c r="D374" s="64"/>
      <c r="E374" s="64"/>
      <c r="F374" s="64"/>
      <c r="G374" s="64"/>
      <c r="H374" s="64"/>
      <c r="I374" s="64"/>
      <c r="J374" s="64"/>
      <c r="K374" s="64"/>
      <c r="L374" s="64"/>
      <c r="M374" s="60"/>
      <c r="N374" s="60"/>
      <c r="O374" s="60"/>
      <c r="P374" s="60"/>
      <c r="Q374" s="64"/>
      <c r="R374" s="64"/>
      <c r="S374" s="64"/>
      <c r="T374" s="64"/>
      <c r="U374" s="64"/>
      <c r="V374" s="64"/>
      <c r="W374" s="64"/>
      <c r="X374" s="64"/>
      <c r="Y374" s="64"/>
      <c r="Z374" s="64"/>
      <c r="AA374" s="64"/>
      <c r="AB374" s="64"/>
      <c r="AC374" s="64"/>
      <c r="AD374" s="64"/>
      <c r="AE374" s="64"/>
      <c r="AF374" s="64"/>
      <c r="AG374" s="64"/>
      <c r="AH374" s="64"/>
      <c r="AI374" s="64"/>
      <c r="AJ374" s="64"/>
    </row>
    <row r="375">
      <c r="A375" s="64"/>
      <c r="B375" s="64"/>
      <c r="C375" s="64"/>
      <c r="D375" s="64"/>
      <c r="E375" s="64"/>
      <c r="F375" s="64"/>
      <c r="G375" s="64"/>
      <c r="H375" s="64"/>
      <c r="I375" s="64"/>
      <c r="J375" s="64"/>
      <c r="K375" s="64"/>
      <c r="L375" s="64"/>
      <c r="M375" s="60"/>
      <c r="N375" s="60"/>
      <c r="O375" s="60"/>
      <c r="P375" s="60"/>
      <c r="Q375" s="64"/>
      <c r="R375" s="64"/>
      <c r="S375" s="64"/>
      <c r="T375" s="64"/>
      <c r="U375" s="64"/>
      <c r="V375" s="64"/>
      <c r="W375" s="64"/>
      <c r="X375" s="64"/>
      <c r="Y375" s="64"/>
      <c r="Z375" s="64"/>
      <c r="AA375" s="64"/>
      <c r="AB375" s="64"/>
      <c r="AC375" s="64"/>
      <c r="AD375" s="64"/>
      <c r="AE375" s="64"/>
      <c r="AF375" s="64"/>
      <c r="AG375" s="64"/>
      <c r="AH375" s="64"/>
      <c r="AI375" s="64"/>
      <c r="AJ375" s="64"/>
    </row>
    <row r="376">
      <c r="A376" s="64"/>
      <c r="B376" s="64"/>
      <c r="C376" s="64"/>
      <c r="D376" s="64"/>
      <c r="E376" s="64"/>
      <c r="F376" s="64"/>
      <c r="G376" s="64"/>
      <c r="H376" s="64"/>
      <c r="I376" s="64"/>
      <c r="J376" s="64"/>
      <c r="K376" s="64"/>
      <c r="L376" s="64"/>
      <c r="M376" s="60"/>
      <c r="N376" s="60"/>
      <c r="O376" s="60"/>
      <c r="P376" s="60"/>
      <c r="Q376" s="64"/>
      <c r="R376" s="64"/>
      <c r="S376" s="64"/>
      <c r="T376" s="64"/>
      <c r="U376" s="64"/>
      <c r="V376" s="64"/>
      <c r="W376" s="64"/>
      <c r="X376" s="64"/>
      <c r="Y376" s="64"/>
      <c r="Z376" s="64"/>
      <c r="AA376" s="64"/>
      <c r="AB376" s="64"/>
      <c r="AC376" s="64"/>
      <c r="AD376" s="64"/>
      <c r="AE376" s="64"/>
      <c r="AF376" s="64"/>
      <c r="AG376" s="64"/>
      <c r="AH376" s="64"/>
      <c r="AI376" s="64"/>
      <c r="AJ376" s="64"/>
    </row>
    <row r="377">
      <c r="A377" s="64"/>
      <c r="B377" s="64"/>
      <c r="C377" s="64"/>
      <c r="D377" s="64"/>
      <c r="E377" s="64"/>
      <c r="F377" s="64"/>
      <c r="G377" s="64"/>
      <c r="H377" s="64"/>
      <c r="I377" s="64"/>
      <c r="J377" s="64"/>
      <c r="K377" s="64"/>
      <c r="L377" s="64"/>
      <c r="M377" s="60"/>
      <c r="N377" s="60"/>
      <c r="O377" s="60"/>
      <c r="P377" s="60"/>
      <c r="Q377" s="64"/>
      <c r="R377" s="64"/>
      <c r="S377" s="64"/>
      <c r="T377" s="64"/>
      <c r="U377" s="64"/>
      <c r="V377" s="64"/>
      <c r="W377" s="64"/>
      <c r="X377" s="64"/>
      <c r="Y377" s="64"/>
      <c r="Z377" s="64"/>
      <c r="AA377" s="64"/>
      <c r="AB377" s="64"/>
      <c r="AC377" s="64"/>
      <c r="AD377" s="64"/>
      <c r="AE377" s="64"/>
      <c r="AF377" s="64"/>
      <c r="AG377" s="64"/>
      <c r="AH377" s="64"/>
      <c r="AI377" s="64"/>
      <c r="AJ377" s="64"/>
    </row>
    <row r="378">
      <c r="A378" s="64"/>
      <c r="B378" s="64"/>
      <c r="C378" s="64"/>
      <c r="D378" s="64"/>
      <c r="E378" s="64"/>
      <c r="F378" s="64"/>
      <c r="G378" s="64"/>
      <c r="H378" s="64"/>
      <c r="I378" s="64"/>
      <c r="J378" s="64"/>
      <c r="K378" s="64"/>
      <c r="L378" s="64"/>
      <c r="M378" s="60"/>
      <c r="N378" s="60"/>
      <c r="O378" s="60"/>
      <c r="P378" s="60"/>
      <c r="Q378" s="64"/>
      <c r="R378" s="64"/>
      <c r="S378" s="64"/>
      <c r="T378" s="64"/>
      <c r="U378" s="64"/>
      <c r="V378" s="64"/>
      <c r="W378" s="64"/>
      <c r="X378" s="64"/>
      <c r="Y378" s="64"/>
      <c r="Z378" s="64"/>
      <c r="AA378" s="64"/>
      <c r="AB378" s="64"/>
      <c r="AC378" s="64"/>
      <c r="AD378" s="64"/>
      <c r="AE378" s="64"/>
      <c r="AF378" s="64"/>
      <c r="AG378" s="64"/>
      <c r="AH378" s="64"/>
      <c r="AI378" s="64"/>
      <c r="AJ378" s="64"/>
    </row>
    <row r="379">
      <c r="A379" s="64"/>
      <c r="B379" s="64"/>
      <c r="C379" s="64"/>
      <c r="D379" s="64"/>
      <c r="E379" s="64"/>
      <c r="F379" s="64"/>
      <c r="G379" s="64"/>
      <c r="H379" s="64"/>
      <c r="I379" s="64"/>
      <c r="J379" s="64"/>
      <c r="K379" s="64"/>
      <c r="L379" s="64"/>
      <c r="M379" s="60"/>
      <c r="N379" s="60"/>
      <c r="O379" s="60"/>
      <c r="P379" s="60"/>
      <c r="Q379" s="64"/>
      <c r="R379" s="64"/>
      <c r="S379" s="64"/>
      <c r="T379" s="64"/>
      <c r="U379" s="64"/>
      <c r="V379" s="64"/>
      <c r="W379" s="64"/>
      <c r="X379" s="64"/>
      <c r="Y379" s="64"/>
      <c r="Z379" s="64"/>
      <c r="AA379" s="64"/>
      <c r="AB379" s="64"/>
      <c r="AC379" s="64"/>
      <c r="AD379" s="64"/>
      <c r="AE379" s="64"/>
      <c r="AF379" s="64"/>
      <c r="AG379" s="64"/>
      <c r="AH379" s="64"/>
      <c r="AI379" s="64"/>
      <c r="AJ379" s="64"/>
    </row>
    <row r="380">
      <c r="A380" s="64"/>
      <c r="B380" s="64"/>
      <c r="C380" s="64"/>
      <c r="D380" s="64"/>
      <c r="E380" s="64"/>
      <c r="F380" s="64"/>
      <c r="G380" s="64"/>
      <c r="H380" s="64"/>
      <c r="I380" s="64"/>
      <c r="J380" s="64"/>
      <c r="K380" s="64"/>
      <c r="L380" s="64"/>
      <c r="M380" s="60"/>
      <c r="N380" s="60"/>
      <c r="O380" s="60"/>
      <c r="P380" s="60"/>
      <c r="Q380" s="64"/>
      <c r="R380" s="64"/>
      <c r="S380" s="64"/>
      <c r="T380" s="64"/>
      <c r="U380" s="64"/>
      <c r="V380" s="64"/>
      <c r="W380" s="64"/>
      <c r="X380" s="64"/>
      <c r="Y380" s="64"/>
      <c r="Z380" s="64"/>
      <c r="AA380" s="64"/>
      <c r="AB380" s="64"/>
      <c r="AC380" s="64"/>
      <c r="AD380" s="64"/>
      <c r="AE380" s="64"/>
      <c r="AF380" s="64"/>
      <c r="AG380" s="64"/>
      <c r="AH380" s="64"/>
      <c r="AI380" s="64"/>
      <c r="AJ380" s="64"/>
    </row>
    <row r="381">
      <c r="A381" s="64"/>
      <c r="B381" s="64"/>
      <c r="C381" s="64"/>
      <c r="D381" s="64"/>
      <c r="E381" s="64"/>
      <c r="F381" s="64"/>
      <c r="G381" s="64"/>
      <c r="H381" s="64"/>
      <c r="I381" s="64"/>
      <c r="J381" s="64"/>
      <c r="K381" s="64"/>
      <c r="L381" s="64"/>
      <c r="M381" s="60"/>
      <c r="N381" s="60"/>
      <c r="O381" s="60"/>
      <c r="P381" s="60"/>
      <c r="Q381" s="64"/>
      <c r="R381" s="64"/>
      <c r="S381" s="64"/>
      <c r="T381" s="64"/>
      <c r="U381" s="64"/>
      <c r="V381" s="64"/>
      <c r="W381" s="64"/>
      <c r="X381" s="64"/>
      <c r="Y381" s="64"/>
      <c r="Z381" s="64"/>
      <c r="AA381" s="64"/>
      <c r="AB381" s="64"/>
      <c r="AC381" s="64"/>
      <c r="AD381" s="64"/>
      <c r="AE381" s="64"/>
      <c r="AF381" s="64"/>
      <c r="AG381" s="64"/>
      <c r="AH381" s="64"/>
      <c r="AI381" s="64"/>
      <c r="AJ381" s="64"/>
    </row>
    <row r="382">
      <c r="A382" s="64"/>
      <c r="B382" s="64"/>
      <c r="C382" s="64"/>
      <c r="D382" s="64"/>
      <c r="E382" s="64"/>
      <c r="F382" s="64"/>
      <c r="G382" s="64"/>
      <c r="H382" s="64"/>
      <c r="I382" s="64"/>
      <c r="J382" s="64"/>
      <c r="K382" s="64"/>
      <c r="L382" s="64"/>
      <c r="M382" s="60"/>
      <c r="N382" s="60"/>
      <c r="O382" s="60"/>
      <c r="P382" s="60"/>
      <c r="Q382" s="64"/>
      <c r="R382" s="64"/>
      <c r="S382" s="64"/>
      <c r="T382" s="64"/>
      <c r="U382" s="64"/>
      <c r="V382" s="64"/>
      <c r="W382" s="64"/>
      <c r="X382" s="64"/>
      <c r="Y382" s="64"/>
      <c r="Z382" s="64"/>
      <c r="AA382" s="64"/>
      <c r="AB382" s="64"/>
      <c r="AC382" s="64"/>
      <c r="AD382" s="64"/>
      <c r="AE382" s="64"/>
      <c r="AF382" s="64"/>
      <c r="AG382" s="64"/>
      <c r="AH382" s="64"/>
      <c r="AI382" s="64"/>
      <c r="AJ382" s="64"/>
    </row>
    <row r="383">
      <c r="A383" s="64"/>
      <c r="B383" s="64"/>
      <c r="C383" s="64"/>
      <c r="D383" s="64"/>
      <c r="E383" s="64"/>
      <c r="F383" s="64"/>
      <c r="G383" s="64"/>
      <c r="H383" s="64"/>
      <c r="I383" s="64"/>
      <c r="J383" s="64"/>
      <c r="K383" s="64"/>
      <c r="L383" s="64"/>
      <c r="M383" s="60"/>
      <c r="N383" s="60"/>
      <c r="O383" s="60"/>
      <c r="P383" s="60"/>
      <c r="Q383" s="64"/>
      <c r="R383" s="64"/>
      <c r="S383" s="64"/>
      <c r="T383" s="64"/>
      <c r="U383" s="64"/>
      <c r="V383" s="64"/>
      <c r="W383" s="64"/>
      <c r="X383" s="64"/>
      <c r="Y383" s="64"/>
      <c r="Z383" s="64"/>
      <c r="AA383" s="64"/>
      <c r="AB383" s="64"/>
      <c r="AC383" s="64"/>
      <c r="AD383" s="64"/>
      <c r="AE383" s="64"/>
      <c r="AF383" s="64"/>
      <c r="AG383" s="64"/>
      <c r="AH383" s="64"/>
      <c r="AI383" s="64"/>
      <c r="AJ383" s="64"/>
    </row>
    <row r="384">
      <c r="A384" s="64"/>
      <c r="B384" s="64"/>
      <c r="C384" s="64"/>
      <c r="D384" s="64"/>
      <c r="E384" s="64"/>
      <c r="F384" s="64"/>
      <c r="G384" s="64"/>
      <c r="H384" s="64"/>
      <c r="I384" s="64"/>
      <c r="J384" s="64"/>
      <c r="K384" s="64"/>
      <c r="L384" s="64"/>
      <c r="M384" s="60"/>
      <c r="N384" s="60"/>
      <c r="O384" s="60"/>
      <c r="P384" s="60"/>
      <c r="Q384" s="64"/>
      <c r="R384" s="64"/>
      <c r="S384" s="64"/>
      <c r="T384" s="64"/>
      <c r="U384" s="64"/>
      <c r="V384" s="64"/>
      <c r="W384" s="64"/>
      <c r="X384" s="64"/>
      <c r="Y384" s="64"/>
      <c r="Z384" s="64"/>
      <c r="AA384" s="64"/>
      <c r="AB384" s="64"/>
      <c r="AC384" s="64"/>
      <c r="AD384" s="64"/>
      <c r="AE384" s="64"/>
      <c r="AF384" s="64"/>
      <c r="AG384" s="64"/>
      <c r="AH384" s="64"/>
      <c r="AI384" s="64"/>
      <c r="AJ384" s="64"/>
    </row>
    <row r="385">
      <c r="A385" s="64"/>
      <c r="B385" s="64"/>
      <c r="C385" s="64"/>
      <c r="D385" s="64"/>
      <c r="E385" s="64"/>
      <c r="F385" s="64"/>
      <c r="G385" s="64"/>
      <c r="H385" s="64"/>
      <c r="I385" s="64"/>
      <c r="J385" s="64"/>
      <c r="K385" s="64"/>
      <c r="L385" s="64"/>
      <c r="M385" s="60"/>
      <c r="N385" s="60"/>
      <c r="O385" s="60"/>
      <c r="P385" s="60"/>
      <c r="Q385" s="64"/>
      <c r="R385" s="64"/>
      <c r="S385" s="64"/>
      <c r="T385" s="64"/>
      <c r="U385" s="64"/>
      <c r="V385" s="64"/>
      <c r="W385" s="64"/>
      <c r="X385" s="64"/>
      <c r="Y385" s="64"/>
      <c r="Z385" s="64"/>
      <c r="AA385" s="64"/>
      <c r="AB385" s="64"/>
      <c r="AC385" s="64"/>
      <c r="AD385" s="64"/>
      <c r="AE385" s="64"/>
      <c r="AF385" s="64"/>
      <c r="AG385" s="64"/>
      <c r="AH385" s="64"/>
      <c r="AI385" s="64"/>
      <c r="AJ385" s="64"/>
    </row>
    <row r="386">
      <c r="A386" s="64"/>
      <c r="B386" s="64"/>
      <c r="C386" s="64"/>
      <c r="D386" s="64"/>
      <c r="E386" s="64"/>
      <c r="F386" s="64"/>
      <c r="G386" s="64"/>
      <c r="H386" s="64"/>
      <c r="I386" s="64"/>
      <c r="J386" s="64"/>
      <c r="K386" s="64"/>
      <c r="L386" s="64"/>
      <c r="M386" s="60"/>
      <c r="N386" s="60"/>
      <c r="O386" s="60"/>
      <c r="P386" s="60"/>
      <c r="Q386" s="64"/>
      <c r="R386" s="64"/>
      <c r="S386" s="64"/>
      <c r="T386" s="64"/>
      <c r="U386" s="64"/>
      <c r="V386" s="64"/>
      <c r="W386" s="64"/>
      <c r="X386" s="64"/>
      <c r="Y386" s="64"/>
      <c r="Z386" s="64"/>
      <c r="AA386" s="64"/>
      <c r="AB386" s="64"/>
      <c r="AC386" s="64"/>
      <c r="AD386" s="64"/>
      <c r="AE386" s="64"/>
      <c r="AF386" s="64"/>
      <c r="AG386" s="64"/>
      <c r="AH386" s="64"/>
      <c r="AI386" s="64"/>
      <c r="AJ386" s="64"/>
    </row>
    <row r="387">
      <c r="A387" s="64"/>
      <c r="B387" s="64"/>
      <c r="C387" s="64"/>
      <c r="D387" s="64"/>
      <c r="E387" s="64"/>
      <c r="F387" s="64"/>
      <c r="G387" s="64"/>
      <c r="H387" s="64"/>
      <c r="I387" s="64"/>
      <c r="J387" s="64"/>
      <c r="K387" s="64"/>
      <c r="L387" s="64"/>
      <c r="M387" s="60"/>
      <c r="N387" s="60"/>
      <c r="O387" s="60"/>
      <c r="P387" s="60"/>
      <c r="Q387" s="64"/>
      <c r="R387" s="64"/>
      <c r="S387" s="64"/>
      <c r="T387" s="64"/>
      <c r="U387" s="64"/>
      <c r="V387" s="64"/>
      <c r="W387" s="64"/>
      <c r="X387" s="64"/>
      <c r="Y387" s="64"/>
      <c r="Z387" s="64"/>
      <c r="AA387" s="64"/>
      <c r="AB387" s="64"/>
      <c r="AC387" s="64"/>
      <c r="AD387" s="64"/>
      <c r="AE387" s="64"/>
      <c r="AF387" s="64"/>
      <c r="AG387" s="64"/>
      <c r="AH387" s="64"/>
      <c r="AI387" s="64"/>
      <c r="AJ387" s="64"/>
    </row>
    <row r="388">
      <c r="A388" s="64"/>
      <c r="B388" s="64"/>
      <c r="C388" s="64"/>
      <c r="D388" s="64"/>
      <c r="E388" s="64"/>
      <c r="F388" s="64"/>
      <c r="G388" s="64"/>
      <c r="H388" s="64"/>
      <c r="I388" s="64"/>
      <c r="J388" s="64"/>
      <c r="K388" s="64"/>
      <c r="L388" s="64"/>
      <c r="M388" s="60"/>
      <c r="N388" s="60"/>
      <c r="O388" s="60"/>
      <c r="P388" s="60"/>
      <c r="Q388" s="64"/>
      <c r="R388" s="64"/>
      <c r="S388" s="64"/>
      <c r="T388" s="64"/>
      <c r="U388" s="64"/>
      <c r="V388" s="64"/>
      <c r="W388" s="64"/>
      <c r="X388" s="64"/>
      <c r="Y388" s="64"/>
      <c r="Z388" s="64"/>
      <c r="AA388" s="64"/>
      <c r="AB388" s="64"/>
      <c r="AC388" s="64"/>
      <c r="AD388" s="64"/>
      <c r="AE388" s="64"/>
      <c r="AF388" s="64"/>
      <c r="AG388" s="64"/>
      <c r="AH388" s="64"/>
      <c r="AI388" s="64"/>
      <c r="AJ388" s="64"/>
    </row>
    <row r="389">
      <c r="A389" s="64"/>
      <c r="B389" s="64"/>
      <c r="C389" s="64"/>
      <c r="D389" s="64"/>
      <c r="E389" s="64"/>
      <c r="F389" s="64"/>
      <c r="G389" s="64"/>
      <c r="H389" s="64"/>
      <c r="I389" s="64"/>
      <c r="J389" s="64"/>
      <c r="K389" s="64"/>
      <c r="L389" s="64"/>
      <c r="M389" s="60"/>
      <c r="N389" s="60"/>
      <c r="O389" s="60"/>
      <c r="P389" s="60"/>
      <c r="Q389" s="64"/>
      <c r="R389" s="64"/>
      <c r="S389" s="64"/>
      <c r="T389" s="64"/>
      <c r="U389" s="64"/>
      <c r="V389" s="64"/>
      <c r="W389" s="64"/>
      <c r="X389" s="64"/>
      <c r="Y389" s="64"/>
      <c r="Z389" s="64"/>
      <c r="AA389" s="64"/>
      <c r="AB389" s="64"/>
      <c r="AC389" s="64"/>
      <c r="AD389" s="64"/>
      <c r="AE389" s="64"/>
      <c r="AF389" s="64"/>
      <c r="AG389" s="64"/>
      <c r="AH389" s="64"/>
      <c r="AI389" s="64"/>
      <c r="AJ389" s="64"/>
    </row>
    <row r="390">
      <c r="A390" s="64"/>
      <c r="B390" s="64"/>
      <c r="C390" s="64"/>
      <c r="D390" s="64"/>
      <c r="E390" s="64"/>
      <c r="F390" s="64"/>
      <c r="G390" s="64"/>
      <c r="H390" s="64"/>
      <c r="I390" s="64"/>
      <c r="J390" s="64"/>
      <c r="K390" s="64"/>
      <c r="L390" s="64"/>
      <c r="M390" s="60"/>
      <c r="N390" s="60"/>
      <c r="O390" s="60"/>
      <c r="P390" s="60"/>
      <c r="Q390" s="64"/>
      <c r="R390" s="64"/>
      <c r="S390" s="64"/>
      <c r="T390" s="64"/>
      <c r="U390" s="64"/>
      <c r="V390" s="64"/>
      <c r="W390" s="64"/>
      <c r="X390" s="64"/>
      <c r="Y390" s="64"/>
      <c r="Z390" s="64"/>
      <c r="AA390" s="64"/>
      <c r="AB390" s="64"/>
      <c r="AC390" s="64"/>
      <c r="AD390" s="64"/>
      <c r="AE390" s="64"/>
      <c r="AF390" s="64"/>
      <c r="AG390" s="64"/>
      <c r="AH390" s="64"/>
      <c r="AI390" s="64"/>
      <c r="AJ390" s="64"/>
    </row>
    <row r="391">
      <c r="A391" s="64"/>
      <c r="B391" s="64"/>
      <c r="C391" s="64"/>
      <c r="D391" s="64"/>
      <c r="E391" s="64"/>
      <c r="F391" s="64"/>
      <c r="G391" s="64"/>
      <c r="H391" s="64"/>
      <c r="I391" s="64"/>
      <c r="J391" s="64"/>
      <c r="K391" s="64"/>
      <c r="L391" s="64"/>
      <c r="M391" s="60"/>
      <c r="N391" s="60"/>
      <c r="O391" s="60"/>
      <c r="P391" s="60"/>
      <c r="Q391" s="64"/>
      <c r="R391" s="64"/>
      <c r="S391" s="64"/>
      <c r="T391" s="64"/>
      <c r="U391" s="64"/>
      <c r="V391" s="64"/>
      <c r="W391" s="64"/>
      <c r="X391" s="64"/>
      <c r="Y391" s="64"/>
      <c r="Z391" s="64"/>
      <c r="AA391" s="64"/>
      <c r="AB391" s="64"/>
      <c r="AC391" s="64"/>
      <c r="AD391" s="64"/>
      <c r="AE391" s="64"/>
      <c r="AF391" s="64"/>
      <c r="AG391" s="64"/>
      <c r="AH391" s="64"/>
      <c r="AI391" s="64"/>
      <c r="AJ391" s="64"/>
    </row>
    <row r="392">
      <c r="A392" s="64"/>
      <c r="B392" s="64"/>
      <c r="C392" s="64"/>
      <c r="D392" s="64"/>
      <c r="E392" s="64"/>
      <c r="F392" s="64"/>
      <c r="G392" s="64"/>
      <c r="H392" s="64"/>
      <c r="I392" s="64"/>
      <c r="J392" s="64"/>
      <c r="K392" s="64"/>
      <c r="L392" s="64"/>
      <c r="M392" s="60"/>
      <c r="N392" s="60"/>
      <c r="O392" s="60"/>
      <c r="P392" s="60"/>
      <c r="Q392" s="64"/>
      <c r="R392" s="64"/>
      <c r="S392" s="64"/>
      <c r="T392" s="64"/>
      <c r="U392" s="64"/>
      <c r="V392" s="64"/>
      <c r="W392" s="64"/>
      <c r="X392" s="64"/>
      <c r="Y392" s="64"/>
      <c r="Z392" s="64"/>
      <c r="AA392" s="64"/>
      <c r="AB392" s="64"/>
      <c r="AC392" s="64"/>
      <c r="AD392" s="64"/>
      <c r="AE392" s="64"/>
      <c r="AF392" s="64"/>
      <c r="AG392" s="64"/>
      <c r="AH392" s="64"/>
      <c r="AI392" s="64"/>
      <c r="AJ392" s="64"/>
    </row>
    <row r="393">
      <c r="A393" s="64"/>
      <c r="B393" s="64"/>
      <c r="C393" s="64"/>
      <c r="D393" s="64"/>
      <c r="E393" s="64"/>
      <c r="F393" s="64"/>
      <c r="G393" s="64"/>
      <c r="H393" s="64"/>
      <c r="I393" s="64"/>
      <c r="J393" s="64"/>
      <c r="K393" s="64"/>
      <c r="L393" s="64"/>
      <c r="M393" s="60"/>
      <c r="N393" s="60"/>
      <c r="O393" s="60"/>
      <c r="P393" s="60"/>
      <c r="Q393" s="64"/>
      <c r="R393" s="64"/>
      <c r="S393" s="64"/>
      <c r="T393" s="64"/>
      <c r="U393" s="64"/>
      <c r="V393" s="64"/>
      <c r="W393" s="64"/>
      <c r="X393" s="64"/>
      <c r="Y393" s="64"/>
      <c r="Z393" s="64"/>
      <c r="AA393" s="64"/>
      <c r="AB393" s="64"/>
      <c r="AC393" s="64"/>
      <c r="AD393" s="64"/>
      <c r="AE393" s="64"/>
      <c r="AF393" s="64"/>
      <c r="AG393" s="64"/>
      <c r="AH393" s="64"/>
      <c r="AI393" s="64"/>
      <c r="AJ393" s="64"/>
    </row>
    <row r="394">
      <c r="A394" s="64"/>
      <c r="B394" s="64"/>
      <c r="C394" s="64"/>
      <c r="D394" s="64"/>
      <c r="E394" s="64"/>
      <c r="F394" s="64"/>
      <c r="G394" s="64"/>
      <c r="H394" s="64"/>
      <c r="I394" s="64"/>
      <c r="J394" s="64"/>
      <c r="K394" s="64"/>
      <c r="L394" s="64"/>
      <c r="M394" s="60"/>
      <c r="N394" s="60"/>
      <c r="O394" s="60"/>
      <c r="P394" s="60"/>
      <c r="Q394" s="64"/>
      <c r="R394" s="64"/>
      <c r="S394" s="64"/>
      <c r="T394" s="64"/>
      <c r="U394" s="64"/>
      <c r="V394" s="64"/>
      <c r="W394" s="64"/>
      <c r="X394" s="64"/>
      <c r="Y394" s="64"/>
      <c r="Z394" s="64"/>
      <c r="AA394" s="64"/>
      <c r="AB394" s="64"/>
      <c r="AC394" s="64"/>
      <c r="AD394" s="64"/>
      <c r="AE394" s="64"/>
      <c r="AF394" s="64"/>
      <c r="AG394" s="64"/>
      <c r="AH394" s="64"/>
      <c r="AI394" s="64"/>
      <c r="AJ394" s="64"/>
    </row>
    <row r="395">
      <c r="A395" s="64"/>
      <c r="B395" s="64"/>
      <c r="C395" s="64"/>
      <c r="D395" s="64"/>
      <c r="E395" s="64"/>
      <c r="F395" s="64"/>
      <c r="G395" s="64"/>
      <c r="H395" s="64"/>
      <c r="I395" s="64"/>
      <c r="J395" s="64"/>
      <c r="K395" s="64"/>
      <c r="L395" s="64"/>
      <c r="M395" s="60"/>
      <c r="N395" s="60"/>
      <c r="O395" s="60"/>
      <c r="P395" s="60"/>
      <c r="Q395" s="64"/>
      <c r="R395" s="64"/>
      <c r="S395" s="64"/>
      <c r="T395" s="64"/>
      <c r="U395" s="64"/>
      <c r="V395" s="64"/>
      <c r="W395" s="64"/>
      <c r="X395" s="64"/>
      <c r="Y395" s="64"/>
      <c r="Z395" s="64"/>
      <c r="AA395" s="64"/>
      <c r="AB395" s="64"/>
      <c r="AC395" s="64"/>
      <c r="AD395" s="64"/>
      <c r="AE395" s="64"/>
      <c r="AF395" s="64"/>
      <c r="AG395" s="64"/>
      <c r="AH395" s="64"/>
      <c r="AI395" s="64"/>
      <c r="AJ395" s="64"/>
    </row>
    <row r="396">
      <c r="A396" s="64"/>
      <c r="B396" s="64"/>
      <c r="C396" s="64"/>
      <c r="D396" s="64"/>
      <c r="E396" s="64"/>
      <c r="F396" s="64"/>
      <c r="G396" s="64"/>
      <c r="H396" s="64"/>
      <c r="I396" s="64"/>
      <c r="J396" s="64"/>
      <c r="K396" s="64"/>
      <c r="L396" s="64"/>
      <c r="M396" s="60"/>
      <c r="N396" s="60"/>
      <c r="O396" s="60"/>
      <c r="P396" s="60"/>
      <c r="Q396" s="64"/>
      <c r="R396" s="64"/>
      <c r="S396" s="64"/>
      <c r="T396" s="64"/>
      <c r="U396" s="64"/>
      <c r="V396" s="64"/>
      <c r="W396" s="64"/>
      <c r="X396" s="64"/>
      <c r="Y396" s="64"/>
      <c r="Z396" s="64"/>
      <c r="AA396" s="64"/>
      <c r="AB396" s="64"/>
      <c r="AC396" s="64"/>
      <c r="AD396" s="64"/>
      <c r="AE396" s="64"/>
      <c r="AF396" s="64"/>
      <c r="AG396" s="64"/>
      <c r="AH396" s="64"/>
      <c r="AI396" s="64"/>
      <c r="AJ396" s="64"/>
    </row>
    <row r="397">
      <c r="A397" s="64"/>
      <c r="B397" s="64"/>
      <c r="C397" s="64"/>
      <c r="D397" s="64"/>
      <c r="E397" s="64"/>
      <c r="F397" s="64"/>
      <c r="G397" s="64"/>
      <c r="H397" s="64"/>
      <c r="I397" s="64"/>
      <c r="J397" s="64"/>
      <c r="K397" s="64"/>
      <c r="L397" s="64"/>
      <c r="M397" s="60"/>
      <c r="N397" s="60"/>
      <c r="O397" s="60"/>
      <c r="P397" s="60"/>
      <c r="Q397" s="64"/>
      <c r="R397" s="64"/>
      <c r="S397" s="64"/>
      <c r="T397" s="64"/>
      <c r="U397" s="64"/>
      <c r="V397" s="64"/>
      <c r="W397" s="64"/>
      <c r="X397" s="64"/>
      <c r="Y397" s="64"/>
      <c r="Z397" s="64"/>
      <c r="AA397" s="64"/>
      <c r="AB397" s="64"/>
      <c r="AC397" s="64"/>
      <c r="AD397" s="64"/>
      <c r="AE397" s="64"/>
      <c r="AF397" s="64"/>
      <c r="AG397" s="64"/>
      <c r="AH397" s="64"/>
      <c r="AI397" s="64"/>
      <c r="AJ397" s="64"/>
    </row>
    <row r="398">
      <c r="A398" s="64"/>
      <c r="B398" s="64"/>
      <c r="C398" s="64"/>
      <c r="D398" s="64"/>
      <c r="E398" s="64"/>
      <c r="F398" s="64"/>
      <c r="G398" s="64"/>
      <c r="H398" s="64"/>
      <c r="I398" s="64"/>
      <c r="J398" s="64"/>
      <c r="K398" s="64"/>
      <c r="L398" s="64"/>
      <c r="M398" s="60"/>
      <c r="N398" s="60"/>
      <c r="O398" s="60"/>
      <c r="P398" s="60"/>
      <c r="Q398" s="64"/>
      <c r="R398" s="64"/>
      <c r="S398" s="64"/>
      <c r="T398" s="64"/>
      <c r="U398" s="64"/>
      <c r="V398" s="64"/>
      <c r="W398" s="64"/>
      <c r="X398" s="64"/>
      <c r="Y398" s="64"/>
      <c r="Z398" s="64"/>
      <c r="AA398" s="64"/>
      <c r="AB398" s="64"/>
      <c r="AC398" s="64"/>
      <c r="AD398" s="64"/>
      <c r="AE398" s="64"/>
      <c r="AF398" s="64"/>
      <c r="AG398" s="64"/>
      <c r="AH398" s="64"/>
      <c r="AI398" s="64"/>
      <c r="AJ398" s="64"/>
    </row>
    <row r="399">
      <c r="A399" s="64"/>
      <c r="B399" s="64"/>
      <c r="C399" s="64"/>
      <c r="D399" s="64"/>
      <c r="E399" s="64"/>
      <c r="F399" s="64"/>
      <c r="G399" s="64"/>
      <c r="H399" s="64"/>
      <c r="I399" s="64"/>
      <c r="J399" s="64"/>
      <c r="K399" s="64"/>
      <c r="L399" s="64"/>
      <c r="M399" s="60"/>
      <c r="N399" s="60"/>
      <c r="O399" s="60"/>
      <c r="P399" s="60"/>
      <c r="Q399" s="64"/>
      <c r="R399" s="64"/>
      <c r="S399" s="64"/>
      <c r="T399" s="64"/>
      <c r="U399" s="64"/>
      <c r="V399" s="64"/>
      <c r="W399" s="64"/>
      <c r="X399" s="64"/>
      <c r="Y399" s="64"/>
      <c r="Z399" s="64"/>
      <c r="AA399" s="64"/>
      <c r="AB399" s="64"/>
      <c r="AC399" s="64"/>
      <c r="AD399" s="64"/>
      <c r="AE399" s="64"/>
      <c r="AF399" s="64"/>
      <c r="AG399" s="64"/>
      <c r="AH399" s="64"/>
      <c r="AI399" s="64"/>
      <c r="AJ399" s="64"/>
    </row>
    <row r="400">
      <c r="A400" s="64"/>
      <c r="B400" s="64"/>
      <c r="C400" s="64"/>
      <c r="D400" s="64"/>
      <c r="E400" s="64"/>
      <c r="F400" s="64"/>
      <c r="G400" s="64"/>
      <c r="H400" s="64"/>
      <c r="I400" s="64"/>
      <c r="J400" s="64"/>
      <c r="K400" s="64"/>
      <c r="L400" s="64"/>
      <c r="M400" s="60"/>
      <c r="N400" s="60"/>
      <c r="O400" s="60"/>
      <c r="P400" s="60"/>
      <c r="Q400" s="64"/>
      <c r="R400" s="64"/>
      <c r="S400" s="64"/>
      <c r="T400" s="64"/>
      <c r="U400" s="64"/>
      <c r="V400" s="64"/>
      <c r="W400" s="64"/>
      <c r="X400" s="64"/>
      <c r="Y400" s="64"/>
      <c r="Z400" s="64"/>
      <c r="AA400" s="64"/>
      <c r="AB400" s="64"/>
      <c r="AC400" s="64"/>
      <c r="AD400" s="64"/>
      <c r="AE400" s="64"/>
      <c r="AF400" s="64"/>
      <c r="AG400" s="64"/>
      <c r="AH400" s="64"/>
      <c r="AI400" s="64"/>
      <c r="AJ400" s="64"/>
    </row>
    <row r="401">
      <c r="A401" s="64"/>
      <c r="B401" s="64"/>
      <c r="C401" s="64"/>
      <c r="D401" s="64"/>
      <c r="E401" s="64"/>
      <c r="F401" s="64"/>
      <c r="G401" s="64"/>
      <c r="H401" s="64"/>
      <c r="I401" s="64"/>
      <c r="J401" s="64"/>
      <c r="K401" s="64"/>
      <c r="L401" s="64"/>
      <c r="M401" s="60"/>
      <c r="N401" s="60"/>
      <c r="O401" s="60"/>
      <c r="P401" s="60"/>
      <c r="Q401" s="64"/>
      <c r="R401" s="64"/>
      <c r="S401" s="64"/>
      <c r="T401" s="64"/>
      <c r="U401" s="64"/>
      <c r="V401" s="64"/>
      <c r="W401" s="64"/>
      <c r="X401" s="64"/>
      <c r="Y401" s="64"/>
      <c r="Z401" s="64"/>
      <c r="AA401" s="64"/>
      <c r="AB401" s="64"/>
      <c r="AC401" s="64"/>
      <c r="AD401" s="64"/>
      <c r="AE401" s="64"/>
      <c r="AF401" s="64"/>
      <c r="AG401" s="64"/>
      <c r="AH401" s="64"/>
      <c r="AI401" s="64"/>
      <c r="AJ401" s="64"/>
    </row>
    <row r="402">
      <c r="A402" s="64"/>
      <c r="B402" s="64"/>
      <c r="C402" s="64"/>
      <c r="D402" s="64"/>
      <c r="E402" s="64"/>
      <c r="F402" s="64"/>
      <c r="G402" s="64"/>
      <c r="H402" s="64"/>
      <c r="I402" s="64"/>
      <c r="J402" s="64"/>
      <c r="K402" s="64"/>
      <c r="L402" s="64"/>
      <c r="M402" s="60"/>
      <c r="N402" s="60"/>
      <c r="O402" s="60"/>
      <c r="P402" s="60"/>
      <c r="Q402" s="64"/>
      <c r="R402" s="64"/>
      <c r="S402" s="64"/>
      <c r="T402" s="64"/>
      <c r="U402" s="64"/>
      <c r="V402" s="64"/>
      <c r="W402" s="64"/>
      <c r="X402" s="64"/>
      <c r="Y402" s="64"/>
      <c r="Z402" s="64"/>
      <c r="AA402" s="64"/>
      <c r="AB402" s="64"/>
      <c r="AC402" s="64"/>
      <c r="AD402" s="64"/>
      <c r="AE402" s="64"/>
      <c r="AF402" s="64"/>
      <c r="AG402" s="64"/>
      <c r="AH402" s="64"/>
      <c r="AI402" s="64"/>
      <c r="AJ402" s="64"/>
    </row>
    <row r="403">
      <c r="A403" s="64"/>
      <c r="B403" s="64"/>
      <c r="C403" s="64"/>
      <c r="D403" s="64"/>
      <c r="E403" s="64"/>
      <c r="F403" s="64"/>
      <c r="G403" s="64"/>
      <c r="H403" s="64"/>
      <c r="I403" s="64"/>
      <c r="J403" s="64"/>
      <c r="K403" s="64"/>
      <c r="L403" s="64"/>
      <c r="M403" s="60"/>
      <c r="N403" s="60"/>
      <c r="O403" s="60"/>
      <c r="P403" s="60"/>
      <c r="Q403" s="64"/>
      <c r="R403" s="64"/>
      <c r="S403" s="64"/>
      <c r="T403" s="64"/>
      <c r="U403" s="64"/>
      <c r="V403" s="64"/>
      <c r="W403" s="64"/>
      <c r="X403" s="64"/>
      <c r="Y403" s="64"/>
      <c r="Z403" s="64"/>
      <c r="AA403" s="64"/>
      <c r="AB403" s="64"/>
      <c r="AC403" s="64"/>
      <c r="AD403" s="64"/>
      <c r="AE403" s="64"/>
      <c r="AF403" s="64"/>
      <c r="AG403" s="64"/>
      <c r="AH403" s="64"/>
      <c r="AI403" s="64"/>
      <c r="AJ403" s="64"/>
    </row>
    <row r="404">
      <c r="A404" s="64"/>
      <c r="B404" s="64"/>
      <c r="C404" s="64"/>
      <c r="D404" s="64"/>
      <c r="E404" s="64"/>
      <c r="F404" s="64"/>
      <c r="G404" s="64"/>
      <c r="H404" s="64"/>
      <c r="I404" s="64"/>
      <c r="J404" s="64"/>
      <c r="K404" s="64"/>
      <c r="L404" s="64"/>
      <c r="M404" s="60"/>
      <c r="N404" s="60"/>
      <c r="O404" s="60"/>
      <c r="P404" s="60"/>
      <c r="Q404" s="64"/>
      <c r="R404" s="64"/>
      <c r="S404" s="64"/>
      <c r="T404" s="64"/>
      <c r="U404" s="64"/>
      <c r="V404" s="64"/>
      <c r="W404" s="64"/>
      <c r="X404" s="64"/>
      <c r="Y404" s="64"/>
      <c r="Z404" s="64"/>
      <c r="AA404" s="64"/>
      <c r="AB404" s="64"/>
      <c r="AC404" s="64"/>
      <c r="AD404" s="64"/>
      <c r="AE404" s="64"/>
      <c r="AF404" s="64"/>
      <c r="AG404" s="64"/>
      <c r="AH404" s="64"/>
      <c r="AI404" s="64"/>
      <c r="AJ404" s="64"/>
    </row>
    <row r="405">
      <c r="A405" s="64"/>
      <c r="B405" s="64"/>
      <c r="C405" s="64"/>
      <c r="D405" s="64"/>
      <c r="E405" s="64"/>
      <c r="F405" s="64"/>
      <c r="G405" s="64"/>
      <c r="H405" s="64"/>
      <c r="I405" s="64"/>
      <c r="J405" s="64"/>
      <c r="K405" s="64"/>
      <c r="L405" s="64"/>
      <c r="M405" s="60"/>
      <c r="N405" s="60"/>
      <c r="O405" s="60"/>
      <c r="P405" s="60"/>
      <c r="Q405" s="64"/>
      <c r="R405" s="64"/>
      <c r="S405" s="64"/>
      <c r="T405" s="64"/>
      <c r="U405" s="64"/>
      <c r="V405" s="64"/>
      <c r="W405" s="64"/>
      <c r="X405" s="64"/>
      <c r="Y405" s="64"/>
      <c r="Z405" s="64"/>
      <c r="AA405" s="64"/>
      <c r="AB405" s="64"/>
      <c r="AC405" s="64"/>
      <c r="AD405" s="64"/>
      <c r="AE405" s="64"/>
      <c r="AF405" s="64"/>
      <c r="AG405" s="64"/>
      <c r="AH405" s="64"/>
      <c r="AI405" s="64"/>
      <c r="AJ405" s="64"/>
    </row>
    <row r="406">
      <c r="A406" s="64"/>
      <c r="B406" s="64"/>
      <c r="C406" s="64"/>
      <c r="D406" s="64"/>
      <c r="E406" s="64"/>
      <c r="F406" s="64"/>
      <c r="G406" s="64"/>
      <c r="H406" s="64"/>
      <c r="I406" s="64"/>
      <c r="J406" s="64"/>
      <c r="K406" s="64"/>
      <c r="L406" s="64"/>
      <c r="M406" s="60"/>
      <c r="N406" s="60"/>
      <c r="O406" s="60"/>
      <c r="P406" s="60"/>
      <c r="Q406" s="64"/>
      <c r="R406" s="64"/>
      <c r="S406" s="64"/>
      <c r="T406" s="64"/>
      <c r="U406" s="64"/>
      <c r="V406" s="64"/>
      <c r="W406" s="64"/>
      <c r="X406" s="64"/>
      <c r="Y406" s="64"/>
      <c r="Z406" s="64"/>
      <c r="AA406" s="64"/>
      <c r="AB406" s="64"/>
      <c r="AC406" s="64"/>
      <c r="AD406" s="64"/>
      <c r="AE406" s="64"/>
      <c r="AF406" s="64"/>
      <c r="AG406" s="64"/>
      <c r="AH406" s="64"/>
      <c r="AI406" s="64"/>
      <c r="AJ406" s="64"/>
    </row>
    <row r="407">
      <c r="A407" s="64"/>
      <c r="B407" s="64"/>
      <c r="C407" s="64"/>
      <c r="D407" s="64"/>
      <c r="E407" s="64"/>
      <c r="F407" s="64"/>
      <c r="G407" s="64"/>
      <c r="H407" s="64"/>
      <c r="I407" s="64"/>
      <c r="J407" s="64"/>
      <c r="K407" s="64"/>
      <c r="L407" s="64"/>
      <c r="M407" s="60"/>
      <c r="N407" s="60"/>
      <c r="O407" s="60"/>
      <c r="P407" s="60"/>
      <c r="Q407" s="64"/>
      <c r="R407" s="64"/>
      <c r="S407" s="64"/>
      <c r="T407" s="64"/>
      <c r="U407" s="64"/>
      <c r="V407" s="64"/>
      <c r="W407" s="64"/>
      <c r="X407" s="64"/>
      <c r="Y407" s="64"/>
      <c r="Z407" s="64"/>
      <c r="AA407" s="64"/>
      <c r="AB407" s="64"/>
      <c r="AC407" s="64"/>
      <c r="AD407" s="64"/>
      <c r="AE407" s="64"/>
      <c r="AF407" s="64"/>
      <c r="AG407" s="64"/>
      <c r="AH407" s="64"/>
      <c r="AI407" s="64"/>
      <c r="AJ407" s="64"/>
    </row>
    <row r="408">
      <c r="A408" s="64"/>
      <c r="B408" s="64"/>
      <c r="C408" s="64"/>
      <c r="D408" s="64"/>
      <c r="E408" s="64"/>
      <c r="F408" s="64"/>
      <c r="G408" s="64"/>
      <c r="H408" s="64"/>
      <c r="I408" s="64"/>
      <c r="J408" s="64"/>
      <c r="K408" s="64"/>
      <c r="L408" s="64"/>
      <c r="M408" s="60"/>
      <c r="N408" s="60"/>
      <c r="O408" s="60"/>
      <c r="P408" s="60"/>
      <c r="Q408" s="64"/>
      <c r="R408" s="64"/>
      <c r="S408" s="64"/>
      <c r="T408" s="64"/>
      <c r="U408" s="64"/>
      <c r="V408" s="64"/>
      <c r="W408" s="64"/>
      <c r="X408" s="64"/>
      <c r="Y408" s="64"/>
      <c r="Z408" s="64"/>
      <c r="AA408" s="64"/>
      <c r="AB408" s="64"/>
      <c r="AC408" s="64"/>
      <c r="AD408" s="64"/>
      <c r="AE408" s="64"/>
      <c r="AF408" s="64"/>
      <c r="AG408" s="64"/>
      <c r="AH408" s="64"/>
      <c r="AI408" s="64"/>
      <c r="AJ408" s="64"/>
    </row>
    <row r="409">
      <c r="A409" s="64"/>
      <c r="B409" s="64"/>
      <c r="C409" s="64"/>
      <c r="D409" s="64"/>
      <c r="E409" s="64"/>
      <c r="F409" s="64"/>
      <c r="G409" s="64"/>
      <c r="H409" s="64"/>
      <c r="I409" s="64"/>
      <c r="J409" s="64"/>
      <c r="K409" s="64"/>
      <c r="L409" s="64"/>
      <c r="M409" s="60"/>
      <c r="N409" s="60"/>
      <c r="O409" s="60"/>
      <c r="P409" s="60"/>
      <c r="Q409" s="64"/>
      <c r="R409" s="64"/>
      <c r="S409" s="64"/>
      <c r="T409" s="64"/>
      <c r="U409" s="64"/>
      <c r="V409" s="64"/>
      <c r="W409" s="64"/>
      <c r="X409" s="64"/>
      <c r="Y409" s="64"/>
      <c r="Z409" s="64"/>
      <c r="AA409" s="64"/>
      <c r="AB409" s="64"/>
      <c r="AC409" s="64"/>
      <c r="AD409" s="64"/>
      <c r="AE409" s="64"/>
      <c r="AF409" s="64"/>
      <c r="AG409" s="64"/>
      <c r="AH409" s="64"/>
      <c r="AI409" s="64"/>
      <c r="AJ409" s="64"/>
    </row>
    <row r="410">
      <c r="A410" s="64"/>
      <c r="B410" s="64"/>
      <c r="C410" s="64"/>
      <c r="D410" s="64"/>
      <c r="E410" s="64"/>
      <c r="F410" s="64"/>
      <c r="G410" s="64"/>
      <c r="H410" s="64"/>
      <c r="I410" s="64"/>
      <c r="J410" s="64"/>
      <c r="K410" s="64"/>
      <c r="L410" s="64"/>
      <c r="M410" s="60"/>
      <c r="N410" s="60"/>
      <c r="O410" s="60"/>
      <c r="P410" s="60"/>
      <c r="Q410" s="64"/>
      <c r="R410" s="64"/>
      <c r="S410" s="64"/>
      <c r="T410" s="64"/>
      <c r="U410" s="64"/>
      <c r="V410" s="64"/>
      <c r="W410" s="64"/>
      <c r="X410" s="64"/>
      <c r="Y410" s="64"/>
      <c r="Z410" s="64"/>
      <c r="AA410" s="64"/>
      <c r="AB410" s="64"/>
      <c r="AC410" s="64"/>
      <c r="AD410" s="64"/>
      <c r="AE410" s="64"/>
      <c r="AF410" s="64"/>
      <c r="AG410" s="64"/>
      <c r="AH410" s="64"/>
      <c r="AI410" s="64"/>
      <c r="AJ410" s="64"/>
    </row>
    <row r="411">
      <c r="A411" s="64"/>
      <c r="B411" s="64"/>
      <c r="C411" s="64"/>
      <c r="D411" s="64"/>
      <c r="E411" s="64"/>
      <c r="F411" s="64"/>
      <c r="G411" s="64"/>
      <c r="H411" s="64"/>
      <c r="I411" s="64"/>
      <c r="J411" s="64"/>
      <c r="K411" s="64"/>
      <c r="L411" s="64"/>
      <c r="M411" s="60"/>
      <c r="N411" s="60"/>
      <c r="O411" s="60"/>
      <c r="P411" s="60"/>
      <c r="Q411" s="64"/>
      <c r="R411" s="64"/>
      <c r="S411" s="64"/>
      <c r="T411" s="64"/>
      <c r="U411" s="64"/>
      <c r="V411" s="64"/>
      <c r="W411" s="64"/>
      <c r="X411" s="64"/>
      <c r="Y411" s="64"/>
      <c r="Z411" s="64"/>
      <c r="AA411" s="64"/>
      <c r="AB411" s="64"/>
      <c r="AC411" s="64"/>
      <c r="AD411" s="64"/>
      <c r="AE411" s="64"/>
      <c r="AF411" s="64"/>
      <c r="AG411" s="64"/>
      <c r="AH411" s="64"/>
      <c r="AI411" s="64"/>
      <c r="AJ411" s="64"/>
    </row>
    <row r="412">
      <c r="A412" s="64"/>
      <c r="B412" s="64"/>
      <c r="C412" s="64"/>
      <c r="D412" s="64"/>
      <c r="E412" s="64"/>
      <c r="F412" s="64"/>
      <c r="G412" s="64"/>
      <c r="H412" s="64"/>
      <c r="I412" s="64"/>
      <c r="J412" s="64"/>
      <c r="K412" s="64"/>
      <c r="L412" s="64"/>
      <c r="M412" s="60"/>
      <c r="N412" s="60"/>
      <c r="O412" s="60"/>
      <c r="P412" s="60"/>
      <c r="Q412" s="64"/>
      <c r="R412" s="64"/>
      <c r="S412" s="64"/>
      <c r="T412" s="64"/>
      <c r="U412" s="64"/>
      <c r="V412" s="64"/>
      <c r="W412" s="64"/>
      <c r="X412" s="64"/>
      <c r="Y412" s="64"/>
      <c r="Z412" s="64"/>
      <c r="AA412" s="64"/>
      <c r="AB412" s="64"/>
      <c r="AC412" s="64"/>
      <c r="AD412" s="64"/>
      <c r="AE412" s="64"/>
      <c r="AF412" s="64"/>
      <c r="AG412" s="64"/>
      <c r="AH412" s="64"/>
      <c r="AI412" s="64"/>
      <c r="AJ412" s="64"/>
    </row>
    <row r="413">
      <c r="A413" s="64"/>
      <c r="B413" s="64"/>
      <c r="C413" s="64"/>
      <c r="D413" s="64"/>
      <c r="E413" s="64"/>
      <c r="F413" s="64"/>
      <c r="G413" s="64"/>
      <c r="H413" s="64"/>
      <c r="I413" s="64"/>
      <c r="J413" s="64"/>
      <c r="K413" s="64"/>
      <c r="L413" s="64"/>
      <c r="M413" s="60"/>
      <c r="N413" s="60"/>
      <c r="O413" s="60"/>
      <c r="P413" s="60"/>
      <c r="Q413" s="64"/>
      <c r="R413" s="64"/>
      <c r="S413" s="64"/>
      <c r="T413" s="64"/>
      <c r="U413" s="64"/>
      <c r="V413" s="64"/>
      <c r="W413" s="64"/>
      <c r="X413" s="64"/>
      <c r="Y413" s="64"/>
      <c r="Z413" s="64"/>
      <c r="AA413" s="64"/>
      <c r="AB413" s="64"/>
      <c r="AC413" s="64"/>
      <c r="AD413" s="64"/>
      <c r="AE413" s="64"/>
      <c r="AF413" s="64"/>
      <c r="AG413" s="64"/>
      <c r="AH413" s="64"/>
      <c r="AI413" s="64"/>
      <c r="AJ413" s="64"/>
    </row>
    <row r="414">
      <c r="A414" s="64"/>
      <c r="B414" s="64"/>
      <c r="C414" s="64"/>
      <c r="D414" s="64"/>
      <c r="E414" s="64"/>
      <c r="F414" s="64"/>
      <c r="G414" s="64"/>
      <c r="H414" s="64"/>
      <c r="I414" s="64"/>
      <c r="J414" s="64"/>
      <c r="K414" s="64"/>
      <c r="L414" s="64"/>
      <c r="M414" s="60"/>
      <c r="N414" s="60"/>
      <c r="O414" s="60"/>
      <c r="P414" s="60"/>
      <c r="Q414" s="64"/>
      <c r="R414" s="64"/>
      <c r="S414" s="64"/>
      <c r="T414" s="64"/>
      <c r="U414" s="64"/>
      <c r="V414" s="64"/>
      <c r="W414" s="64"/>
      <c r="X414" s="64"/>
      <c r="Y414" s="64"/>
      <c r="Z414" s="64"/>
      <c r="AA414" s="64"/>
      <c r="AB414" s="64"/>
      <c r="AC414" s="64"/>
      <c r="AD414" s="64"/>
      <c r="AE414" s="64"/>
      <c r="AF414" s="64"/>
      <c r="AG414" s="64"/>
      <c r="AH414" s="64"/>
      <c r="AI414" s="64"/>
      <c r="AJ414" s="64"/>
    </row>
    <row r="415">
      <c r="A415" s="64"/>
      <c r="B415" s="64"/>
      <c r="C415" s="64"/>
      <c r="D415" s="64"/>
      <c r="E415" s="64"/>
      <c r="F415" s="64"/>
      <c r="G415" s="64"/>
      <c r="H415" s="64"/>
      <c r="I415" s="64"/>
      <c r="J415" s="64"/>
      <c r="K415" s="64"/>
      <c r="L415" s="64"/>
      <c r="M415" s="60"/>
      <c r="N415" s="60"/>
      <c r="O415" s="60"/>
      <c r="P415" s="60"/>
      <c r="Q415" s="64"/>
      <c r="R415" s="64"/>
      <c r="S415" s="64"/>
      <c r="T415" s="64"/>
      <c r="U415" s="64"/>
      <c r="V415" s="64"/>
      <c r="W415" s="64"/>
      <c r="X415" s="64"/>
      <c r="Y415" s="64"/>
      <c r="Z415" s="64"/>
      <c r="AA415" s="64"/>
      <c r="AB415" s="64"/>
      <c r="AC415" s="64"/>
      <c r="AD415" s="64"/>
      <c r="AE415" s="64"/>
      <c r="AF415" s="64"/>
      <c r="AG415" s="64"/>
      <c r="AH415" s="64"/>
      <c r="AI415" s="64"/>
      <c r="AJ415" s="64"/>
    </row>
    <row r="416">
      <c r="A416" s="64"/>
      <c r="B416" s="64"/>
      <c r="C416" s="64"/>
      <c r="D416" s="64"/>
      <c r="E416" s="64"/>
      <c r="F416" s="64"/>
      <c r="G416" s="64"/>
      <c r="H416" s="64"/>
      <c r="I416" s="64"/>
      <c r="J416" s="64"/>
      <c r="K416" s="64"/>
      <c r="L416" s="64"/>
      <c r="M416" s="60"/>
      <c r="N416" s="60"/>
      <c r="O416" s="60"/>
      <c r="P416" s="60"/>
      <c r="Q416" s="64"/>
      <c r="R416" s="64"/>
      <c r="S416" s="64"/>
      <c r="T416" s="64"/>
      <c r="U416" s="64"/>
      <c r="V416" s="64"/>
      <c r="W416" s="64"/>
      <c r="X416" s="64"/>
      <c r="Y416" s="64"/>
      <c r="Z416" s="64"/>
      <c r="AA416" s="64"/>
      <c r="AB416" s="64"/>
      <c r="AC416" s="64"/>
      <c r="AD416" s="64"/>
      <c r="AE416" s="64"/>
      <c r="AF416" s="64"/>
      <c r="AG416" s="64"/>
      <c r="AH416" s="64"/>
      <c r="AI416" s="64"/>
      <c r="AJ416" s="64"/>
    </row>
    <row r="417">
      <c r="A417" s="64"/>
      <c r="B417" s="64"/>
      <c r="C417" s="64"/>
      <c r="D417" s="64"/>
      <c r="E417" s="64"/>
      <c r="F417" s="64"/>
      <c r="G417" s="64"/>
      <c r="H417" s="64"/>
      <c r="I417" s="64"/>
      <c r="J417" s="64"/>
      <c r="K417" s="64"/>
      <c r="L417" s="64"/>
      <c r="M417" s="60"/>
      <c r="N417" s="60"/>
      <c r="O417" s="60"/>
      <c r="P417" s="60"/>
      <c r="Q417" s="64"/>
      <c r="R417" s="64"/>
      <c r="S417" s="64"/>
      <c r="T417" s="64"/>
      <c r="U417" s="64"/>
      <c r="V417" s="64"/>
      <c r="W417" s="64"/>
      <c r="X417" s="64"/>
      <c r="Y417" s="64"/>
      <c r="Z417" s="64"/>
      <c r="AA417" s="64"/>
      <c r="AB417" s="64"/>
      <c r="AC417" s="64"/>
      <c r="AD417" s="64"/>
      <c r="AE417" s="64"/>
      <c r="AF417" s="64"/>
      <c r="AG417" s="64"/>
      <c r="AH417" s="64"/>
      <c r="AI417" s="64"/>
      <c r="AJ417" s="64"/>
    </row>
    <row r="418">
      <c r="A418" s="64"/>
      <c r="B418" s="64"/>
      <c r="C418" s="64"/>
      <c r="D418" s="64"/>
      <c r="E418" s="64"/>
      <c r="F418" s="64"/>
      <c r="G418" s="64"/>
      <c r="H418" s="64"/>
      <c r="I418" s="64"/>
      <c r="J418" s="64"/>
      <c r="K418" s="64"/>
      <c r="L418" s="64"/>
      <c r="M418" s="60"/>
      <c r="N418" s="60"/>
      <c r="O418" s="60"/>
      <c r="P418" s="60"/>
      <c r="Q418" s="64"/>
      <c r="R418" s="64"/>
      <c r="S418" s="64"/>
      <c r="T418" s="64"/>
      <c r="U418" s="64"/>
      <c r="V418" s="64"/>
      <c r="W418" s="64"/>
      <c r="X418" s="64"/>
      <c r="Y418" s="64"/>
      <c r="Z418" s="64"/>
      <c r="AA418" s="64"/>
      <c r="AB418" s="64"/>
      <c r="AC418" s="64"/>
      <c r="AD418" s="64"/>
      <c r="AE418" s="64"/>
      <c r="AF418" s="64"/>
      <c r="AG418" s="64"/>
      <c r="AH418" s="64"/>
      <c r="AI418" s="64"/>
      <c r="AJ418" s="64"/>
    </row>
    <row r="419">
      <c r="A419" s="64"/>
      <c r="B419" s="64"/>
      <c r="C419" s="64"/>
      <c r="D419" s="64"/>
      <c r="E419" s="64"/>
      <c r="F419" s="64"/>
      <c r="G419" s="64"/>
      <c r="H419" s="64"/>
      <c r="I419" s="64"/>
      <c r="J419" s="64"/>
      <c r="K419" s="64"/>
      <c r="L419" s="64"/>
      <c r="M419" s="60"/>
      <c r="N419" s="60"/>
      <c r="O419" s="60"/>
      <c r="P419" s="60"/>
      <c r="Q419" s="64"/>
      <c r="R419" s="64"/>
      <c r="S419" s="64"/>
      <c r="T419" s="64"/>
      <c r="U419" s="64"/>
      <c r="V419" s="64"/>
      <c r="W419" s="64"/>
      <c r="X419" s="64"/>
      <c r="Y419" s="64"/>
      <c r="Z419" s="64"/>
      <c r="AA419" s="64"/>
      <c r="AB419" s="64"/>
      <c r="AC419" s="64"/>
      <c r="AD419" s="64"/>
      <c r="AE419" s="64"/>
      <c r="AF419" s="64"/>
      <c r="AG419" s="64"/>
      <c r="AH419" s="64"/>
      <c r="AI419" s="64"/>
      <c r="AJ419" s="64"/>
    </row>
    <row r="420">
      <c r="A420" s="64"/>
      <c r="B420" s="64"/>
      <c r="C420" s="64"/>
      <c r="D420" s="64"/>
      <c r="E420" s="64"/>
      <c r="F420" s="64"/>
      <c r="G420" s="64"/>
      <c r="H420" s="64"/>
      <c r="I420" s="64"/>
      <c r="J420" s="64"/>
      <c r="K420" s="64"/>
      <c r="L420" s="64"/>
      <c r="M420" s="60"/>
      <c r="N420" s="60"/>
      <c r="O420" s="60"/>
      <c r="P420" s="60"/>
      <c r="Q420" s="64"/>
      <c r="R420" s="64"/>
      <c r="S420" s="64"/>
      <c r="T420" s="64"/>
      <c r="U420" s="64"/>
      <c r="V420" s="64"/>
      <c r="W420" s="64"/>
      <c r="X420" s="64"/>
      <c r="Y420" s="64"/>
      <c r="Z420" s="64"/>
      <c r="AA420" s="64"/>
      <c r="AB420" s="64"/>
      <c r="AC420" s="64"/>
      <c r="AD420" s="64"/>
      <c r="AE420" s="64"/>
      <c r="AF420" s="64"/>
      <c r="AG420" s="64"/>
      <c r="AH420" s="64"/>
      <c r="AI420" s="64"/>
      <c r="AJ420" s="64"/>
    </row>
    <row r="421">
      <c r="A421" s="64"/>
      <c r="B421" s="64"/>
      <c r="C421" s="64"/>
      <c r="D421" s="64"/>
      <c r="E421" s="64"/>
      <c r="F421" s="64"/>
      <c r="G421" s="64"/>
      <c r="H421" s="64"/>
      <c r="I421" s="64"/>
      <c r="J421" s="64"/>
      <c r="K421" s="64"/>
      <c r="L421" s="64"/>
      <c r="M421" s="60"/>
      <c r="N421" s="60"/>
      <c r="O421" s="60"/>
      <c r="P421" s="60"/>
      <c r="Q421" s="64"/>
      <c r="R421" s="64"/>
      <c r="S421" s="64"/>
      <c r="T421" s="64"/>
      <c r="U421" s="64"/>
      <c r="V421" s="64"/>
      <c r="W421" s="64"/>
      <c r="X421" s="64"/>
      <c r="Y421" s="64"/>
      <c r="Z421" s="64"/>
      <c r="AA421" s="64"/>
      <c r="AB421" s="64"/>
      <c r="AC421" s="64"/>
      <c r="AD421" s="64"/>
      <c r="AE421" s="64"/>
      <c r="AF421" s="64"/>
      <c r="AG421" s="64"/>
      <c r="AH421" s="64"/>
      <c r="AI421" s="64"/>
      <c r="AJ421" s="64"/>
    </row>
    <row r="422">
      <c r="A422" s="64"/>
      <c r="B422" s="64"/>
      <c r="C422" s="64"/>
      <c r="D422" s="64"/>
      <c r="E422" s="64"/>
      <c r="F422" s="64"/>
      <c r="G422" s="64"/>
      <c r="H422" s="64"/>
      <c r="I422" s="64"/>
      <c r="J422" s="64"/>
      <c r="K422" s="64"/>
      <c r="L422" s="64"/>
      <c r="M422" s="60"/>
      <c r="N422" s="60"/>
      <c r="O422" s="60"/>
      <c r="P422" s="60"/>
      <c r="Q422" s="64"/>
      <c r="R422" s="64"/>
      <c r="S422" s="64"/>
      <c r="T422" s="64"/>
      <c r="U422" s="64"/>
      <c r="V422" s="64"/>
      <c r="W422" s="64"/>
      <c r="X422" s="64"/>
      <c r="Y422" s="64"/>
      <c r="Z422" s="64"/>
      <c r="AA422" s="64"/>
      <c r="AB422" s="64"/>
      <c r="AC422" s="64"/>
      <c r="AD422" s="64"/>
      <c r="AE422" s="64"/>
      <c r="AF422" s="64"/>
      <c r="AG422" s="64"/>
      <c r="AH422" s="64"/>
      <c r="AI422" s="64"/>
      <c r="AJ422" s="64"/>
    </row>
    <row r="423">
      <c r="A423" s="64"/>
      <c r="B423" s="64"/>
      <c r="C423" s="64"/>
      <c r="D423" s="64"/>
      <c r="E423" s="64"/>
      <c r="F423" s="64"/>
      <c r="G423" s="64"/>
      <c r="H423" s="64"/>
      <c r="I423" s="64"/>
      <c r="J423" s="64"/>
      <c r="K423" s="64"/>
      <c r="L423" s="64"/>
      <c r="M423" s="60"/>
      <c r="N423" s="60"/>
      <c r="O423" s="60"/>
      <c r="P423" s="60"/>
      <c r="Q423" s="64"/>
      <c r="R423" s="64"/>
      <c r="S423" s="64"/>
      <c r="T423" s="64"/>
      <c r="U423" s="64"/>
      <c r="V423" s="64"/>
      <c r="W423" s="64"/>
      <c r="X423" s="64"/>
      <c r="Y423" s="64"/>
      <c r="Z423" s="64"/>
      <c r="AA423" s="64"/>
      <c r="AB423" s="64"/>
      <c r="AC423" s="64"/>
      <c r="AD423" s="64"/>
      <c r="AE423" s="64"/>
      <c r="AF423" s="64"/>
      <c r="AG423" s="64"/>
      <c r="AH423" s="64"/>
      <c r="AI423" s="64"/>
      <c r="AJ423" s="64"/>
    </row>
    <row r="424">
      <c r="A424" s="64"/>
      <c r="B424" s="64"/>
      <c r="C424" s="64"/>
      <c r="D424" s="64"/>
      <c r="E424" s="64"/>
      <c r="F424" s="64"/>
      <c r="G424" s="64"/>
      <c r="H424" s="64"/>
      <c r="I424" s="64"/>
      <c r="J424" s="64"/>
      <c r="K424" s="64"/>
      <c r="L424" s="64"/>
      <c r="M424" s="60"/>
      <c r="N424" s="60"/>
      <c r="O424" s="60"/>
      <c r="P424" s="60"/>
      <c r="Q424" s="64"/>
      <c r="R424" s="64"/>
      <c r="S424" s="64"/>
      <c r="T424" s="64"/>
      <c r="U424" s="64"/>
      <c r="V424" s="64"/>
      <c r="W424" s="64"/>
      <c r="X424" s="64"/>
      <c r="Y424" s="64"/>
      <c r="Z424" s="64"/>
      <c r="AA424" s="64"/>
      <c r="AB424" s="64"/>
      <c r="AC424" s="64"/>
      <c r="AD424" s="64"/>
      <c r="AE424" s="64"/>
      <c r="AF424" s="64"/>
      <c r="AG424" s="64"/>
      <c r="AH424" s="64"/>
      <c r="AI424" s="64"/>
      <c r="AJ424" s="64"/>
    </row>
    <row r="425">
      <c r="A425" s="64"/>
      <c r="B425" s="64"/>
      <c r="C425" s="64"/>
      <c r="D425" s="64"/>
      <c r="E425" s="64"/>
      <c r="F425" s="64"/>
      <c r="G425" s="64"/>
      <c r="H425" s="64"/>
      <c r="I425" s="64"/>
      <c r="J425" s="64"/>
      <c r="K425" s="64"/>
      <c r="L425" s="64"/>
      <c r="M425" s="60"/>
      <c r="N425" s="60"/>
      <c r="O425" s="60"/>
      <c r="P425" s="60"/>
      <c r="Q425" s="64"/>
      <c r="R425" s="64"/>
      <c r="S425" s="64"/>
      <c r="T425" s="64"/>
      <c r="U425" s="64"/>
      <c r="V425" s="64"/>
      <c r="W425" s="64"/>
      <c r="X425" s="64"/>
      <c r="Y425" s="64"/>
      <c r="Z425" s="64"/>
      <c r="AA425" s="64"/>
      <c r="AB425" s="64"/>
      <c r="AC425" s="64"/>
      <c r="AD425" s="64"/>
      <c r="AE425" s="64"/>
      <c r="AF425" s="64"/>
      <c r="AG425" s="64"/>
      <c r="AH425" s="64"/>
      <c r="AI425" s="64"/>
      <c r="AJ425" s="64"/>
    </row>
    <row r="426">
      <c r="A426" s="64"/>
      <c r="B426" s="64"/>
      <c r="C426" s="64"/>
      <c r="D426" s="64"/>
      <c r="E426" s="64"/>
      <c r="F426" s="64"/>
      <c r="G426" s="64"/>
      <c r="H426" s="64"/>
      <c r="I426" s="64"/>
      <c r="J426" s="64"/>
      <c r="K426" s="64"/>
      <c r="L426" s="64"/>
      <c r="M426" s="60"/>
      <c r="N426" s="60"/>
      <c r="O426" s="60"/>
      <c r="P426" s="60"/>
      <c r="Q426" s="64"/>
      <c r="R426" s="64"/>
      <c r="S426" s="64"/>
      <c r="T426" s="64"/>
      <c r="U426" s="64"/>
      <c r="V426" s="64"/>
      <c r="W426" s="64"/>
      <c r="X426" s="64"/>
      <c r="Y426" s="64"/>
      <c r="Z426" s="64"/>
      <c r="AA426" s="64"/>
      <c r="AB426" s="64"/>
      <c r="AC426" s="64"/>
      <c r="AD426" s="64"/>
      <c r="AE426" s="64"/>
      <c r="AF426" s="64"/>
      <c r="AG426" s="64"/>
      <c r="AH426" s="64"/>
      <c r="AI426" s="64"/>
      <c r="AJ426" s="64"/>
    </row>
    <row r="427">
      <c r="A427" s="64"/>
      <c r="B427" s="64"/>
      <c r="C427" s="64"/>
      <c r="D427" s="64"/>
      <c r="E427" s="64"/>
      <c r="F427" s="64"/>
      <c r="G427" s="64"/>
      <c r="H427" s="64"/>
      <c r="I427" s="64"/>
      <c r="J427" s="64"/>
      <c r="K427" s="64"/>
      <c r="L427" s="64"/>
      <c r="M427" s="60"/>
      <c r="N427" s="60"/>
      <c r="O427" s="60"/>
      <c r="P427" s="60"/>
      <c r="Q427" s="64"/>
      <c r="R427" s="64"/>
      <c r="S427" s="64"/>
      <c r="T427" s="64"/>
      <c r="U427" s="64"/>
      <c r="V427" s="64"/>
      <c r="W427" s="64"/>
      <c r="X427" s="64"/>
      <c r="Y427" s="64"/>
      <c r="Z427" s="64"/>
      <c r="AA427" s="64"/>
      <c r="AB427" s="64"/>
      <c r="AC427" s="64"/>
      <c r="AD427" s="64"/>
      <c r="AE427" s="64"/>
      <c r="AF427" s="64"/>
      <c r="AG427" s="64"/>
      <c r="AH427" s="64"/>
      <c r="AI427" s="64"/>
      <c r="AJ427" s="64"/>
    </row>
    <row r="428">
      <c r="A428" s="64"/>
      <c r="B428" s="64"/>
      <c r="C428" s="64"/>
      <c r="D428" s="64"/>
      <c r="E428" s="64"/>
      <c r="F428" s="64"/>
      <c r="G428" s="64"/>
      <c r="H428" s="64"/>
      <c r="I428" s="64"/>
      <c r="J428" s="64"/>
      <c r="K428" s="64"/>
      <c r="L428" s="64"/>
      <c r="M428" s="60"/>
      <c r="N428" s="60"/>
      <c r="O428" s="60"/>
      <c r="P428" s="60"/>
      <c r="Q428" s="64"/>
      <c r="R428" s="64"/>
      <c r="S428" s="64"/>
      <c r="T428" s="64"/>
      <c r="U428" s="64"/>
      <c r="V428" s="64"/>
      <c r="W428" s="64"/>
      <c r="X428" s="64"/>
      <c r="Y428" s="64"/>
      <c r="Z428" s="64"/>
      <c r="AA428" s="64"/>
      <c r="AB428" s="64"/>
      <c r="AC428" s="64"/>
      <c r="AD428" s="64"/>
      <c r="AE428" s="64"/>
      <c r="AF428" s="64"/>
      <c r="AG428" s="64"/>
      <c r="AH428" s="64"/>
      <c r="AI428" s="64"/>
      <c r="AJ428" s="64"/>
    </row>
    <row r="429">
      <c r="A429" s="64"/>
      <c r="B429" s="64"/>
      <c r="C429" s="64"/>
      <c r="D429" s="64"/>
      <c r="E429" s="64"/>
      <c r="F429" s="64"/>
      <c r="G429" s="64"/>
      <c r="H429" s="64"/>
      <c r="I429" s="64"/>
      <c r="J429" s="64"/>
      <c r="K429" s="64"/>
      <c r="L429" s="64"/>
      <c r="M429" s="60"/>
      <c r="N429" s="60"/>
      <c r="O429" s="60"/>
      <c r="P429" s="60"/>
      <c r="Q429" s="64"/>
      <c r="R429" s="64"/>
      <c r="S429" s="64"/>
      <c r="T429" s="64"/>
      <c r="U429" s="64"/>
      <c r="V429" s="64"/>
      <c r="W429" s="64"/>
      <c r="X429" s="64"/>
      <c r="Y429" s="64"/>
      <c r="Z429" s="64"/>
      <c r="AA429" s="64"/>
      <c r="AB429" s="64"/>
      <c r="AC429" s="64"/>
      <c r="AD429" s="64"/>
      <c r="AE429" s="64"/>
      <c r="AF429" s="64"/>
      <c r="AG429" s="64"/>
      <c r="AH429" s="64"/>
      <c r="AI429" s="64"/>
      <c r="AJ429" s="64"/>
    </row>
    <row r="430">
      <c r="A430" s="64"/>
      <c r="B430" s="64"/>
      <c r="C430" s="64"/>
      <c r="D430" s="64"/>
      <c r="E430" s="64"/>
      <c r="F430" s="64"/>
      <c r="G430" s="64"/>
      <c r="H430" s="64"/>
      <c r="I430" s="64"/>
      <c r="J430" s="64"/>
      <c r="K430" s="64"/>
      <c r="L430" s="64"/>
      <c r="M430" s="60"/>
      <c r="N430" s="60"/>
      <c r="O430" s="60"/>
      <c r="P430" s="60"/>
      <c r="Q430" s="64"/>
      <c r="R430" s="64"/>
      <c r="S430" s="64"/>
      <c r="T430" s="64"/>
      <c r="U430" s="64"/>
      <c r="V430" s="64"/>
      <c r="W430" s="64"/>
      <c r="X430" s="64"/>
      <c r="Y430" s="64"/>
      <c r="Z430" s="64"/>
      <c r="AA430" s="64"/>
      <c r="AB430" s="64"/>
      <c r="AC430" s="64"/>
      <c r="AD430" s="64"/>
      <c r="AE430" s="64"/>
      <c r="AF430" s="64"/>
      <c r="AG430" s="64"/>
      <c r="AH430" s="64"/>
      <c r="AI430" s="64"/>
      <c r="AJ430" s="64"/>
    </row>
    <row r="431">
      <c r="A431" s="64"/>
      <c r="B431" s="64"/>
      <c r="C431" s="64"/>
      <c r="D431" s="64"/>
      <c r="E431" s="64"/>
      <c r="F431" s="64"/>
      <c r="G431" s="64"/>
      <c r="H431" s="64"/>
      <c r="I431" s="64"/>
      <c r="J431" s="64"/>
      <c r="K431" s="64"/>
      <c r="L431" s="64"/>
      <c r="M431" s="60"/>
      <c r="N431" s="60"/>
      <c r="O431" s="60"/>
      <c r="P431" s="60"/>
      <c r="Q431" s="64"/>
      <c r="R431" s="64"/>
      <c r="S431" s="64"/>
      <c r="T431" s="64"/>
      <c r="U431" s="64"/>
      <c r="V431" s="64"/>
      <c r="W431" s="64"/>
      <c r="X431" s="64"/>
      <c r="Y431" s="64"/>
      <c r="Z431" s="64"/>
      <c r="AA431" s="64"/>
      <c r="AB431" s="64"/>
      <c r="AC431" s="64"/>
      <c r="AD431" s="64"/>
      <c r="AE431" s="64"/>
      <c r="AF431" s="64"/>
      <c r="AG431" s="64"/>
      <c r="AH431" s="64"/>
      <c r="AI431" s="64"/>
      <c r="AJ431" s="64"/>
    </row>
    <row r="432">
      <c r="A432" s="64"/>
      <c r="B432" s="64"/>
      <c r="C432" s="64"/>
      <c r="D432" s="64"/>
      <c r="E432" s="64"/>
      <c r="F432" s="64"/>
      <c r="G432" s="64"/>
      <c r="H432" s="64"/>
      <c r="I432" s="64"/>
      <c r="J432" s="64"/>
      <c r="K432" s="64"/>
      <c r="L432" s="64"/>
      <c r="M432" s="60"/>
      <c r="N432" s="60"/>
      <c r="O432" s="60"/>
      <c r="P432" s="60"/>
      <c r="Q432" s="64"/>
      <c r="R432" s="64"/>
      <c r="S432" s="64"/>
      <c r="T432" s="64"/>
      <c r="U432" s="64"/>
      <c r="V432" s="64"/>
      <c r="W432" s="64"/>
      <c r="X432" s="64"/>
      <c r="Y432" s="64"/>
      <c r="Z432" s="64"/>
      <c r="AA432" s="64"/>
      <c r="AB432" s="64"/>
      <c r="AC432" s="64"/>
      <c r="AD432" s="64"/>
      <c r="AE432" s="64"/>
      <c r="AF432" s="64"/>
      <c r="AG432" s="64"/>
      <c r="AH432" s="64"/>
      <c r="AI432" s="64"/>
      <c r="AJ432" s="64"/>
    </row>
    <row r="433">
      <c r="A433" s="64"/>
      <c r="B433" s="64"/>
      <c r="C433" s="64"/>
      <c r="D433" s="64"/>
      <c r="E433" s="64"/>
      <c r="F433" s="64"/>
      <c r="G433" s="64"/>
      <c r="H433" s="64"/>
      <c r="I433" s="64"/>
      <c r="J433" s="64"/>
      <c r="K433" s="64"/>
      <c r="L433" s="64"/>
      <c r="M433" s="60"/>
      <c r="N433" s="60"/>
      <c r="O433" s="60"/>
      <c r="P433" s="60"/>
      <c r="Q433" s="64"/>
      <c r="R433" s="64"/>
      <c r="S433" s="64"/>
      <c r="T433" s="64"/>
      <c r="U433" s="64"/>
      <c r="V433" s="64"/>
      <c r="W433" s="64"/>
      <c r="X433" s="64"/>
      <c r="Y433" s="64"/>
      <c r="Z433" s="64"/>
      <c r="AA433" s="64"/>
      <c r="AB433" s="64"/>
      <c r="AC433" s="64"/>
      <c r="AD433" s="64"/>
      <c r="AE433" s="64"/>
      <c r="AF433" s="64"/>
      <c r="AG433" s="64"/>
      <c r="AH433" s="64"/>
      <c r="AI433" s="64"/>
      <c r="AJ433" s="64"/>
    </row>
    <row r="434">
      <c r="A434" s="64"/>
      <c r="B434" s="64"/>
      <c r="C434" s="64"/>
      <c r="D434" s="64"/>
      <c r="E434" s="64"/>
      <c r="F434" s="64"/>
      <c r="G434" s="64"/>
      <c r="H434" s="64"/>
      <c r="I434" s="64"/>
      <c r="J434" s="64"/>
      <c r="K434" s="64"/>
      <c r="L434" s="64"/>
      <c r="M434" s="60"/>
      <c r="N434" s="60"/>
      <c r="O434" s="60"/>
      <c r="P434" s="60"/>
      <c r="Q434" s="64"/>
      <c r="R434" s="64"/>
      <c r="S434" s="64"/>
      <c r="T434" s="64"/>
      <c r="U434" s="64"/>
      <c r="V434" s="64"/>
      <c r="W434" s="64"/>
      <c r="X434" s="64"/>
      <c r="Y434" s="64"/>
      <c r="Z434" s="64"/>
      <c r="AA434" s="64"/>
      <c r="AB434" s="64"/>
      <c r="AC434" s="64"/>
      <c r="AD434" s="64"/>
      <c r="AE434" s="64"/>
      <c r="AF434" s="64"/>
      <c r="AG434" s="64"/>
      <c r="AH434" s="64"/>
      <c r="AI434" s="64"/>
      <c r="AJ434" s="64"/>
    </row>
    <row r="435">
      <c r="A435" s="64"/>
      <c r="B435" s="64"/>
      <c r="C435" s="64"/>
      <c r="D435" s="64"/>
      <c r="E435" s="64"/>
      <c r="F435" s="64"/>
      <c r="G435" s="64"/>
      <c r="H435" s="64"/>
      <c r="I435" s="64"/>
      <c r="J435" s="64"/>
      <c r="K435" s="64"/>
      <c r="L435" s="64"/>
      <c r="M435" s="60"/>
      <c r="N435" s="60"/>
      <c r="O435" s="60"/>
      <c r="P435" s="60"/>
      <c r="Q435" s="64"/>
      <c r="R435" s="64"/>
      <c r="S435" s="64"/>
      <c r="T435" s="64"/>
      <c r="U435" s="64"/>
      <c r="V435" s="64"/>
      <c r="W435" s="64"/>
      <c r="X435" s="64"/>
      <c r="Y435" s="64"/>
      <c r="Z435" s="64"/>
      <c r="AA435" s="64"/>
      <c r="AB435" s="64"/>
      <c r="AC435" s="64"/>
      <c r="AD435" s="64"/>
      <c r="AE435" s="64"/>
      <c r="AF435" s="64"/>
      <c r="AG435" s="64"/>
      <c r="AH435" s="64"/>
      <c r="AI435" s="64"/>
      <c r="AJ435" s="64"/>
    </row>
    <row r="436">
      <c r="A436" s="64"/>
      <c r="B436" s="64"/>
      <c r="C436" s="64"/>
      <c r="D436" s="64"/>
      <c r="E436" s="64"/>
      <c r="F436" s="64"/>
      <c r="G436" s="64"/>
      <c r="H436" s="64"/>
      <c r="I436" s="64"/>
      <c r="J436" s="64"/>
      <c r="K436" s="64"/>
      <c r="L436" s="64"/>
      <c r="M436" s="60"/>
      <c r="N436" s="60"/>
      <c r="O436" s="60"/>
      <c r="P436" s="60"/>
      <c r="Q436" s="64"/>
      <c r="R436" s="64"/>
      <c r="S436" s="64"/>
      <c r="T436" s="64"/>
      <c r="U436" s="64"/>
      <c r="V436" s="64"/>
      <c r="W436" s="64"/>
      <c r="X436" s="64"/>
      <c r="Y436" s="64"/>
      <c r="Z436" s="64"/>
      <c r="AA436" s="64"/>
      <c r="AB436" s="64"/>
      <c r="AC436" s="64"/>
      <c r="AD436" s="64"/>
      <c r="AE436" s="64"/>
      <c r="AF436" s="64"/>
      <c r="AG436" s="64"/>
      <c r="AH436" s="64"/>
      <c r="AI436" s="64"/>
      <c r="AJ436" s="64"/>
    </row>
    <row r="437">
      <c r="A437" s="64"/>
      <c r="B437" s="64"/>
      <c r="C437" s="64"/>
      <c r="D437" s="64"/>
      <c r="E437" s="64"/>
      <c r="F437" s="64"/>
      <c r="G437" s="64"/>
      <c r="H437" s="64"/>
      <c r="I437" s="64"/>
      <c r="J437" s="64"/>
      <c r="K437" s="64"/>
      <c r="L437" s="64"/>
      <c r="M437" s="60"/>
      <c r="N437" s="60"/>
      <c r="O437" s="60"/>
      <c r="P437" s="60"/>
      <c r="Q437" s="64"/>
      <c r="R437" s="64"/>
      <c r="S437" s="64"/>
      <c r="T437" s="64"/>
      <c r="U437" s="64"/>
      <c r="V437" s="64"/>
      <c r="W437" s="64"/>
      <c r="X437" s="64"/>
      <c r="Y437" s="64"/>
      <c r="Z437" s="64"/>
      <c r="AA437" s="64"/>
      <c r="AB437" s="64"/>
      <c r="AC437" s="64"/>
      <c r="AD437" s="64"/>
      <c r="AE437" s="64"/>
      <c r="AF437" s="64"/>
      <c r="AG437" s="64"/>
      <c r="AH437" s="64"/>
      <c r="AI437" s="64"/>
      <c r="AJ437" s="64"/>
    </row>
    <row r="438">
      <c r="A438" s="64"/>
      <c r="B438" s="64"/>
      <c r="C438" s="64"/>
      <c r="D438" s="64"/>
      <c r="E438" s="64"/>
      <c r="F438" s="64"/>
      <c r="G438" s="64"/>
      <c r="H438" s="64"/>
      <c r="I438" s="64"/>
      <c r="J438" s="64"/>
      <c r="K438" s="64"/>
      <c r="L438" s="64"/>
      <c r="M438" s="60"/>
      <c r="N438" s="60"/>
      <c r="O438" s="60"/>
      <c r="P438" s="60"/>
      <c r="Q438" s="64"/>
      <c r="R438" s="64"/>
      <c r="S438" s="64"/>
      <c r="T438" s="64"/>
      <c r="U438" s="64"/>
      <c r="V438" s="64"/>
      <c r="W438" s="64"/>
      <c r="X438" s="64"/>
      <c r="Y438" s="64"/>
      <c r="Z438" s="64"/>
      <c r="AA438" s="64"/>
      <c r="AB438" s="64"/>
      <c r="AC438" s="64"/>
      <c r="AD438" s="64"/>
      <c r="AE438" s="64"/>
      <c r="AF438" s="64"/>
      <c r="AG438" s="64"/>
      <c r="AH438" s="64"/>
      <c r="AI438" s="64"/>
      <c r="AJ438" s="64"/>
    </row>
    <row r="439">
      <c r="A439" s="64"/>
      <c r="B439" s="64"/>
      <c r="C439" s="64"/>
      <c r="D439" s="64"/>
      <c r="E439" s="64"/>
      <c r="F439" s="64"/>
      <c r="G439" s="64"/>
      <c r="H439" s="64"/>
      <c r="I439" s="64"/>
      <c r="J439" s="64"/>
      <c r="K439" s="64"/>
      <c r="L439" s="64"/>
      <c r="M439" s="60"/>
      <c r="N439" s="60"/>
      <c r="O439" s="60"/>
      <c r="P439" s="60"/>
      <c r="Q439" s="64"/>
      <c r="R439" s="64"/>
      <c r="S439" s="64"/>
      <c r="T439" s="64"/>
      <c r="U439" s="64"/>
      <c r="V439" s="64"/>
      <c r="W439" s="64"/>
      <c r="X439" s="64"/>
      <c r="Y439" s="64"/>
      <c r="Z439" s="64"/>
      <c r="AA439" s="64"/>
      <c r="AB439" s="64"/>
      <c r="AC439" s="64"/>
      <c r="AD439" s="64"/>
      <c r="AE439" s="64"/>
      <c r="AF439" s="64"/>
      <c r="AG439" s="64"/>
      <c r="AH439" s="64"/>
      <c r="AI439" s="64"/>
      <c r="AJ439" s="64"/>
    </row>
    <row r="440">
      <c r="A440" s="64"/>
      <c r="B440" s="64"/>
      <c r="C440" s="64"/>
      <c r="D440" s="64"/>
      <c r="E440" s="64"/>
      <c r="F440" s="64"/>
      <c r="G440" s="64"/>
      <c r="H440" s="64"/>
      <c r="I440" s="64"/>
      <c r="J440" s="64"/>
      <c r="K440" s="64"/>
      <c r="L440" s="64"/>
      <c r="M440" s="60"/>
      <c r="N440" s="60"/>
      <c r="O440" s="60"/>
      <c r="P440" s="60"/>
      <c r="Q440" s="64"/>
      <c r="R440" s="64"/>
      <c r="S440" s="64"/>
      <c r="T440" s="64"/>
      <c r="U440" s="64"/>
      <c r="V440" s="64"/>
      <c r="W440" s="64"/>
      <c r="X440" s="64"/>
      <c r="Y440" s="64"/>
      <c r="Z440" s="64"/>
      <c r="AA440" s="64"/>
      <c r="AB440" s="64"/>
      <c r="AC440" s="64"/>
      <c r="AD440" s="64"/>
      <c r="AE440" s="64"/>
      <c r="AF440" s="64"/>
      <c r="AG440" s="64"/>
      <c r="AH440" s="64"/>
      <c r="AI440" s="64"/>
      <c r="AJ440" s="64"/>
    </row>
    <row r="441">
      <c r="A441" s="64"/>
      <c r="B441" s="64"/>
      <c r="C441" s="64"/>
      <c r="D441" s="64"/>
      <c r="E441" s="64"/>
      <c r="F441" s="64"/>
      <c r="G441" s="64"/>
      <c r="H441" s="64"/>
      <c r="I441" s="64"/>
      <c r="J441" s="64"/>
      <c r="K441" s="64"/>
      <c r="L441" s="64"/>
      <c r="M441" s="60"/>
      <c r="N441" s="60"/>
      <c r="O441" s="60"/>
      <c r="P441" s="60"/>
      <c r="Q441" s="64"/>
      <c r="R441" s="64"/>
      <c r="S441" s="64"/>
      <c r="T441" s="64"/>
      <c r="U441" s="64"/>
      <c r="V441" s="64"/>
      <c r="W441" s="64"/>
      <c r="X441" s="64"/>
      <c r="Y441" s="64"/>
      <c r="Z441" s="64"/>
      <c r="AA441" s="64"/>
      <c r="AB441" s="64"/>
      <c r="AC441" s="64"/>
      <c r="AD441" s="64"/>
      <c r="AE441" s="64"/>
      <c r="AF441" s="64"/>
      <c r="AG441" s="64"/>
      <c r="AH441" s="64"/>
      <c r="AI441" s="64"/>
      <c r="AJ441" s="64"/>
    </row>
    <row r="442">
      <c r="A442" s="64"/>
      <c r="B442" s="64"/>
      <c r="C442" s="64"/>
      <c r="D442" s="64"/>
      <c r="E442" s="64"/>
      <c r="F442" s="64"/>
      <c r="G442" s="64"/>
      <c r="H442" s="64"/>
      <c r="I442" s="64"/>
      <c r="J442" s="64"/>
      <c r="K442" s="64"/>
      <c r="L442" s="64"/>
      <c r="M442" s="60"/>
      <c r="N442" s="60"/>
      <c r="O442" s="60"/>
      <c r="P442" s="60"/>
      <c r="Q442" s="64"/>
      <c r="R442" s="64"/>
      <c r="S442" s="64"/>
      <c r="T442" s="64"/>
      <c r="U442" s="64"/>
      <c r="V442" s="64"/>
      <c r="W442" s="64"/>
      <c r="X442" s="64"/>
      <c r="Y442" s="64"/>
      <c r="Z442" s="64"/>
      <c r="AA442" s="64"/>
      <c r="AB442" s="64"/>
      <c r="AC442" s="64"/>
      <c r="AD442" s="64"/>
      <c r="AE442" s="64"/>
      <c r="AF442" s="64"/>
      <c r="AG442" s="64"/>
      <c r="AH442" s="64"/>
      <c r="AI442" s="64"/>
      <c r="AJ442" s="64"/>
    </row>
    <row r="443">
      <c r="A443" s="64"/>
      <c r="B443" s="64"/>
      <c r="C443" s="64"/>
      <c r="D443" s="64"/>
      <c r="E443" s="64"/>
      <c r="F443" s="64"/>
      <c r="G443" s="64"/>
      <c r="H443" s="64"/>
      <c r="I443" s="64"/>
      <c r="J443" s="64"/>
      <c r="K443" s="64"/>
      <c r="L443" s="64"/>
      <c r="M443" s="60"/>
      <c r="N443" s="60"/>
      <c r="O443" s="60"/>
      <c r="P443" s="60"/>
      <c r="Q443" s="64"/>
      <c r="R443" s="64"/>
      <c r="S443" s="64"/>
      <c r="T443" s="64"/>
      <c r="U443" s="64"/>
      <c r="V443" s="64"/>
      <c r="W443" s="64"/>
      <c r="X443" s="64"/>
      <c r="Y443" s="64"/>
      <c r="Z443" s="64"/>
      <c r="AA443" s="64"/>
      <c r="AB443" s="64"/>
      <c r="AC443" s="64"/>
      <c r="AD443" s="64"/>
      <c r="AE443" s="64"/>
      <c r="AF443" s="64"/>
      <c r="AG443" s="64"/>
      <c r="AH443" s="64"/>
      <c r="AI443" s="64"/>
      <c r="AJ443" s="64"/>
    </row>
    <row r="444">
      <c r="A444" s="64"/>
      <c r="B444" s="64"/>
      <c r="C444" s="64"/>
      <c r="D444" s="64"/>
      <c r="E444" s="64"/>
      <c r="F444" s="64"/>
      <c r="G444" s="64"/>
      <c r="H444" s="64"/>
      <c r="I444" s="64"/>
      <c r="J444" s="64"/>
      <c r="K444" s="64"/>
      <c r="L444" s="64"/>
      <c r="M444" s="60"/>
      <c r="N444" s="60"/>
      <c r="O444" s="60"/>
      <c r="P444" s="60"/>
      <c r="Q444" s="64"/>
      <c r="R444" s="64"/>
      <c r="S444" s="64"/>
      <c r="T444" s="64"/>
      <c r="U444" s="64"/>
      <c r="V444" s="64"/>
      <c r="W444" s="64"/>
      <c r="X444" s="64"/>
      <c r="Y444" s="64"/>
      <c r="Z444" s="64"/>
      <c r="AA444" s="64"/>
      <c r="AB444" s="64"/>
      <c r="AC444" s="64"/>
      <c r="AD444" s="64"/>
      <c r="AE444" s="64"/>
      <c r="AF444" s="64"/>
      <c r="AG444" s="64"/>
      <c r="AH444" s="64"/>
      <c r="AI444" s="64"/>
      <c r="AJ444" s="64"/>
    </row>
    <row r="445">
      <c r="A445" s="64"/>
      <c r="B445" s="64"/>
      <c r="C445" s="64"/>
      <c r="D445" s="64"/>
      <c r="E445" s="64"/>
      <c r="F445" s="64"/>
      <c r="G445" s="64"/>
      <c r="H445" s="64"/>
      <c r="I445" s="64"/>
      <c r="J445" s="64"/>
      <c r="K445" s="64"/>
      <c r="L445" s="64"/>
      <c r="M445" s="60"/>
      <c r="N445" s="60"/>
      <c r="O445" s="60"/>
      <c r="P445" s="60"/>
      <c r="Q445" s="64"/>
      <c r="R445" s="64"/>
      <c r="S445" s="64"/>
      <c r="T445" s="64"/>
      <c r="U445" s="64"/>
      <c r="V445" s="64"/>
      <c r="W445" s="64"/>
      <c r="X445" s="64"/>
      <c r="Y445" s="64"/>
      <c r="Z445" s="64"/>
      <c r="AA445" s="64"/>
      <c r="AB445" s="64"/>
      <c r="AC445" s="64"/>
      <c r="AD445" s="64"/>
      <c r="AE445" s="64"/>
      <c r="AF445" s="64"/>
      <c r="AG445" s="64"/>
      <c r="AH445" s="64"/>
      <c r="AI445" s="64"/>
      <c r="AJ445" s="64"/>
    </row>
    <row r="446">
      <c r="A446" s="64"/>
      <c r="B446" s="64"/>
      <c r="C446" s="64"/>
      <c r="D446" s="64"/>
      <c r="E446" s="64"/>
      <c r="F446" s="64"/>
      <c r="G446" s="64"/>
      <c r="H446" s="64"/>
      <c r="I446" s="64"/>
      <c r="J446" s="64"/>
      <c r="K446" s="64"/>
      <c r="L446" s="64"/>
      <c r="M446" s="60"/>
      <c r="N446" s="60"/>
      <c r="O446" s="60"/>
      <c r="P446" s="60"/>
      <c r="Q446" s="64"/>
      <c r="R446" s="64"/>
      <c r="S446" s="64"/>
      <c r="T446" s="64"/>
      <c r="U446" s="64"/>
      <c r="V446" s="64"/>
      <c r="W446" s="64"/>
      <c r="X446" s="64"/>
      <c r="Y446" s="64"/>
      <c r="Z446" s="64"/>
      <c r="AA446" s="64"/>
      <c r="AB446" s="64"/>
      <c r="AC446" s="64"/>
      <c r="AD446" s="64"/>
      <c r="AE446" s="64"/>
      <c r="AF446" s="64"/>
      <c r="AG446" s="64"/>
      <c r="AH446" s="64"/>
      <c r="AI446" s="64"/>
      <c r="AJ446" s="64"/>
    </row>
    <row r="447">
      <c r="A447" s="64"/>
      <c r="B447" s="64"/>
      <c r="C447" s="64"/>
      <c r="D447" s="64"/>
      <c r="E447" s="64"/>
      <c r="F447" s="64"/>
      <c r="G447" s="64"/>
      <c r="H447" s="64"/>
      <c r="I447" s="64"/>
      <c r="J447" s="64"/>
      <c r="K447" s="64"/>
      <c r="L447" s="64"/>
      <c r="M447" s="60"/>
      <c r="N447" s="60"/>
      <c r="O447" s="60"/>
      <c r="P447" s="60"/>
      <c r="Q447" s="64"/>
      <c r="R447" s="64"/>
      <c r="S447" s="64"/>
      <c r="T447" s="64"/>
      <c r="U447" s="64"/>
      <c r="V447" s="64"/>
      <c r="W447" s="64"/>
      <c r="X447" s="64"/>
      <c r="Y447" s="64"/>
      <c r="Z447" s="64"/>
      <c r="AA447" s="64"/>
      <c r="AB447" s="64"/>
      <c r="AC447" s="64"/>
      <c r="AD447" s="64"/>
      <c r="AE447" s="64"/>
      <c r="AF447" s="64"/>
      <c r="AG447" s="64"/>
      <c r="AH447" s="64"/>
      <c r="AI447" s="64"/>
      <c r="AJ447" s="64"/>
    </row>
    <row r="448">
      <c r="A448" s="64"/>
      <c r="B448" s="64"/>
      <c r="C448" s="64"/>
      <c r="D448" s="64"/>
      <c r="E448" s="64"/>
      <c r="F448" s="64"/>
      <c r="G448" s="64"/>
      <c r="H448" s="64"/>
      <c r="I448" s="64"/>
      <c r="J448" s="64"/>
      <c r="K448" s="64"/>
      <c r="L448" s="64"/>
      <c r="M448" s="60"/>
      <c r="N448" s="60"/>
      <c r="O448" s="60"/>
      <c r="P448" s="60"/>
      <c r="Q448" s="64"/>
      <c r="R448" s="64"/>
      <c r="S448" s="64"/>
      <c r="T448" s="64"/>
      <c r="U448" s="64"/>
      <c r="V448" s="64"/>
      <c r="W448" s="64"/>
      <c r="X448" s="64"/>
      <c r="Y448" s="64"/>
      <c r="Z448" s="64"/>
      <c r="AA448" s="64"/>
      <c r="AB448" s="64"/>
      <c r="AC448" s="64"/>
      <c r="AD448" s="64"/>
      <c r="AE448" s="64"/>
      <c r="AF448" s="64"/>
      <c r="AG448" s="64"/>
      <c r="AH448" s="64"/>
      <c r="AI448" s="64"/>
      <c r="AJ448" s="64"/>
    </row>
    <row r="449">
      <c r="A449" s="64"/>
      <c r="B449" s="64"/>
      <c r="C449" s="64"/>
      <c r="D449" s="64"/>
      <c r="E449" s="64"/>
      <c r="F449" s="64"/>
      <c r="G449" s="64"/>
      <c r="H449" s="64"/>
      <c r="I449" s="64"/>
      <c r="J449" s="64"/>
      <c r="K449" s="64"/>
      <c r="L449" s="64"/>
      <c r="M449" s="60"/>
      <c r="N449" s="60"/>
      <c r="O449" s="60"/>
      <c r="P449" s="60"/>
      <c r="Q449" s="64"/>
      <c r="R449" s="64"/>
      <c r="S449" s="64"/>
      <c r="T449" s="64"/>
      <c r="U449" s="64"/>
      <c r="V449" s="64"/>
      <c r="W449" s="64"/>
      <c r="X449" s="64"/>
      <c r="Y449" s="64"/>
      <c r="Z449" s="64"/>
      <c r="AA449" s="64"/>
      <c r="AB449" s="64"/>
      <c r="AC449" s="64"/>
      <c r="AD449" s="64"/>
      <c r="AE449" s="64"/>
      <c r="AF449" s="64"/>
      <c r="AG449" s="64"/>
      <c r="AH449" s="64"/>
      <c r="AI449" s="64"/>
      <c r="AJ449" s="64"/>
    </row>
    <row r="450">
      <c r="A450" s="64"/>
      <c r="B450" s="64"/>
      <c r="C450" s="64"/>
      <c r="D450" s="64"/>
      <c r="E450" s="64"/>
      <c r="F450" s="64"/>
      <c r="G450" s="64"/>
      <c r="H450" s="64"/>
      <c r="I450" s="64"/>
      <c r="J450" s="64"/>
      <c r="K450" s="64"/>
      <c r="L450" s="64"/>
      <c r="M450" s="60"/>
      <c r="N450" s="60"/>
      <c r="O450" s="60"/>
      <c r="P450" s="60"/>
      <c r="Q450" s="64"/>
      <c r="R450" s="64"/>
      <c r="S450" s="64"/>
      <c r="T450" s="64"/>
      <c r="U450" s="64"/>
      <c r="V450" s="64"/>
      <c r="W450" s="64"/>
      <c r="X450" s="64"/>
      <c r="Y450" s="64"/>
      <c r="Z450" s="64"/>
      <c r="AA450" s="64"/>
      <c r="AB450" s="64"/>
      <c r="AC450" s="64"/>
      <c r="AD450" s="64"/>
      <c r="AE450" s="64"/>
      <c r="AF450" s="64"/>
      <c r="AG450" s="64"/>
      <c r="AH450" s="64"/>
      <c r="AI450" s="64"/>
      <c r="AJ450" s="64"/>
    </row>
    <row r="451">
      <c r="A451" s="64"/>
      <c r="B451" s="64"/>
      <c r="C451" s="64"/>
      <c r="D451" s="64"/>
      <c r="E451" s="64"/>
      <c r="F451" s="64"/>
      <c r="G451" s="64"/>
      <c r="H451" s="64"/>
      <c r="I451" s="64"/>
      <c r="J451" s="64"/>
      <c r="K451" s="64"/>
      <c r="L451" s="64"/>
      <c r="M451" s="60"/>
      <c r="N451" s="60"/>
      <c r="O451" s="60"/>
      <c r="P451" s="60"/>
      <c r="Q451" s="64"/>
      <c r="R451" s="64"/>
      <c r="S451" s="64"/>
      <c r="T451" s="64"/>
      <c r="U451" s="64"/>
      <c r="V451" s="64"/>
      <c r="W451" s="64"/>
      <c r="X451" s="64"/>
      <c r="Y451" s="64"/>
      <c r="Z451" s="64"/>
      <c r="AA451" s="64"/>
      <c r="AB451" s="64"/>
      <c r="AC451" s="64"/>
      <c r="AD451" s="64"/>
      <c r="AE451" s="64"/>
      <c r="AF451" s="64"/>
      <c r="AG451" s="64"/>
      <c r="AH451" s="64"/>
      <c r="AI451" s="64"/>
      <c r="AJ451" s="64"/>
    </row>
    <row r="452">
      <c r="A452" s="64"/>
      <c r="B452" s="64"/>
      <c r="C452" s="64"/>
      <c r="D452" s="64"/>
      <c r="E452" s="64"/>
      <c r="F452" s="64"/>
      <c r="G452" s="64"/>
      <c r="H452" s="64"/>
      <c r="I452" s="64"/>
      <c r="J452" s="64"/>
      <c r="K452" s="64"/>
      <c r="L452" s="64"/>
      <c r="M452" s="60"/>
      <c r="N452" s="60"/>
      <c r="O452" s="60"/>
      <c r="P452" s="60"/>
      <c r="Q452" s="64"/>
      <c r="R452" s="64"/>
      <c r="S452" s="64"/>
      <c r="T452" s="64"/>
      <c r="U452" s="64"/>
      <c r="V452" s="64"/>
      <c r="W452" s="64"/>
      <c r="X452" s="64"/>
      <c r="Y452" s="64"/>
      <c r="Z452" s="64"/>
      <c r="AA452" s="64"/>
      <c r="AB452" s="64"/>
      <c r="AC452" s="64"/>
      <c r="AD452" s="64"/>
      <c r="AE452" s="64"/>
      <c r="AF452" s="64"/>
      <c r="AG452" s="64"/>
      <c r="AH452" s="64"/>
      <c r="AI452" s="64"/>
      <c r="AJ452" s="64"/>
    </row>
    <row r="453">
      <c r="A453" s="64"/>
      <c r="B453" s="64"/>
      <c r="C453" s="64"/>
      <c r="D453" s="64"/>
      <c r="E453" s="64"/>
      <c r="F453" s="64"/>
      <c r="G453" s="64"/>
      <c r="H453" s="64"/>
      <c r="I453" s="64"/>
      <c r="J453" s="64"/>
      <c r="K453" s="64"/>
      <c r="L453" s="64"/>
      <c r="M453" s="60"/>
      <c r="N453" s="60"/>
      <c r="O453" s="60"/>
      <c r="P453" s="60"/>
      <c r="Q453" s="64"/>
      <c r="R453" s="64"/>
      <c r="S453" s="64"/>
      <c r="T453" s="64"/>
      <c r="U453" s="64"/>
      <c r="V453" s="64"/>
      <c r="W453" s="64"/>
      <c r="X453" s="64"/>
      <c r="Y453" s="64"/>
      <c r="Z453" s="64"/>
      <c r="AA453" s="64"/>
      <c r="AB453" s="64"/>
      <c r="AC453" s="64"/>
      <c r="AD453" s="64"/>
      <c r="AE453" s="64"/>
      <c r="AF453" s="64"/>
      <c r="AG453" s="64"/>
      <c r="AH453" s="64"/>
      <c r="AI453" s="64"/>
      <c r="AJ453" s="64"/>
    </row>
    <row r="454">
      <c r="A454" s="64"/>
      <c r="B454" s="64"/>
      <c r="C454" s="64"/>
      <c r="D454" s="64"/>
      <c r="E454" s="64"/>
      <c r="F454" s="64"/>
      <c r="G454" s="64"/>
      <c r="H454" s="64"/>
      <c r="I454" s="64"/>
      <c r="J454" s="64"/>
      <c r="K454" s="64"/>
      <c r="L454" s="64"/>
      <c r="M454" s="60"/>
      <c r="N454" s="60"/>
      <c r="O454" s="60"/>
      <c r="P454" s="60"/>
      <c r="Q454" s="64"/>
      <c r="R454" s="64"/>
      <c r="S454" s="64"/>
      <c r="T454" s="64"/>
      <c r="U454" s="64"/>
      <c r="V454" s="64"/>
      <c r="W454" s="64"/>
      <c r="X454" s="64"/>
      <c r="Y454" s="64"/>
      <c r="Z454" s="64"/>
      <c r="AA454" s="64"/>
      <c r="AB454" s="64"/>
      <c r="AC454" s="64"/>
      <c r="AD454" s="64"/>
      <c r="AE454" s="64"/>
      <c r="AF454" s="64"/>
      <c r="AG454" s="64"/>
      <c r="AH454" s="64"/>
      <c r="AI454" s="64"/>
      <c r="AJ454" s="64"/>
    </row>
    <row r="455">
      <c r="A455" s="64"/>
      <c r="B455" s="64"/>
      <c r="C455" s="64"/>
      <c r="D455" s="64"/>
      <c r="E455" s="64"/>
      <c r="F455" s="64"/>
      <c r="G455" s="64"/>
      <c r="H455" s="64"/>
      <c r="I455" s="64"/>
      <c r="J455" s="64"/>
      <c r="K455" s="64"/>
      <c r="L455" s="64"/>
      <c r="M455" s="60"/>
      <c r="N455" s="60"/>
      <c r="O455" s="60"/>
      <c r="P455" s="60"/>
      <c r="Q455" s="64"/>
      <c r="R455" s="64"/>
      <c r="S455" s="64"/>
      <c r="T455" s="64"/>
      <c r="U455" s="64"/>
      <c r="V455" s="64"/>
      <c r="W455" s="64"/>
      <c r="X455" s="64"/>
      <c r="Y455" s="64"/>
      <c r="Z455" s="64"/>
      <c r="AA455" s="64"/>
      <c r="AB455" s="64"/>
      <c r="AC455" s="64"/>
      <c r="AD455" s="64"/>
      <c r="AE455" s="64"/>
      <c r="AF455" s="64"/>
      <c r="AG455" s="64"/>
      <c r="AH455" s="64"/>
      <c r="AI455" s="64"/>
      <c r="AJ455" s="64"/>
    </row>
    <row r="456">
      <c r="A456" s="64"/>
      <c r="B456" s="64"/>
      <c r="C456" s="64"/>
      <c r="D456" s="64"/>
      <c r="E456" s="64"/>
      <c r="F456" s="64"/>
      <c r="G456" s="64"/>
      <c r="H456" s="64"/>
      <c r="I456" s="64"/>
      <c r="J456" s="64"/>
      <c r="K456" s="64"/>
      <c r="L456" s="64"/>
      <c r="M456" s="60"/>
      <c r="N456" s="60"/>
      <c r="O456" s="60"/>
      <c r="P456" s="60"/>
      <c r="Q456" s="64"/>
      <c r="R456" s="64"/>
      <c r="S456" s="64"/>
      <c r="T456" s="64"/>
      <c r="U456" s="64"/>
      <c r="V456" s="64"/>
      <c r="W456" s="64"/>
      <c r="X456" s="64"/>
      <c r="Y456" s="64"/>
      <c r="Z456" s="64"/>
      <c r="AA456" s="64"/>
      <c r="AB456" s="64"/>
      <c r="AC456" s="64"/>
      <c r="AD456" s="64"/>
      <c r="AE456" s="64"/>
      <c r="AF456" s="64"/>
      <c r="AG456" s="64"/>
      <c r="AH456" s="64"/>
      <c r="AI456" s="64"/>
      <c r="AJ456" s="64"/>
    </row>
    <row r="457">
      <c r="A457" s="64"/>
      <c r="B457" s="64"/>
      <c r="C457" s="64"/>
      <c r="D457" s="64"/>
      <c r="E457" s="64"/>
      <c r="F457" s="64"/>
      <c r="G457" s="64"/>
      <c r="H457" s="64"/>
      <c r="I457" s="64"/>
      <c r="J457" s="64"/>
      <c r="K457" s="64"/>
      <c r="L457" s="64"/>
      <c r="M457" s="60"/>
      <c r="N457" s="60"/>
      <c r="O457" s="60"/>
      <c r="P457" s="60"/>
      <c r="Q457" s="64"/>
      <c r="R457" s="64"/>
      <c r="S457" s="64"/>
      <c r="T457" s="64"/>
      <c r="U457" s="64"/>
      <c r="V457" s="64"/>
      <c r="W457" s="64"/>
      <c r="X457" s="64"/>
      <c r="Y457" s="64"/>
      <c r="Z457" s="64"/>
      <c r="AA457" s="64"/>
      <c r="AB457" s="64"/>
      <c r="AC457" s="64"/>
      <c r="AD457" s="64"/>
      <c r="AE457" s="64"/>
      <c r="AF457" s="64"/>
      <c r="AG457" s="64"/>
      <c r="AH457" s="64"/>
      <c r="AI457" s="64"/>
      <c r="AJ457" s="64"/>
    </row>
    <row r="458">
      <c r="A458" s="64"/>
      <c r="B458" s="64"/>
      <c r="C458" s="64"/>
      <c r="D458" s="64"/>
      <c r="E458" s="64"/>
      <c r="F458" s="64"/>
      <c r="G458" s="64"/>
      <c r="H458" s="64"/>
      <c r="I458" s="64"/>
      <c r="J458" s="64"/>
      <c r="K458" s="64"/>
      <c r="L458" s="64"/>
      <c r="M458" s="60"/>
      <c r="N458" s="60"/>
      <c r="O458" s="60"/>
      <c r="P458" s="60"/>
      <c r="Q458" s="64"/>
      <c r="R458" s="64"/>
      <c r="S458" s="64"/>
      <c r="T458" s="64"/>
      <c r="U458" s="64"/>
      <c r="V458" s="64"/>
      <c r="W458" s="64"/>
      <c r="X458" s="64"/>
      <c r="Y458" s="64"/>
      <c r="Z458" s="64"/>
      <c r="AA458" s="64"/>
      <c r="AB458" s="64"/>
      <c r="AC458" s="64"/>
      <c r="AD458" s="64"/>
      <c r="AE458" s="64"/>
      <c r="AF458" s="64"/>
      <c r="AG458" s="64"/>
      <c r="AH458" s="64"/>
      <c r="AI458" s="64"/>
      <c r="AJ458" s="64"/>
    </row>
    <row r="459">
      <c r="A459" s="64"/>
      <c r="B459" s="64"/>
      <c r="C459" s="64"/>
      <c r="D459" s="64"/>
      <c r="E459" s="64"/>
      <c r="F459" s="64"/>
      <c r="G459" s="64"/>
      <c r="H459" s="64"/>
      <c r="I459" s="64"/>
      <c r="J459" s="64"/>
      <c r="K459" s="64"/>
      <c r="L459" s="64"/>
      <c r="M459" s="60"/>
      <c r="N459" s="60"/>
      <c r="O459" s="60"/>
      <c r="P459" s="60"/>
      <c r="Q459" s="64"/>
      <c r="R459" s="64"/>
      <c r="S459" s="64"/>
      <c r="T459" s="64"/>
      <c r="U459" s="64"/>
      <c r="V459" s="64"/>
      <c r="W459" s="64"/>
      <c r="X459" s="64"/>
      <c r="Y459" s="64"/>
      <c r="Z459" s="64"/>
      <c r="AA459" s="64"/>
      <c r="AB459" s="64"/>
      <c r="AC459" s="64"/>
      <c r="AD459" s="64"/>
      <c r="AE459" s="64"/>
      <c r="AF459" s="64"/>
      <c r="AG459" s="64"/>
      <c r="AH459" s="64"/>
      <c r="AI459" s="64"/>
      <c r="AJ459" s="64"/>
    </row>
    <row r="460">
      <c r="A460" s="64"/>
      <c r="B460" s="64"/>
      <c r="C460" s="64"/>
      <c r="D460" s="64"/>
      <c r="E460" s="64"/>
      <c r="F460" s="64"/>
      <c r="G460" s="64"/>
      <c r="H460" s="64"/>
      <c r="I460" s="64"/>
      <c r="J460" s="64"/>
      <c r="K460" s="64"/>
      <c r="L460" s="64"/>
      <c r="M460" s="60"/>
      <c r="N460" s="60"/>
      <c r="O460" s="60"/>
      <c r="P460" s="60"/>
      <c r="Q460" s="64"/>
      <c r="R460" s="64"/>
      <c r="S460" s="64"/>
      <c r="T460" s="64"/>
      <c r="U460" s="64"/>
      <c r="V460" s="64"/>
      <c r="W460" s="64"/>
      <c r="X460" s="64"/>
      <c r="Y460" s="64"/>
      <c r="Z460" s="64"/>
      <c r="AA460" s="64"/>
      <c r="AB460" s="64"/>
      <c r="AC460" s="64"/>
      <c r="AD460" s="64"/>
      <c r="AE460" s="64"/>
      <c r="AF460" s="64"/>
      <c r="AG460" s="64"/>
      <c r="AH460" s="64"/>
      <c r="AI460" s="64"/>
      <c r="AJ460" s="64"/>
    </row>
    <row r="461">
      <c r="A461" s="64"/>
      <c r="B461" s="64"/>
      <c r="C461" s="64"/>
      <c r="D461" s="64"/>
      <c r="E461" s="64"/>
      <c r="F461" s="64"/>
      <c r="G461" s="64"/>
      <c r="H461" s="64"/>
      <c r="I461" s="64"/>
      <c r="J461" s="64"/>
      <c r="K461" s="64"/>
      <c r="L461" s="64"/>
      <c r="M461" s="60"/>
      <c r="N461" s="60"/>
      <c r="O461" s="60"/>
      <c r="P461" s="60"/>
      <c r="Q461" s="64"/>
      <c r="R461" s="64"/>
      <c r="S461" s="64"/>
      <c r="T461" s="64"/>
      <c r="U461" s="64"/>
      <c r="V461" s="64"/>
      <c r="W461" s="64"/>
      <c r="X461" s="64"/>
      <c r="Y461" s="64"/>
      <c r="Z461" s="64"/>
      <c r="AA461" s="64"/>
      <c r="AB461" s="64"/>
      <c r="AC461" s="64"/>
      <c r="AD461" s="64"/>
      <c r="AE461" s="64"/>
      <c r="AF461" s="64"/>
      <c r="AG461" s="64"/>
      <c r="AH461" s="64"/>
      <c r="AI461" s="64"/>
      <c r="AJ461" s="64"/>
    </row>
    <row r="462">
      <c r="A462" s="64"/>
      <c r="B462" s="64"/>
      <c r="C462" s="64"/>
      <c r="D462" s="64"/>
      <c r="E462" s="64"/>
      <c r="F462" s="64"/>
      <c r="G462" s="64"/>
      <c r="H462" s="64"/>
      <c r="I462" s="64"/>
      <c r="J462" s="64"/>
      <c r="K462" s="64"/>
      <c r="L462" s="64"/>
      <c r="M462" s="60"/>
      <c r="N462" s="60"/>
      <c r="O462" s="60"/>
      <c r="P462" s="60"/>
      <c r="Q462" s="64"/>
      <c r="R462" s="64"/>
      <c r="S462" s="64"/>
      <c r="T462" s="64"/>
      <c r="U462" s="64"/>
      <c r="V462" s="64"/>
      <c r="W462" s="64"/>
      <c r="X462" s="64"/>
      <c r="Y462" s="64"/>
      <c r="Z462" s="64"/>
      <c r="AA462" s="64"/>
      <c r="AB462" s="64"/>
      <c r="AC462" s="64"/>
      <c r="AD462" s="64"/>
      <c r="AE462" s="64"/>
      <c r="AF462" s="64"/>
      <c r="AG462" s="64"/>
      <c r="AH462" s="64"/>
      <c r="AI462" s="64"/>
      <c r="AJ462" s="64"/>
    </row>
    <row r="463">
      <c r="A463" s="64"/>
      <c r="B463" s="64"/>
      <c r="C463" s="64"/>
      <c r="D463" s="64"/>
      <c r="E463" s="64"/>
      <c r="F463" s="64"/>
      <c r="G463" s="64"/>
      <c r="H463" s="64"/>
      <c r="I463" s="64"/>
      <c r="J463" s="64"/>
      <c r="K463" s="64"/>
      <c r="L463" s="64"/>
      <c r="M463" s="60"/>
      <c r="N463" s="60"/>
      <c r="O463" s="60"/>
      <c r="P463" s="60"/>
      <c r="Q463" s="64"/>
      <c r="R463" s="64"/>
      <c r="S463" s="64"/>
      <c r="T463" s="64"/>
      <c r="U463" s="64"/>
      <c r="V463" s="64"/>
      <c r="W463" s="64"/>
      <c r="X463" s="64"/>
      <c r="Y463" s="64"/>
      <c r="Z463" s="64"/>
      <c r="AA463" s="64"/>
      <c r="AB463" s="64"/>
      <c r="AC463" s="64"/>
      <c r="AD463" s="64"/>
      <c r="AE463" s="64"/>
      <c r="AF463" s="64"/>
      <c r="AG463" s="64"/>
      <c r="AH463" s="64"/>
      <c r="AI463" s="64"/>
      <c r="AJ463" s="64"/>
    </row>
    <row r="464">
      <c r="A464" s="64"/>
      <c r="B464" s="64"/>
      <c r="C464" s="64"/>
      <c r="D464" s="64"/>
      <c r="E464" s="64"/>
      <c r="F464" s="64"/>
      <c r="G464" s="64"/>
      <c r="H464" s="64"/>
      <c r="I464" s="64"/>
      <c r="J464" s="64"/>
      <c r="K464" s="64"/>
      <c r="L464" s="64"/>
      <c r="M464" s="60"/>
      <c r="N464" s="60"/>
      <c r="O464" s="60"/>
      <c r="P464" s="60"/>
      <c r="Q464" s="64"/>
      <c r="R464" s="64"/>
      <c r="S464" s="64"/>
      <c r="T464" s="64"/>
      <c r="U464" s="64"/>
      <c r="V464" s="64"/>
      <c r="W464" s="64"/>
      <c r="X464" s="64"/>
      <c r="Y464" s="64"/>
      <c r="Z464" s="64"/>
      <c r="AA464" s="64"/>
      <c r="AB464" s="64"/>
      <c r="AC464" s="64"/>
      <c r="AD464" s="64"/>
      <c r="AE464" s="64"/>
      <c r="AF464" s="64"/>
      <c r="AG464" s="64"/>
      <c r="AH464" s="64"/>
      <c r="AI464" s="64"/>
      <c r="AJ464" s="64"/>
    </row>
    <row r="465">
      <c r="A465" s="64"/>
      <c r="B465" s="64"/>
      <c r="C465" s="64"/>
      <c r="D465" s="64"/>
      <c r="E465" s="64"/>
      <c r="F465" s="64"/>
      <c r="G465" s="64"/>
      <c r="H465" s="64"/>
      <c r="I465" s="64"/>
      <c r="J465" s="64"/>
      <c r="K465" s="64"/>
      <c r="L465" s="64"/>
      <c r="M465" s="60"/>
      <c r="N465" s="60"/>
      <c r="O465" s="60"/>
      <c r="P465" s="60"/>
      <c r="Q465" s="64"/>
      <c r="R465" s="64"/>
      <c r="S465" s="64"/>
      <c r="T465" s="64"/>
      <c r="U465" s="64"/>
      <c r="V465" s="64"/>
      <c r="W465" s="64"/>
      <c r="X465" s="64"/>
      <c r="Y465" s="64"/>
      <c r="Z465" s="64"/>
      <c r="AA465" s="64"/>
      <c r="AB465" s="64"/>
      <c r="AC465" s="64"/>
      <c r="AD465" s="64"/>
      <c r="AE465" s="64"/>
      <c r="AF465" s="64"/>
      <c r="AG465" s="64"/>
      <c r="AH465" s="64"/>
      <c r="AI465" s="64"/>
      <c r="AJ465" s="64"/>
    </row>
    <row r="466">
      <c r="A466" s="64"/>
      <c r="B466" s="64"/>
      <c r="C466" s="64"/>
      <c r="D466" s="64"/>
      <c r="E466" s="64"/>
      <c r="F466" s="64"/>
      <c r="G466" s="64"/>
      <c r="H466" s="64"/>
      <c r="I466" s="64"/>
      <c r="J466" s="64"/>
      <c r="K466" s="64"/>
      <c r="L466" s="64"/>
      <c r="M466" s="60"/>
      <c r="N466" s="60"/>
      <c r="O466" s="60"/>
      <c r="P466" s="60"/>
      <c r="Q466" s="64"/>
      <c r="R466" s="64"/>
      <c r="S466" s="64"/>
      <c r="T466" s="64"/>
      <c r="U466" s="64"/>
      <c r="V466" s="64"/>
      <c r="W466" s="64"/>
      <c r="X466" s="64"/>
      <c r="Y466" s="64"/>
      <c r="Z466" s="64"/>
      <c r="AA466" s="64"/>
      <c r="AB466" s="64"/>
      <c r="AC466" s="64"/>
      <c r="AD466" s="64"/>
      <c r="AE466" s="64"/>
      <c r="AF466" s="64"/>
      <c r="AG466" s="64"/>
      <c r="AH466" s="64"/>
      <c r="AI466" s="64"/>
      <c r="AJ466" s="64"/>
    </row>
    <row r="467">
      <c r="A467" s="64"/>
      <c r="B467" s="64"/>
      <c r="C467" s="64"/>
      <c r="D467" s="64"/>
      <c r="E467" s="64"/>
      <c r="F467" s="64"/>
      <c r="G467" s="64"/>
      <c r="H467" s="64"/>
      <c r="I467" s="64"/>
      <c r="J467" s="64"/>
      <c r="K467" s="64"/>
      <c r="L467" s="64"/>
      <c r="M467" s="60"/>
      <c r="N467" s="60"/>
      <c r="O467" s="60"/>
      <c r="P467" s="60"/>
      <c r="Q467" s="64"/>
      <c r="R467" s="64"/>
      <c r="S467" s="64"/>
      <c r="T467" s="64"/>
      <c r="U467" s="64"/>
      <c r="V467" s="64"/>
      <c r="W467" s="64"/>
      <c r="X467" s="64"/>
      <c r="Y467" s="64"/>
      <c r="Z467" s="64"/>
      <c r="AA467" s="64"/>
      <c r="AB467" s="64"/>
      <c r="AC467" s="64"/>
      <c r="AD467" s="64"/>
      <c r="AE467" s="64"/>
      <c r="AF467" s="64"/>
      <c r="AG467" s="64"/>
      <c r="AH467" s="64"/>
      <c r="AI467" s="64"/>
      <c r="AJ467" s="64"/>
    </row>
    <row r="468">
      <c r="A468" s="64"/>
      <c r="B468" s="64"/>
      <c r="C468" s="64"/>
      <c r="D468" s="64"/>
      <c r="E468" s="64"/>
      <c r="F468" s="64"/>
      <c r="G468" s="64"/>
      <c r="H468" s="64"/>
      <c r="I468" s="64"/>
      <c r="J468" s="64"/>
      <c r="K468" s="64"/>
      <c r="L468" s="64"/>
      <c r="M468" s="60"/>
      <c r="N468" s="60"/>
      <c r="O468" s="60"/>
      <c r="P468" s="60"/>
      <c r="Q468" s="64"/>
      <c r="R468" s="64"/>
      <c r="S468" s="64"/>
      <c r="T468" s="64"/>
      <c r="U468" s="64"/>
      <c r="V468" s="64"/>
      <c r="W468" s="64"/>
      <c r="X468" s="64"/>
      <c r="Y468" s="64"/>
      <c r="Z468" s="64"/>
      <c r="AA468" s="64"/>
      <c r="AB468" s="64"/>
      <c r="AC468" s="64"/>
      <c r="AD468" s="64"/>
      <c r="AE468" s="64"/>
      <c r="AF468" s="64"/>
      <c r="AG468" s="64"/>
      <c r="AH468" s="64"/>
      <c r="AI468" s="64"/>
      <c r="AJ468" s="64"/>
    </row>
    <row r="469">
      <c r="A469" s="64"/>
      <c r="B469" s="64"/>
      <c r="C469" s="64"/>
      <c r="D469" s="64"/>
      <c r="E469" s="64"/>
      <c r="F469" s="64"/>
      <c r="G469" s="64"/>
      <c r="H469" s="64"/>
      <c r="I469" s="64"/>
      <c r="J469" s="64"/>
      <c r="K469" s="64"/>
      <c r="L469" s="64"/>
      <c r="M469" s="60"/>
      <c r="N469" s="60"/>
      <c r="O469" s="60"/>
      <c r="P469" s="60"/>
      <c r="Q469" s="64"/>
      <c r="R469" s="64"/>
      <c r="S469" s="64"/>
      <c r="T469" s="64"/>
      <c r="U469" s="64"/>
      <c r="V469" s="64"/>
      <c r="W469" s="64"/>
      <c r="X469" s="64"/>
      <c r="Y469" s="64"/>
      <c r="Z469" s="64"/>
      <c r="AA469" s="64"/>
      <c r="AB469" s="64"/>
      <c r="AC469" s="64"/>
      <c r="AD469" s="64"/>
      <c r="AE469" s="64"/>
      <c r="AF469" s="64"/>
      <c r="AG469" s="64"/>
      <c r="AH469" s="64"/>
      <c r="AI469" s="64"/>
      <c r="AJ469" s="64"/>
    </row>
    <row r="470">
      <c r="A470" s="64"/>
      <c r="B470" s="64"/>
      <c r="C470" s="64"/>
      <c r="D470" s="64"/>
      <c r="E470" s="64"/>
      <c r="F470" s="64"/>
      <c r="G470" s="64"/>
      <c r="H470" s="64"/>
      <c r="I470" s="64"/>
      <c r="J470" s="64"/>
      <c r="K470" s="64"/>
      <c r="L470" s="64"/>
      <c r="M470" s="60"/>
      <c r="N470" s="60"/>
      <c r="O470" s="60"/>
      <c r="P470" s="60"/>
      <c r="Q470" s="64"/>
      <c r="R470" s="64"/>
      <c r="S470" s="64"/>
      <c r="T470" s="64"/>
      <c r="U470" s="64"/>
      <c r="V470" s="64"/>
      <c r="W470" s="64"/>
      <c r="X470" s="64"/>
      <c r="Y470" s="64"/>
      <c r="Z470" s="64"/>
      <c r="AA470" s="64"/>
      <c r="AB470" s="64"/>
      <c r="AC470" s="64"/>
      <c r="AD470" s="64"/>
      <c r="AE470" s="64"/>
      <c r="AF470" s="64"/>
      <c r="AG470" s="64"/>
      <c r="AH470" s="64"/>
      <c r="AI470" s="64"/>
      <c r="AJ470" s="64"/>
    </row>
    <row r="471">
      <c r="A471" s="64"/>
      <c r="B471" s="64"/>
      <c r="C471" s="64"/>
      <c r="D471" s="64"/>
      <c r="E471" s="64"/>
      <c r="F471" s="64"/>
      <c r="G471" s="64"/>
      <c r="H471" s="64"/>
      <c r="I471" s="64"/>
      <c r="J471" s="64"/>
      <c r="K471" s="64"/>
      <c r="L471" s="64"/>
      <c r="M471" s="60"/>
      <c r="N471" s="60"/>
      <c r="O471" s="60"/>
      <c r="P471" s="60"/>
      <c r="Q471" s="64"/>
      <c r="R471" s="64"/>
      <c r="S471" s="64"/>
      <c r="T471" s="64"/>
      <c r="U471" s="64"/>
      <c r="V471" s="64"/>
      <c r="W471" s="64"/>
      <c r="X471" s="64"/>
      <c r="Y471" s="64"/>
      <c r="Z471" s="64"/>
      <c r="AA471" s="64"/>
      <c r="AB471" s="64"/>
      <c r="AC471" s="64"/>
      <c r="AD471" s="64"/>
      <c r="AE471" s="64"/>
      <c r="AF471" s="64"/>
      <c r="AG471" s="64"/>
      <c r="AH471" s="64"/>
      <c r="AI471" s="64"/>
      <c r="AJ471" s="64"/>
    </row>
    <row r="472">
      <c r="A472" s="64"/>
      <c r="B472" s="64"/>
      <c r="C472" s="64"/>
      <c r="D472" s="64"/>
      <c r="E472" s="64"/>
      <c r="F472" s="64"/>
      <c r="G472" s="64"/>
      <c r="H472" s="64"/>
      <c r="I472" s="64"/>
      <c r="J472" s="64"/>
      <c r="K472" s="64"/>
      <c r="L472" s="64"/>
      <c r="M472" s="60"/>
      <c r="N472" s="60"/>
      <c r="O472" s="60"/>
      <c r="P472" s="60"/>
      <c r="Q472" s="64"/>
      <c r="R472" s="64"/>
      <c r="S472" s="64"/>
      <c r="T472" s="64"/>
      <c r="U472" s="64"/>
      <c r="V472" s="64"/>
      <c r="W472" s="64"/>
      <c r="X472" s="64"/>
      <c r="Y472" s="64"/>
      <c r="Z472" s="64"/>
      <c r="AA472" s="64"/>
      <c r="AB472" s="64"/>
      <c r="AC472" s="64"/>
      <c r="AD472" s="64"/>
      <c r="AE472" s="64"/>
      <c r="AF472" s="64"/>
      <c r="AG472" s="64"/>
      <c r="AH472" s="64"/>
      <c r="AI472" s="64"/>
      <c r="AJ472" s="64"/>
    </row>
    <row r="473">
      <c r="A473" s="64"/>
      <c r="B473" s="64"/>
      <c r="C473" s="64"/>
      <c r="D473" s="64"/>
      <c r="E473" s="64"/>
      <c r="F473" s="64"/>
      <c r="G473" s="64"/>
      <c r="H473" s="64"/>
      <c r="I473" s="64"/>
      <c r="J473" s="64"/>
      <c r="K473" s="64"/>
      <c r="L473" s="64"/>
      <c r="M473" s="60"/>
      <c r="N473" s="60"/>
      <c r="O473" s="60"/>
      <c r="P473" s="60"/>
      <c r="Q473" s="64"/>
      <c r="R473" s="64"/>
      <c r="S473" s="64"/>
      <c r="T473" s="64"/>
      <c r="U473" s="64"/>
      <c r="V473" s="64"/>
      <c r="W473" s="64"/>
      <c r="X473" s="64"/>
      <c r="Y473" s="64"/>
      <c r="Z473" s="64"/>
      <c r="AA473" s="64"/>
      <c r="AB473" s="64"/>
      <c r="AC473" s="64"/>
      <c r="AD473" s="64"/>
      <c r="AE473" s="64"/>
      <c r="AF473" s="64"/>
      <c r="AG473" s="64"/>
      <c r="AH473" s="64"/>
      <c r="AI473" s="64"/>
      <c r="AJ473" s="64"/>
    </row>
    <row r="474">
      <c r="A474" s="64"/>
      <c r="B474" s="64"/>
      <c r="C474" s="64"/>
      <c r="D474" s="64"/>
      <c r="E474" s="64"/>
      <c r="F474" s="64"/>
      <c r="G474" s="64"/>
      <c r="H474" s="64"/>
      <c r="I474" s="64"/>
      <c r="J474" s="64"/>
      <c r="K474" s="64"/>
      <c r="L474" s="64"/>
      <c r="M474" s="60"/>
      <c r="N474" s="60"/>
      <c r="O474" s="60"/>
      <c r="P474" s="60"/>
      <c r="Q474" s="64"/>
      <c r="R474" s="64"/>
      <c r="S474" s="64"/>
      <c r="T474" s="64"/>
      <c r="U474" s="64"/>
      <c r="V474" s="64"/>
      <c r="W474" s="64"/>
      <c r="X474" s="64"/>
      <c r="Y474" s="64"/>
      <c r="Z474" s="64"/>
      <c r="AA474" s="64"/>
      <c r="AB474" s="64"/>
      <c r="AC474" s="64"/>
      <c r="AD474" s="64"/>
      <c r="AE474" s="64"/>
      <c r="AF474" s="64"/>
      <c r="AG474" s="64"/>
      <c r="AH474" s="64"/>
      <c r="AI474" s="64"/>
      <c r="AJ474" s="64"/>
    </row>
    <row r="475">
      <c r="A475" s="64"/>
      <c r="B475" s="64"/>
      <c r="C475" s="64"/>
      <c r="D475" s="64"/>
      <c r="E475" s="64"/>
      <c r="F475" s="64"/>
      <c r="G475" s="64"/>
      <c r="H475" s="64"/>
      <c r="I475" s="64"/>
      <c r="J475" s="64"/>
      <c r="K475" s="64"/>
      <c r="L475" s="64"/>
      <c r="M475" s="60"/>
      <c r="N475" s="60"/>
      <c r="O475" s="60"/>
      <c r="P475" s="60"/>
      <c r="Q475" s="64"/>
      <c r="R475" s="64"/>
      <c r="S475" s="64"/>
      <c r="T475" s="64"/>
      <c r="U475" s="64"/>
      <c r="V475" s="64"/>
      <c r="W475" s="64"/>
      <c r="X475" s="64"/>
      <c r="Y475" s="64"/>
      <c r="Z475" s="64"/>
      <c r="AA475" s="64"/>
      <c r="AB475" s="64"/>
      <c r="AC475" s="64"/>
      <c r="AD475" s="64"/>
      <c r="AE475" s="64"/>
      <c r="AF475" s="64"/>
      <c r="AG475" s="64"/>
      <c r="AH475" s="64"/>
      <c r="AI475" s="64"/>
      <c r="AJ475" s="64"/>
    </row>
    <row r="476">
      <c r="A476" s="64"/>
      <c r="B476" s="64"/>
      <c r="C476" s="64"/>
      <c r="D476" s="64"/>
      <c r="E476" s="64"/>
      <c r="F476" s="64"/>
      <c r="G476" s="64"/>
      <c r="H476" s="64"/>
      <c r="I476" s="64"/>
      <c r="J476" s="64"/>
      <c r="K476" s="64"/>
      <c r="L476" s="64"/>
      <c r="M476" s="60"/>
      <c r="N476" s="60"/>
      <c r="O476" s="60"/>
      <c r="P476" s="60"/>
      <c r="Q476" s="64"/>
      <c r="R476" s="64"/>
      <c r="S476" s="64"/>
      <c r="T476" s="64"/>
      <c r="U476" s="64"/>
      <c r="V476" s="64"/>
      <c r="W476" s="64"/>
      <c r="X476" s="64"/>
      <c r="Y476" s="64"/>
      <c r="Z476" s="64"/>
      <c r="AA476" s="64"/>
      <c r="AB476" s="64"/>
      <c r="AC476" s="64"/>
      <c r="AD476" s="64"/>
      <c r="AE476" s="64"/>
      <c r="AF476" s="64"/>
      <c r="AG476" s="64"/>
      <c r="AH476" s="64"/>
      <c r="AI476" s="64"/>
      <c r="AJ476" s="64"/>
    </row>
    <row r="477">
      <c r="A477" s="64"/>
      <c r="B477" s="64"/>
      <c r="C477" s="64"/>
      <c r="D477" s="64"/>
      <c r="E477" s="64"/>
      <c r="F477" s="64"/>
      <c r="G477" s="64"/>
      <c r="H477" s="64"/>
      <c r="I477" s="64"/>
      <c r="J477" s="64"/>
      <c r="K477" s="64"/>
      <c r="L477" s="64"/>
      <c r="M477" s="60"/>
      <c r="N477" s="60"/>
      <c r="O477" s="60"/>
      <c r="P477" s="60"/>
      <c r="Q477" s="64"/>
      <c r="R477" s="64"/>
      <c r="S477" s="64"/>
      <c r="T477" s="64"/>
      <c r="U477" s="64"/>
      <c r="V477" s="64"/>
      <c r="W477" s="64"/>
      <c r="X477" s="64"/>
      <c r="Y477" s="64"/>
      <c r="Z477" s="64"/>
      <c r="AA477" s="64"/>
      <c r="AB477" s="64"/>
      <c r="AC477" s="64"/>
      <c r="AD477" s="64"/>
      <c r="AE477" s="64"/>
      <c r="AF477" s="64"/>
      <c r="AG477" s="64"/>
      <c r="AH477" s="64"/>
      <c r="AI477" s="64"/>
      <c r="AJ477" s="64"/>
    </row>
    <row r="478">
      <c r="A478" s="64"/>
      <c r="B478" s="64"/>
      <c r="C478" s="64"/>
      <c r="D478" s="64"/>
      <c r="E478" s="64"/>
      <c r="F478" s="64"/>
      <c r="G478" s="64"/>
      <c r="H478" s="64"/>
      <c r="I478" s="64"/>
      <c r="J478" s="64"/>
      <c r="K478" s="64"/>
      <c r="L478" s="64"/>
      <c r="M478" s="60"/>
      <c r="N478" s="60"/>
      <c r="O478" s="60"/>
      <c r="P478" s="60"/>
      <c r="Q478" s="64"/>
      <c r="R478" s="64"/>
      <c r="S478" s="64"/>
      <c r="T478" s="64"/>
      <c r="U478" s="64"/>
      <c r="V478" s="64"/>
      <c r="W478" s="64"/>
      <c r="X478" s="64"/>
      <c r="Y478" s="64"/>
      <c r="Z478" s="64"/>
      <c r="AA478" s="64"/>
      <c r="AB478" s="64"/>
      <c r="AC478" s="64"/>
      <c r="AD478" s="64"/>
      <c r="AE478" s="64"/>
      <c r="AF478" s="64"/>
      <c r="AG478" s="64"/>
      <c r="AH478" s="64"/>
      <c r="AI478" s="64"/>
      <c r="AJ478" s="64"/>
    </row>
    <row r="479">
      <c r="A479" s="64"/>
      <c r="B479" s="64"/>
      <c r="C479" s="64"/>
      <c r="D479" s="64"/>
      <c r="E479" s="64"/>
      <c r="F479" s="64"/>
      <c r="G479" s="64"/>
      <c r="H479" s="64"/>
      <c r="I479" s="64"/>
      <c r="J479" s="64"/>
      <c r="K479" s="64"/>
      <c r="L479" s="64"/>
      <c r="M479" s="60"/>
      <c r="N479" s="60"/>
      <c r="O479" s="60"/>
      <c r="P479" s="60"/>
      <c r="Q479" s="64"/>
      <c r="R479" s="64"/>
      <c r="S479" s="64"/>
      <c r="T479" s="64"/>
      <c r="U479" s="64"/>
      <c r="V479" s="64"/>
      <c r="W479" s="64"/>
      <c r="X479" s="64"/>
      <c r="Y479" s="64"/>
      <c r="Z479" s="64"/>
      <c r="AA479" s="64"/>
      <c r="AB479" s="64"/>
      <c r="AC479" s="64"/>
      <c r="AD479" s="64"/>
      <c r="AE479" s="64"/>
      <c r="AF479" s="64"/>
      <c r="AG479" s="64"/>
      <c r="AH479" s="64"/>
      <c r="AI479" s="64"/>
      <c r="AJ479" s="64"/>
    </row>
    <row r="480">
      <c r="A480" s="64"/>
      <c r="B480" s="64"/>
      <c r="C480" s="64"/>
      <c r="D480" s="64"/>
      <c r="E480" s="64"/>
      <c r="F480" s="64"/>
      <c r="G480" s="64"/>
      <c r="H480" s="64"/>
      <c r="I480" s="64"/>
      <c r="J480" s="64"/>
      <c r="K480" s="64"/>
      <c r="L480" s="64"/>
      <c r="M480" s="60"/>
      <c r="N480" s="60"/>
      <c r="O480" s="60"/>
      <c r="P480" s="60"/>
      <c r="Q480" s="64"/>
      <c r="R480" s="64"/>
      <c r="S480" s="64"/>
      <c r="T480" s="64"/>
      <c r="U480" s="64"/>
      <c r="V480" s="64"/>
      <c r="W480" s="64"/>
      <c r="X480" s="64"/>
      <c r="Y480" s="64"/>
      <c r="Z480" s="64"/>
      <c r="AA480" s="64"/>
      <c r="AB480" s="64"/>
      <c r="AC480" s="64"/>
      <c r="AD480" s="64"/>
      <c r="AE480" s="64"/>
      <c r="AF480" s="64"/>
      <c r="AG480" s="64"/>
      <c r="AH480" s="64"/>
      <c r="AI480" s="64"/>
      <c r="AJ480" s="64"/>
    </row>
    <row r="481">
      <c r="A481" s="64"/>
      <c r="B481" s="64"/>
      <c r="C481" s="64"/>
      <c r="D481" s="64"/>
      <c r="E481" s="64"/>
      <c r="F481" s="64"/>
      <c r="G481" s="64"/>
      <c r="H481" s="64"/>
      <c r="I481" s="64"/>
      <c r="J481" s="64"/>
      <c r="K481" s="64"/>
      <c r="L481" s="64"/>
      <c r="M481" s="60"/>
      <c r="N481" s="60"/>
      <c r="O481" s="60"/>
      <c r="P481" s="60"/>
      <c r="Q481" s="64"/>
      <c r="R481" s="64"/>
      <c r="S481" s="64"/>
      <c r="T481" s="64"/>
      <c r="U481" s="64"/>
      <c r="V481" s="64"/>
      <c r="W481" s="64"/>
      <c r="X481" s="64"/>
      <c r="Y481" s="64"/>
      <c r="Z481" s="64"/>
      <c r="AA481" s="64"/>
      <c r="AB481" s="64"/>
      <c r="AC481" s="64"/>
      <c r="AD481" s="64"/>
      <c r="AE481" s="64"/>
      <c r="AF481" s="64"/>
      <c r="AG481" s="64"/>
      <c r="AH481" s="64"/>
      <c r="AI481" s="64"/>
      <c r="AJ481" s="64"/>
    </row>
    <row r="482">
      <c r="A482" s="64"/>
      <c r="B482" s="64"/>
      <c r="C482" s="64"/>
      <c r="D482" s="64"/>
      <c r="E482" s="64"/>
      <c r="F482" s="64"/>
      <c r="G482" s="64"/>
      <c r="H482" s="64"/>
      <c r="I482" s="64"/>
      <c r="J482" s="64"/>
      <c r="K482" s="64"/>
      <c r="L482" s="64"/>
      <c r="M482" s="60"/>
      <c r="N482" s="60"/>
      <c r="O482" s="60"/>
      <c r="P482" s="60"/>
      <c r="Q482" s="64"/>
      <c r="R482" s="64"/>
      <c r="S482" s="64"/>
      <c r="T482" s="64"/>
      <c r="U482" s="64"/>
      <c r="V482" s="64"/>
      <c r="W482" s="64"/>
      <c r="X482" s="64"/>
      <c r="Y482" s="64"/>
      <c r="Z482" s="64"/>
      <c r="AA482" s="64"/>
      <c r="AB482" s="64"/>
      <c r="AC482" s="64"/>
      <c r="AD482" s="64"/>
      <c r="AE482" s="64"/>
      <c r="AF482" s="64"/>
      <c r="AG482" s="64"/>
      <c r="AH482" s="64"/>
      <c r="AI482" s="64"/>
      <c r="AJ482" s="64"/>
    </row>
    <row r="483">
      <c r="A483" s="64"/>
      <c r="B483" s="64"/>
      <c r="C483" s="64"/>
      <c r="D483" s="64"/>
      <c r="E483" s="64"/>
      <c r="F483" s="64"/>
      <c r="G483" s="64"/>
      <c r="H483" s="64"/>
      <c r="I483" s="64"/>
      <c r="J483" s="64"/>
      <c r="K483" s="64"/>
      <c r="L483" s="64"/>
      <c r="M483" s="60"/>
      <c r="N483" s="60"/>
      <c r="O483" s="60"/>
      <c r="P483" s="60"/>
      <c r="Q483" s="64"/>
      <c r="R483" s="64"/>
      <c r="S483" s="64"/>
      <c r="T483" s="64"/>
      <c r="U483" s="64"/>
      <c r="V483" s="64"/>
      <c r="W483" s="64"/>
      <c r="X483" s="64"/>
      <c r="Y483" s="64"/>
      <c r="Z483" s="64"/>
      <c r="AA483" s="64"/>
      <c r="AB483" s="64"/>
      <c r="AC483" s="64"/>
      <c r="AD483" s="64"/>
      <c r="AE483" s="64"/>
      <c r="AF483" s="64"/>
      <c r="AG483" s="64"/>
      <c r="AH483" s="64"/>
      <c r="AI483" s="64"/>
      <c r="AJ483" s="64"/>
    </row>
    <row r="484">
      <c r="A484" s="64"/>
      <c r="B484" s="64"/>
      <c r="C484" s="64"/>
      <c r="D484" s="64"/>
      <c r="E484" s="64"/>
      <c r="F484" s="64"/>
      <c r="G484" s="64"/>
      <c r="H484" s="64"/>
      <c r="I484" s="64"/>
      <c r="J484" s="64"/>
      <c r="K484" s="64"/>
      <c r="L484" s="64"/>
      <c r="M484" s="60"/>
      <c r="N484" s="60"/>
      <c r="O484" s="60"/>
      <c r="P484" s="60"/>
      <c r="Q484" s="64"/>
      <c r="R484" s="64"/>
      <c r="S484" s="64"/>
      <c r="T484" s="64"/>
      <c r="U484" s="64"/>
      <c r="V484" s="64"/>
      <c r="W484" s="64"/>
      <c r="X484" s="64"/>
      <c r="Y484" s="64"/>
      <c r="Z484" s="64"/>
      <c r="AA484" s="64"/>
      <c r="AB484" s="64"/>
      <c r="AC484" s="64"/>
      <c r="AD484" s="64"/>
      <c r="AE484" s="64"/>
      <c r="AF484" s="64"/>
      <c r="AG484" s="64"/>
      <c r="AH484" s="64"/>
      <c r="AI484" s="64"/>
      <c r="AJ484" s="64"/>
    </row>
    <row r="485">
      <c r="A485" s="64"/>
      <c r="B485" s="64"/>
      <c r="C485" s="64"/>
      <c r="D485" s="64"/>
      <c r="E485" s="64"/>
      <c r="F485" s="64"/>
      <c r="G485" s="64"/>
      <c r="H485" s="64"/>
      <c r="I485" s="64"/>
      <c r="J485" s="64"/>
      <c r="K485" s="64"/>
      <c r="L485" s="64"/>
      <c r="M485" s="60"/>
      <c r="N485" s="60"/>
      <c r="O485" s="60"/>
      <c r="P485" s="60"/>
      <c r="Q485" s="64"/>
      <c r="R485" s="64"/>
      <c r="S485" s="64"/>
      <c r="T485" s="64"/>
      <c r="U485" s="64"/>
      <c r="V485" s="64"/>
      <c r="W485" s="64"/>
      <c r="X485" s="64"/>
      <c r="Y485" s="64"/>
      <c r="Z485" s="64"/>
      <c r="AA485" s="64"/>
      <c r="AB485" s="64"/>
      <c r="AC485" s="64"/>
      <c r="AD485" s="64"/>
      <c r="AE485" s="64"/>
      <c r="AF485" s="64"/>
      <c r="AG485" s="64"/>
      <c r="AH485" s="64"/>
      <c r="AI485" s="64"/>
      <c r="AJ485" s="64"/>
    </row>
    <row r="486">
      <c r="A486" s="64"/>
      <c r="B486" s="64"/>
      <c r="C486" s="64"/>
      <c r="D486" s="64"/>
      <c r="E486" s="64"/>
      <c r="F486" s="64"/>
      <c r="G486" s="64"/>
      <c r="H486" s="64"/>
      <c r="I486" s="64"/>
      <c r="J486" s="64"/>
      <c r="K486" s="64"/>
      <c r="L486" s="64"/>
      <c r="M486" s="60"/>
      <c r="N486" s="60"/>
      <c r="O486" s="60"/>
      <c r="P486" s="60"/>
      <c r="Q486" s="64"/>
      <c r="R486" s="64"/>
      <c r="S486" s="64"/>
      <c r="T486" s="64"/>
      <c r="U486" s="64"/>
      <c r="V486" s="64"/>
      <c r="W486" s="64"/>
      <c r="X486" s="64"/>
      <c r="Y486" s="64"/>
      <c r="Z486" s="64"/>
      <c r="AA486" s="64"/>
      <c r="AB486" s="64"/>
      <c r="AC486" s="64"/>
      <c r="AD486" s="64"/>
      <c r="AE486" s="64"/>
      <c r="AF486" s="64"/>
      <c r="AG486" s="64"/>
      <c r="AH486" s="64"/>
      <c r="AI486" s="64"/>
      <c r="AJ486" s="64"/>
    </row>
    <row r="487">
      <c r="A487" s="64"/>
      <c r="B487" s="64"/>
      <c r="C487" s="64"/>
      <c r="D487" s="64"/>
      <c r="E487" s="64"/>
      <c r="F487" s="64"/>
      <c r="G487" s="64"/>
      <c r="H487" s="64"/>
      <c r="I487" s="64"/>
      <c r="J487" s="64"/>
      <c r="K487" s="64"/>
      <c r="L487" s="64"/>
      <c r="M487" s="60"/>
      <c r="N487" s="60"/>
      <c r="O487" s="60"/>
      <c r="P487" s="60"/>
      <c r="Q487" s="64"/>
      <c r="R487" s="64"/>
      <c r="S487" s="64"/>
      <c r="T487" s="64"/>
      <c r="U487" s="64"/>
      <c r="V487" s="64"/>
      <c r="W487" s="64"/>
      <c r="X487" s="64"/>
      <c r="Y487" s="64"/>
      <c r="Z487" s="64"/>
      <c r="AA487" s="64"/>
      <c r="AB487" s="64"/>
      <c r="AC487" s="64"/>
      <c r="AD487" s="64"/>
      <c r="AE487" s="64"/>
      <c r="AF487" s="64"/>
      <c r="AG487" s="64"/>
      <c r="AH487" s="64"/>
      <c r="AI487" s="64"/>
      <c r="AJ487" s="64"/>
    </row>
    <row r="488">
      <c r="A488" s="64"/>
      <c r="B488" s="64"/>
      <c r="C488" s="64"/>
      <c r="D488" s="64"/>
      <c r="E488" s="64"/>
      <c r="F488" s="64"/>
      <c r="G488" s="64"/>
      <c r="H488" s="64"/>
      <c r="I488" s="64"/>
      <c r="J488" s="64"/>
      <c r="K488" s="64"/>
      <c r="L488" s="64"/>
      <c r="M488" s="60"/>
      <c r="N488" s="60"/>
      <c r="O488" s="60"/>
      <c r="P488" s="60"/>
      <c r="Q488" s="64"/>
      <c r="R488" s="64"/>
      <c r="S488" s="64"/>
      <c r="T488" s="64"/>
      <c r="U488" s="64"/>
      <c r="V488" s="64"/>
      <c r="W488" s="64"/>
      <c r="X488" s="64"/>
      <c r="Y488" s="64"/>
      <c r="Z488" s="64"/>
      <c r="AA488" s="64"/>
      <c r="AB488" s="64"/>
      <c r="AC488" s="64"/>
      <c r="AD488" s="64"/>
      <c r="AE488" s="64"/>
      <c r="AF488" s="64"/>
      <c r="AG488" s="64"/>
      <c r="AH488" s="64"/>
      <c r="AI488" s="64"/>
      <c r="AJ488" s="64"/>
    </row>
    <row r="489">
      <c r="A489" s="64"/>
      <c r="B489" s="64"/>
      <c r="C489" s="64"/>
      <c r="D489" s="64"/>
      <c r="E489" s="64"/>
      <c r="F489" s="64"/>
      <c r="G489" s="64"/>
      <c r="H489" s="64"/>
      <c r="I489" s="64"/>
      <c r="J489" s="64"/>
      <c r="K489" s="64"/>
      <c r="L489" s="64"/>
      <c r="M489" s="60"/>
      <c r="N489" s="60"/>
      <c r="O489" s="60"/>
      <c r="P489" s="60"/>
      <c r="Q489" s="64"/>
      <c r="R489" s="64"/>
      <c r="S489" s="64"/>
      <c r="T489" s="64"/>
      <c r="U489" s="64"/>
      <c r="V489" s="64"/>
      <c r="W489" s="64"/>
      <c r="X489" s="64"/>
      <c r="Y489" s="64"/>
      <c r="Z489" s="64"/>
      <c r="AA489" s="64"/>
      <c r="AB489" s="64"/>
      <c r="AC489" s="64"/>
      <c r="AD489" s="64"/>
      <c r="AE489" s="64"/>
      <c r="AF489" s="64"/>
      <c r="AG489" s="64"/>
      <c r="AH489" s="64"/>
      <c r="AI489" s="64"/>
      <c r="AJ489" s="64"/>
    </row>
    <row r="490">
      <c r="A490" s="64"/>
      <c r="B490" s="64"/>
      <c r="C490" s="64"/>
      <c r="D490" s="64"/>
      <c r="E490" s="64"/>
      <c r="F490" s="64"/>
      <c r="G490" s="64"/>
      <c r="H490" s="64"/>
      <c r="I490" s="64"/>
      <c r="J490" s="64"/>
      <c r="K490" s="64"/>
      <c r="L490" s="64"/>
      <c r="M490" s="60"/>
      <c r="N490" s="60"/>
      <c r="O490" s="60"/>
      <c r="P490" s="60"/>
      <c r="Q490" s="64"/>
      <c r="R490" s="64"/>
      <c r="S490" s="64"/>
      <c r="T490" s="64"/>
      <c r="U490" s="64"/>
      <c r="V490" s="64"/>
      <c r="W490" s="64"/>
      <c r="X490" s="64"/>
      <c r="Y490" s="64"/>
      <c r="Z490" s="64"/>
      <c r="AA490" s="64"/>
      <c r="AB490" s="64"/>
      <c r="AC490" s="64"/>
      <c r="AD490" s="64"/>
      <c r="AE490" s="64"/>
      <c r="AF490" s="64"/>
      <c r="AG490" s="64"/>
      <c r="AH490" s="64"/>
      <c r="AI490" s="64"/>
      <c r="AJ490" s="64"/>
    </row>
    <row r="491">
      <c r="A491" s="64"/>
      <c r="B491" s="64"/>
      <c r="C491" s="64"/>
      <c r="D491" s="64"/>
      <c r="E491" s="64"/>
      <c r="F491" s="64"/>
      <c r="G491" s="64"/>
      <c r="H491" s="64"/>
      <c r="I491" s="64"/>
      <c r="J491" s="64"/>
      <c r="K491" s="64"/>
      <c r="L491" s="64"/>
      <c r="M491" s="60"/>
      <c r="N491" s="60"/>
      <c r="O491" s="60"/>
      <c r="P491" s="60"/>
      <c r="Q491" s="64"/>
      <c r="R491" s="64"/>
      <c r="S491" s="64"/>
      <c r="T491" s="64"/>
      <c r="U491" s="64"/>
      <c r="V491" s="64"/>
      <c r="W491" s="64"/>
      <c r="X491" s="64"/>
      <c r="Y491" s="64"/>
      <c r="Z491" s="64"/>
      <c r="AA491" s="64"/>
      <c r="AB491" s="64"/>
      <c r="AC491" s="64"/>
      <c r="AD491" s="64"/>
      <c r="AE491" s="64"/>
      <c r="AF491" s="64"/>
      <c r="AG491" s="64"/>
      <c r="AH491" s="64"/>
      <c r="AI491" s="64"/>
      <c r="AJ491" s="64"/>
    </row>
    <row r="492">
      <c r="A492" s="64"/>
      <c r="B492" s="64"/>
      <c r="C492" s="64"/>
      <c r="D492" s="64"/>
      <c r="E492" s="64"/>
      <c r="F492" s="64"/>
      <c r="G492" s="64"/>
      <c r="H492" s="64"/>
      <c r="I492" s="64"/>
      <c r="J492" s="64"/>
      <c r="K492" s="64"/>
      <c r="L492" s="64"/>
      <c r="M492" s="60"/>
      <c r="N492" s="60"/>
      <c r="O492" s="60"/>
      <c r="P492" s="60"/>
      <c r="Q492" s="64"/>
      <c r="R492" s="64"/>
      <c r="S492" s="64"/>
      <c r="T492" s="64"/>
      <c r="U492" s="64"/>
      <c r="V492" s="64"/>
      <c r="W492" s="64"/>
      <c r="X492" s="64"/>
      <c r="Y492" s="64"/>
      <c r="Z492" s="64"/>
      <c r="AA492" s="64"/>
      <c r="AB492" s="64"/>
      <c r="AC492" s="64"/>
      <c r="AD492" s="64"/>
      <c r="AE492" s="64"/>
      <c r="AF492" s="64"/>
      <c r="AG492" s="64"/>
      <c r="AH492" s="64"/>
      <c r="AI492" s="64"/>
      <c r="AJ492" s="64"/>
    </row>
    <row r="493">
      <c r="A493" s="64"/>
      <c r="B493" s="64"/>
      <c r="C493" s="64"/>
      <c r="D493" s="64"/>
      <c r="E493" s="64"/>
      <c r="F493" s="64"/>
      <c r="G493" s="64"/>
      <c r="H493" s="64"/>
      <c r="I493" s="64"/>
      <c r="J493" s="64"/>
      <c r="K493" s="64"/>
      <c r="L493" s="64"/>
      <c r="M493" s="60"/>
      <c r="N493" s="60"/>
      <c r="O493" s="60"/>
      <c r="P493" s="60"/>
      <c r="Q493" s="64"/>
      <c r="R493" s="64"/>
      <c r="S493" s="64"/>
      <c r="T493" s="64"/>
      <c r="U493" s="64"/>
      <c r="V493" s="64"/>
      <c r="W493" s="64"/>
      <c r="X493" s="64"/>
      <c r="Y493" s="64"/>
      <c r="Z493" s="64"/>
      <c r="AA493" s="64"/>
      <c r="AB493" s="64"/>
      <c r="AC493" s="64"/>
      <c r="AD493" s="64"/>
      <c r="AE493" s="64"/>
      <c r="AF493" s="64"/>
      <c r="AG493" s="64"/>
      <c r="AH493" s="64"/>
      <c r="AI493" s="64"/>
      <c r="AJ493" s="64"/>
    </row>
    <row r="494">
      <c r="A494" s="64"/>
      <c r="B494" s="64"/>
      <c r="C494" s="64"/>
      <c r="D494" s="64"/>
      <c r="E494" s="64"/>
      <c r="F494" s="64"/>
      <c r="G494" s="64"/>
      <c r="H494" s="64"/>
      <c r="I494" s="64"/>
      <c r="J494" s="64"/>
      <c r="K494" s="64"/>
      <c r="L494" s="64"/>
      <c r="M494" s="60"/>
      <c r="N494" s="60"/>
      <c r="O494" s="60"/>
      <c r="P494" s="60"/>
      <c r="Q494" s="64"/>
      <c r="R494" s="64"/>
      <c r="S494" s="64"/>
      <c r="T494" s="64"/>
      <c r="U494" s="64"/>
      <c r="V494" s="64"/>
      <c r="W494" s="64"/>
      <c r="X494" s="64"/>
      <c r="Y494" s="64"/>
      <c r="Z494" s="64"/>
      <c r="AA494" s="64"/>
      <c r="AB494" s="64"/>
      <c r="AC494" s="64"/>
      <c r="AD494" s="64"/>
      <c r="AE494" s="64"/>
      <c r="AF494" s="64"/>
      <c r="AG494" s="64"/>
      <c r="AH494" s="64"/>
      <c r="AI494" s="64"/>
      <c r="AJ494" s="64"/>
    </row>
    <row r="495">
      <c r="A495" s="64"/>
      <c r="B495" s="64"/>
      <c r="C495" s="64"/>
      <c r="D495" s="64"/>
      <c r="E495" s="64"/>
      <c r="F495" s="64"/>
      <c r="G495" s="64"/>
      <c r="H495" s="64"/>
      <c r="I495" s="64"/>
      <c r="J495" s="64"/>
      <c r="K495" s="64"/>
      <c r="L495" s="64"/>
      <c r="M495" s="60"/>
      <c r="N495" s="60"/>
      <c r="O495" s="60"/>
      <c r="P495" s="60"/>
      <c r="Q495" s="64"/>
      <c r="R495" s="64"/>
      <c r="S495" s="64"/>
      <c r="T495" s="64"/>
      <c r="U495" s="64"/>
      <c r="V495" s="64"/>
      <c r="W495" s="64"/>
      <c r="X495" s="64"/>
      <c r="Y495" s="64"/>
      <c r="Z495" s="64"/>
      <c r="AA495" s="64"/>
      <c r="AB495" s="64"/>
      <c r="AC495" s="64"/>
      <c r="AD495" s="64"/>
      <c r="AE495" s="64"/>
      <c r="AF495" s="64"/>
      <c r="AG495" s="64"/>
      <c r="AH495" s="64"/>
      <c r="AI495" s="64"/>
      <c r="AJ495" s="64"/>
    </row>
    <row r="496">
      <c r="A496" s="64"/>
      <c r="B496" s="64"/>
      <c r="C496" s="64"/>
      <c r="D496" s="64"/>
      <c r="E496" s="64"/>
      <c r="F496" s="64"/>
      <c r="G496" s="64"/>
      <c r="H496" s="64"/>
      <c r="I496" s="64"/>
      <c r="J496" s="64"/>
      <c r="K496" s="64"/>
      <c r="L496" s="64"/>
      <c r="M496" s="60"/>
      <c r="N496" s="60"/>
      <c r="O496" s="60"/>
      <c r="P496" s="60"/>
      <c r="Q496" s="64"/>
      <c r="R496" s="64"/>
      <c r="S496" s="64"/>
      <c r="T496" s="64"/>
      <c r="U496" s="64"/>
      <c r="V496" s="64"/>
      <c r="W496" s="64"/>
      <c r="X496" s="64"/>
      <c r="Y496" s="64"/>
      <c r="Z496" s="64"/>
      <c r="AA496" s="64"/>
      <c r="AB496" s="64"/>
      <c r="AC496" s="64"/>
      <c r="AD496" s="64"/>
      <c r="AE496" s="64"/>
      <c r="AF496" s="64"/>
      <c r="AG496" s="64"/>
      <c r="AH496" s="64"/>
      <c r="AI496" s="64"/>
      <c r="AJ496" s="64"/>
    </row>
    <row r="497">
      <c r="A497" s="64"/>
      <c r="B497" s="64"/>
      <c r="C497" s="64"/>
      <c r="D497" s="64"/>
      <c r="E497" s="64"/>
      <c r="F497" s="64"/>
      <c r="G497" s="64"/>
      <c r="H497" s="64"/>
      <c r="I497" s="64"/>
      <c r="J497" s="64"/>
      <c r="K497" s="64"/>
      <c r="L497" s="64"/>
      <c r="M497" s="60"/>
      <c r="N497" s="60"/>
      <c r="O497" s="60"/>
      <c r="P497" s="60"/>
      <c r="Q497" s="64"/>
      <c r="R497" s="64"/>
      <c r="S497" s="64"/>
      <c r="T497" s="64"/>
      <c r="U497" s="64"/>
      <c r="V497" s="64"/>
      <c r="W497" s="64"/>
      <c r="X497" s="64"/>
      <c r="Y497" s="64"/>
      <c r="Z497" s="64"/>
      <c r="AA497" s="64"/>
      <c r="AB497" s="64"/>
      <c r="AC497" s="64"/>
      <c r="AD497" s="64"/>
      <c r="AE497" s="64"/>
      <c r="AF497" s="64"/>
      <c r="AG497" s="64"/>
      <c r="AH497" s="64"/>
      <c r="AI497" s="64"/>
      <c r="AJ497" s="64"/>
    </row>
    <row r="498">
      <c r="A498" s="64"/>
      <c r="B498" s="64"/>
      <c r="C498" s="64"/>
      <c r="D498" s="64"/>
      <c r="E498" s="64"/>
      <c r="F498" s="64"/>
      <c r="G498" s="64"/>
      <c r="H498" s="64"/>
      <c r="I498" s="64"/>
      <c r="J498" s="64"/>
      <c r="K498" s="64"/>
      <c r="L498" s="64"/>
      <c r="M498" s="60"/>
      <c r="N498" s="60"/>
      <c r="O498" s="60"/>
      <c r="P498" s="60"/>
      <c r="Q498" s="64"/>
      <c r="R498" s="64"/>
      <c r="S498" s="64"/>
      <c r="T498" s="64"/>
      <c r="U498" s="64"/>
      <c r="V498" s="64"/>
      <c r="W498" s="64"/>
      <c r="X498" s="64"/>
      <c r="Y498" s="64"/>
      <c r="Z498" s="64"/>
      <c r="AA498" s="64"/>
      <c r="AB498" s="64"/>
      <c r="AC498" s="64"/>
      <c r="AD498" s="64"/>
      <c r="AE498" s="64"/>
      <c r="AF498" s="64"/>
      <c r="AG498" s="64"/>
      <c r="AH498" s="64"/>
      <c r="AI498" s="64"/>
      <c r="AJ498" s="64"/>
    </row>
    <row r="499">
      <c r="A499" s="64"/>
      <c r="B499" s="64"/>
      <c r="C499" s="64"/>
      <c r="D499" s="64"/>
      <c r="E499" s="64"/>
      <c r="F499" s="64"/>
      <c r="G499" s="64"/>
      <c r="H499" s="64"/>
      <c r="I499" s="64"/>
      <c r="J499" s="64"/>
      <c r="K499" s="64"/>
      <c r="L499" s="64"/>
      <c r="M499" s="60"/>
      <c r="N499" s="60"/>
      <c r="O499" s="60"/>
      <c r="P499" s="60"/>
      <c r="Q499" s="64"/>
      <c r="R499" s="64"/>
      <c r="S499" s="64"/>
      <c r="T499" s="64"/>
      <c r="U499" s="64"/>
      <c r="V499" s="64"/>
      <c r="W499" s="64"/>
      <c r="X499" s="64"/>
      <c r="Y499" s="64"/>
      <c r="Z499" s="64"/>
      <c r="AA499" s="64"/>
      <c r="AB499" s="64"/>
      <c r="AC499" s="64"/>
      <c r="AD499" s="64"/>
      <c r="AE499" s="64"/>
      <c r="AF499" s="64"/>
      <c r="AG499" s="64"/>
      <c r="AH499" s="64"/>
      <c r="AI499" s="64"/>
      <c r="AJ499" s="64"/>
    </row>
    <row r="500">
      <c r="A500" s="64"/>
      <c r="B500" s="64"/>
      <c r="C500" s="64"/>
      <c r="D500" s="64"/>
      <c r="E500" s="64"/>
      <c r="F500" s="64"/>
      <c r="G500" s="64"/>
      <c r="H500" s="64"/>
      <c r="I500" s="64"/>
      <c r="J500" s="64"/>
      <c r="K500" s="64"/>
      <c r="L500" s="64"/>
      <c r="M500" s="60"/>
      <c r="N500" s="60"/>
      <c r="O500" s="60"/>
      <c r="P500" s="60"/>
      <c r="Q500" s="64"/>
      <c r="R500" s="64"/>
      <c r="S500" s="64"/>
      <c r="T500" s="64"/>
      <c r="U500" s="64"/>
      <c r="V500" s="64"/>
      <c r="W500" s="64"/>
      <c r="X500" s="64"/>
      <c r="Y500" s="64"/>
      <c r="Z500" s="64"/>
      <c r="AA500" s="64"/>
      <c r="AB500" s="64"/>
      <c r="AC500" s="64"/>
      <c r="AD500" s="64"/>
      <c r="AE500" s="64"/>
      <c r="AF500" s="64"/>
      <c r="AG500" s="64"/>
      <c r="AH500" s="64"/>
      <c r="AI500" s="64"/>
      <c r="AJ500" s="64"/>
    </row>
    <row r="501">
      <c r="A501" s="64"/>
      <c r="B501" s="64"/>
      <c r="C501" s="64"/>
      <c r="D501" s="64"/>
      <c r="E501" s="64"/>
      <c r="F501" s="64"/>
      <c r="G501" s="64"/>
      <c r="H501" s="64"/>
      <c r="I501" s="64"/>
      <c r="J501" s="64"/>
      <c r="K501" s="64"/>
      <c r="L501" s="64"/>
      <c r="M501" s="60"/>
      <c r="N501" s="60"/>
      <c r="O501" s="60"/>
      <c r="P501" s="60"/>
      <c r="Q501" s="64"/>
      <c r="R501" s="64"/>
      <c r="S501" s="64"/>
      <c r="T501" s="64"/>
      <c r="U501" s="64"/>
      <c r="V501" s="64"/>
      <c r="W501" s="64"/>
      <c r="X501" s="64"/>
      <c r="Y501" s="64"/>
      <c r="Z501" s="64"/>
      <c r="AA501" s="64"/>
      <c r="AB501" s="64"/>
      <c r="AC501" s="64"/>
      <c r="AD501" s="64"/>
      <c r="AE501" s="64"/>
      <c r="AF501" s="64"/>
      <c r="AG501" s="64"/>
      <c r="AH501" s="64"/>
      <c r="AI501" s="64"/>
      <c r="AJ501" s="64"/>
    </row>
    <row r="502">
      <c r="A502" s="64"/>
      <c r="B502" s="64"/>
      <c r="C502" s="64"/>
      <c r="D502" s="64"/>
      <c r="E502" s="64"/>
      <c r="F502" s="64"/>
      <c r="G502" s="64"/>
      <c r="H502" s="64"/>
      <c r="I502" s="64"/>
      <c r="J502" s="64"/>
      <c r="K502" s="64"/>
      <c r="L502" s="64"/>
      <c r="M502" s="60"/>
      <c r="N502" s="60"/>
      <c r="O502" s="60"/>
      <c r="P502" s="60"/>
      <c r="Q502" s="64"/>
      <c r="R502" s="64"/>
      <c r="S502" s="64"/>
      <c r="T502" s="64"/>
      <c r="U502" s="64"/>
      <c r="V502" s="64"/>
      <c r="W502" s="64"/>
      <c r="X502" s="64"/>
      <c r="Y502" s="64"/>
      <c r="Z502" s="64"/>
      <c r="AA502" s="64"/>
      <c r="AB502" s="64"/>
      <c r="AC502" s="64"/>
      <c r="AD502" s="64"/>
      <c r="AE502" s="64"/>
      <c r="AF502" s="64"/>
      <c r="AG502" s="64"/>
      <c r="AH502" s="64"/>
      <c r="AI502" s="64"/>
      <c r="AJ502" s="64"/>
    </row>
    <row r="503">
      <c r="A503" s="64"/>
      <c r="B503" s="64"/>
      <c r="C503" s="64"/>
      <c r="D503" s="64"/>
      <c r="E503" s="64"/>
      <c r="F503" s="64"/>
      <c r="G503" s="64"/>
      <c r="H503" s="64"/>
      <c r="I503" s="64"/>
      <c r="J503" s="64"/>
      <c r="K503" s="64"/>
      <c r="L503" s="64"/>
      <c r="M503" s="60"/>
      <c r="N503" s="60"/>
      <c r="O503" s="60"/>
      <c r="P503" s="60"/>
      <c r="Q503" s="64"/>
      <c r="R503" s="64"/>
      <c r="S503" s="64"/>
      <c r="T503" s="64"/>
      <c r="U503" s="64"/>
      <c r="V503" s="64"/>
      <c r="W503" s="64"/>
      <c r="X503" s="64"/>
      <c r="Y503" s="64"/>
      <c r="Z503" s="64"/>
      <c r="AA503" s="64"/>
      <c r="AB503" s="64"/>
      <c r="AC503" s="64"/>
      <c r="AD503" s="64"/>
      <c r="AE503" s="64"/>
      <c r="AF503" s="64"/>
      <c r="AG503" s="64"/>
      <c r="AH503" s="64"/>
      <c r="AI503" s="64"/>
      <c r="AJ503" s="64"/>
    </row>
    <row r="504">
      <c r="A504" s="64"/>
      <c r="B504" s="64"/>
      <c r="C504" s="64"/>
      <c r="D504" s="64"/>
      <c r="E504" s="64"/>
      <c r="F504" s="64"/>
      <c r="G504" s="64"/>
      <c r="H504" s="64"/>
      <c r="I504" s="64"/>
      <c r="J504" s="64"/>
      <c r="K504" s="64"/>
      <c r="L504" s="64"/>
      <c r="M504" s="60"/>
      <c r="N504" s="60"/>
      <c r="O504" s="60"/>
      <c r="P504" s="60"/>
      <c r="Q504" s="64"/>
      <c r="R504" s="64"/>
      <c r="S504" s="64"/>
      <c r="T504" s="64"/>
      <c r="U504" s="64"/>
      <c r="V504" s="64"/>
      <c r="W504" s="64"/>
      <c r="X504" s="64"/>
      <c r="Y504" s="64"/>
      <c r="Z504" s="64"/>
      <c r="AA504" s="64"/>
      <c r="AB504" s="64"/>
      <c r="AC504" s="64"/>
      <c r="AD504" s="64"/>
      <c r="AE504" s="64"/>
      <c r="AF504" s="64"/>
      <c r="AG504" s="64"/>
      <c r="AH504" s="64"/>
      <c r="AI504" s="64"/>
      <c r="AJ504" s="64"/>
    </row>
    <row r="505">
      <c r="A505" s="64"/>
      <c r="B505" s="64"/>
      <c r="C505" s="64"/>
      <c r="D505" s="64"/>
      <c r="E505" s="64"/>
      <c r="F505" s="64"/>
      <c r="G505" s="64"/>
      <c r="H505" s="64"/>
      <c r="I505" s="64"/>
      <c r="J505" s="64"/>
      <c r="K505" s="64"/>
      <c r="L505" s="64"/>
      <c r="M505" s="60"/>
      <c r="N505" s="60"/>
      <c r="O505" s="60"/>
      <c r="P505" s="60"/>
      <c r="Q505" s="64"/>
      <c r="R505" s="64"/>
      <c r="S505" s="64"/>
      <c r="T505" s="64"/>
      <c r="U505" s="64"/>
      <c r="V505" s="64"/>
      <c r="W505" s="64"/>
      <c r="X505" s="64"/>
      <c r="Y505" s="64"/>
      <c r="Z505" s="64"/>
      <c r="AA505" s="64"/>
      <c r="AB505" s="64"/>
      <c r="AC505" s="64"/>
      <c r="AD505" s="64"/>
      <c r="AE505" s="64"/>
      <c r="AF505" s="64"/>
      <c r="AG505" s="64"/>
      <c r="AH505" s="64"/>
      <c r="AI505" s="64"/>
      <c r="AJ505" s="64"/>
    </row>
    <row r="506">
      <c r="A506" s="64"/>
      <c r="B506" s="64"/>
      <c r="C506" s="64"/>
      <c r="D506" s="64"/>
      <c r="E506" s="64"/>
      <c r="F506" s="64"/>
      <c r="G506" s="64"/>
      <c r="H506" s="64"/>
      <c r="I506" s="64"/>
      <c r="J506" s="64"/>
      <c r="K506" s="64"/>
      <c r="L506" s="64"/>
      <c r="M506" s="60"/>
      <c r="N506" s="60"/>
      <c r="O506" s="60"/>
      <c r="P506" s="60"/>
      <c r="Q506" s="64"/>
      <c r="R506" s="64"/>
      <c r="S506" s="64"/>
      <c r="T506" s="64"/>
      <c r="U506" s="64"/>
      <c r="V506" s="64"/>
      <c r="W506" s="64"/>
      <c r="X506" s="64"/>
      <c r="Y506" s="64"/>
      <c r="Z506" s="64"/>
      <c r="AA506" s="64"/>
      <c r="AB506" s="64"/>
      <c r="AC506" s="64"/>
      <c r="AD506" s="64"/>
      <c r="AE506" s="64"/>
      <c r="AF506" s="64"/>
      <c r="AG506" s="64"/>
      <c r="AH506" s="64"/>
      <c r="AI506" s="64"/>
      <c r="AJ506" s="64"/>
    </row>
    <row r="507">
      <c r="A507" s="64"/>
      <c r="B507" s="64"/>
      <c r="C507" s="64"/>
      <c r="D507" s="64"/>
      <c r="E507" s="64"/>
      <c r="F507" s="64"/>
      <c r="G507" s="64"/>
      <c r="H507" s="64"/>
      <c r="I507" s="64"/>
      <c r="J507" s="64"/>
      <c r="K507" s="64"/>
      <c r="L507" s="64"/>
      <c r="M507" s="60"/>
      <c r="N507" s="60"/>
      <c r="O507" s="60"/>
      <c r="P507" s="60"/>
      <c r="Q507" s="64"/>
      <c r="R507" s="64"/>
      <c r="S507" s="64"/>
      <c r="T507" s="64"/>
      <c r="U507" s="64"/>
      <c r="V507" s="64"/>
      <c r="W507" s="64"/>
      <c r="X507" s="64"/>
      <c r="Y507" s="64"/>
      <c r="Z507" s="64"/>
      <c r="AA507" s="64"/>
      <c r="AB507" s="64"/>
      <c r="AC507" s="64"/>
      <c r="AD507" s="64"/>
      <c r="AE507" s="64"/>
      <c r="AF507" s="64"/>
      <c r="AG507" s="64"/>
      <c r="AH507" s="64"/>
      <c r="AI507" s="64"/>
      <c r="AJ507" s="64"/>
    </row>
    <row r="508">
      <c r="A508" s="64"/>
      <c r="B508" s="64"/>
      <c r="C508" s="64"/>
      <c r="D508" s="64"/>
      <c r="E508" s="64"/>
      <c r="F508" s="64"/>
      <c r="G508" s="64"/>
      <c r="H508" s="64"/>
      <c r="I508" s="64"/>
      <c r="J508" s="64"/>
      <c r="K508" s="64"/>
      <c r="L508" s="64"/>
      <c r="M508" s="60"/>
      <c r="N508" s="60"/>
      <c r="O508" s="60"/>
      <c r="P508" s="60"/>
      <c r="Q508" s="64"/>
      <c r="R508" s="64"/>
      <c r="S508" s="64"/>
      <c r="T508" s="64"/>
      <c r="U508" s="64"/>
      <c r="V508" s="64"/>
      <c r="W508" s="64"/>
      <c r="X508" s="64"/>
      <c r="Y508" s="64"/>
      <c r="Z508" s="64"/>
      <c r="AA508" s="64"/>
      <c r="AB508" s="64"/>
      <c r="AC508" s="64"/>
      <c r="AD508" s="64"/>
      <c r="AE508" s="64"/>
      <c r="AF508" s="64"/>
      <c r="AG508" s="64"/>
      <c r="AH508" s="64"/>
      <c r="AI508" s="64"/>
      <c r="AJ508" s="64"/>
    </row>
    <row r="509">
      <c r="A509" s="64"/>
      <c r="B509" s="64"/>
      <c r="C509" s="64"/>
      <c r="D509" s="64"/>
      <c r="E509" s="64"/>
      <c r="F509" s="64"/>
      <c r="G509" s="64"/>
      <c r="H509" s="64"/>
      <c r="I509" s="64"/>
      <c r="J509" s="64"/>
      <c r="K509" s="64"/>
      <c r="L509" s="64"/>
      <c r="M509" s="60"/>
      <c r="N509" s="60"/>
      <c r="O509" s="60"/>
      <c r="P509" s="60"/>
      <c r="Q509" s="64"/>
      <c r="R509" s="64"/>
      <c r="S509" s="64"/>
      <c r="T509" s="64"/>
      <c r="U509" s="64"/>
      <c r="V509" s="64"/>
      <c r="W509" s="64"/>
      <c r="X509" s="64"/>
      <c r="Y509" s="64"/>
      <c r="Z509" s="64"/>
      <c r="AA509" s="64"/>
      <c r="AB509" s="64"/>
      <c r="AC509" s="64"/>
      <c r="AD509" s="64"/>
      <c r="AE509" s="64"/>
      <c r="AF509" s="64"/>
      <c r="AG509" s="64"/>
      <c r="AH509" s="64"/>
      <c r="AI509" s="64"/>
      <c r="AJ509" s="64"/>
    </row>
    <row r="510">
      <c r="A510" s="64"/>
      <c r="B510" s="64"/>
      <c r="C510" s="64"/>
      <c r="D510" s="64"/>
      <c r="E510" s="64"/>
      <c r="F510" s="64"/>
      <c r="G510" s="64"/>
      <c r="H510" s="64"/>
      <c r="I510" s="64"/>
      <c r="J510" s="64"/>
      <c r="K510" s="64"/>
      <c r="L510" s="64"/>
      <c r="M510" s="60"/>
      <c r="N510" s="60"/>
      <c r="O510" s="60"/>
      <c r="P510" s="60"/>
      <c r="Q510" s="64"/>
      <c r="R510" s="64"/>
      <c r="S510" s="64"/>
      <c r="T510" s="64"/>
      <c r="U510" s="64"/>
      <c r="V510" s="64"/>
      <c r="W510" s="64"/>
      <c r="X510" s="64"/>
      <c r="Y510" s="64"/>
      <c r="Z510" s="64"/>
      <c r="AA510" s="64"/>
      <c r="AB510" s="64"/>
      <c r="AC510" s="64"/>
      <c r="AD510" s="64"/>
      <c r="AE510" s="64"/>
      <c r="AF510" s="64"/>
      <c r="AG510" s="64"/>
      <c r="AH510" s="64"/>
      <c r="AI510" s="64"/>
      <c r="AJ510" s="64"/>
    </row>
    <row r="511">
      <c r="A511" s="64"/>
      <c r="B511" s="64"/>
      <c r="C511" s="64"/>
      <c r="D511" s="64"/>
      <c r="E511" s="64"/>
      <c r="F511" s="64"/>
      <c r="G511" s="64"/>
      <c r="H511" s="64"/>
      <c r="I511" s="64"/>
      <c r="J511" s="64"/>
      <c r="K511" s="64"/>
      <c r="L511" s="64"/>
      <c r="M511" s="60"/>
      <c r="N511" s="60"/>
      <c r="O511" s="60"/>
      <c r="P511" s="60"/>
      <c r="Q511" s="64"/>
      <c r="R511" s="64"/>
      <c r="S511" s="64"/>
      <c r="T511" s="64"/>
      <c r="U511" s="64"/>
      <c r="V511" s="64"/>
      <c r="W511" s="64"/>
      <c r="X511" s="64"/>
      <c r="Y511" s="64"/>
      <c r="Z511" s="64"/>
      <c r="AA511" s="64"/>
      <c r="AB511" s="64"/>
      <c r="AC511" s="64"/>
      <c r="AD511" s="64"/>
      <c r="AE511" s="64"/>
      <c r="AF511" s="64"/>
      <c r="AG511" s="64"/>
      <c r="AH511" s="64"/>
      <c r="AI511" s="64"/>
      <c r="AJ511" s="64"/>
    </row>
    <row r="512">
      <c r="A512" s="64"/>
      <c r="B512" s="64"/>
      <c r="C512" s="64"/>
      <c r="D512" s="64"/>
      <c r="E512" s="64"/>
      <c r="F512" s="64"/>
      <c r="G512" s="64"/>
      <c r="H512" s="64"/>
      <c r="I512" s="64"/>
      <c r="J512" s="64"/>
      <c r="K512" s="64"/>
      <c r="L512" s="64"/>
      <c r="M512" s="60"/>
      <c r="N512" s="60"/>
      <c r="O512" s="60"/>
      <c r="P512" s="60"/>
      <c r="Q512" s="64"/>
      <c r="R512" s="64"/>
      <c r="S512" s="64"/>
      <c r="T512" s="64"/>
      <c r="U512" s="64"/>
      <c r="V512" s="64"/>
      <c r="W512" s="64"/>
      <c r="X512" s="64"/>
      <c r="Y512" s="64"/>
      <c r="Z512" s="64"/>
      <c r="AA512" s="64"/>
      <c r="AB512" s="64"/>
      <c r="AC512" s="64"/>
      <c r="AD512" s="64"/>
      <c r="AE512" s="64"/>
      <c r="AF512" s="64"/>
      <c r="AG512" s="64"/>
      <c r="AH512" s="64"/>
      <c r="AI512" s="64"/>
      <c r="AJ512" s="64"/>
    </row>
    <row r="513">
      <c r="A513" s="64"/>
      <c r="B513" s="64"/>
      <c r="C513" s="64"/>
      <c r="D513" s="64"/>
      <c r="E513" s="64"/>
      <c r="F513" s="64"/>
      <c r="G513" s="64"/>
      <c r="H513" s="64"/>
      <c r="I513" s="64"/>
      <c r="J513" s="64"/>
      <c r="K513" s="64"/>
      <c r="L513" s="64"/>
      <c r="M513" s="60"/>
      <c r="N513" s="60"/>
      <c r="O513" s="60"/>
      <c r="P513" s="60"/>
      <c r="Q513" s="64"/>
      <c r="R513" s="64"/>
      <c r="S513" s="64"/>
      <c r="T513" s="64"/>
      <c r="U513" s="64"/>
      <c r="V513" s="64"/>
      <c r="W513" s="64"/>
      <c r="X513" s="64"/>
      <c r="Y513" s="64"/>
      <c r="Z513" s="64"/>
      <c r="AA513" s="64"/>
      <c r="AB513" s="64"/>
      <c r="AC513" s="64"/>
      <c r="AD513" s="64"/>
      <c r="AE513" s="64"/>
      <c r="AF513" s="64"/>
      <c r="AG513" s="64"/>
      <c r="AH513" s="64"/>
      <c r="AI513" s="64"/>
      <c r="AJ513" s="64"/>
    </row>
    <row r="514">
      <c r="A514" s="64"/>
      <c r="B514" s="64"/>
      <c r="C514" s="64"/>
      <c r="D514" s="64"/>
      <c r="E514" s="64"/>
      <c r="F514" s="64"/>
      <c r="G514" s="64"/>
      <c r="H514" s="64"/>
      <c r="I514" s="64"/>
      <c r="J514" s="64"/>
      <c r="K514" s="64"/>
      <c r="L514" s="64"/>
      <c r="M514" s="60"/>
      <c r="N514" s="60"/>
      <c r="O514" s="60"/>
      <c r="P514" s="60"/>
      <c r="Q514" s="64"/>
      <c r="R514" s="64"/>
      <c r="S514" s="64"/>
      <c r="T514" s="64"/>
      <c r="U514" s="64"/>
      <c r="V514" s="64"/>
      <c r="W514" s="64"/>
      <c r="X514" s="64"/>
      <c r="Y514" s="64"/>
      <c r="Z514" s="64"/>
      <c r="AA514" s="64"/>
      <c r="AB514" s="64"/>
      <c r="AC514" s="64"/>
      <c r="AD514" s="64"/>
      <c r="AE514" s="64"/>
      <c r="AF514" s="64"/>
      <c r="AG514" s="64"/>
      <c r="AH514" s="64"/>
      <c r="AI514" s="64"/>
      <c r="AJ514" s="64"/>
    </row>
    <row r="515">
      <c r="A515" s="64"/>
      <c r="B515" s="64"/>
      <c r="C515" s="64"/>
      <c r="D515" s="64"/>
      <c r="E515" s="64"/>
      <c r="F515" s="64"/>
      <c r="G515" s="64"/>
      <c r="H515" s="64"/>
      <c r="I515" s="64"/>
      <c r="J515" s="64"/>
      <c r="K515" s="64"/>
      <c r="L515" s="64"/>
      <c r="M515" s="60"/>
      <c r="N515" s="60"/>
      <c r="O515" s="60"/>
      <c r="P515" s="60"/>
      <c r="Q515" s="64"/>
      <c r="R515" s="64"/>
      <c r="S515" s="64"/>
      <c r="T515" s="64"/>
      <c r="U515" s="64"/>
      <c r="V515" s="64"/>
      <c r="W515" s="64"/>
      <c r="X515" s="64"/>
      <c r="Y515" s="64"/>
      <c r="Z515" s="64"/>
      <c r="AA515" s="64"/>
      <c r="AB515" s="64"/>
      <c r="AC515" s="64"/>
      <c r="AD515" s="64"/>
      <c r="AE515" s="64"/>
      <c r="AF515" s="64"/>
      <c r="AG515" s="64"/>
      <c r="AH515" s="64"/>
      <c r="AI515" s="64"/>
      <c r="AJ515" s="64"/>
    </row>
    <row r="516">
      <c r="A516" s="64"/>
      <c r="B516" s="64"/>
      <c r="C516" s="64"/>
      <c r="D516" s="64"/>
      <c r="E516" s="64"/>
      <c r="F516" s="64"/>
      <c r="G516" s="64"/>
      <c r="H516" s="64"/>
      <c r="I516" s="64"/>
      <c r="J516" s="64"/>
      <c r="K516" s="64"/>
      <c r="L516" s="64"/>
      <c r="M516" s="60"/>
      <c r="N516" s="60"/>
      <c r="O516" s="60"/>
      <c r="P516" s="60"/>
      <c r="Q516" s="64"/>
      <c r="R516" s="64"/>
      <c r="S516" s="64"/>
      <c r="T516" s="64"/>
      <c r="U516" s="64"/>
      <c r="V516" s="64"/>
      <c r="W516" s="64"/>
      <c r="X516" s="64"/>
      <c r="Y516" s="64"/>
      <c r="Z516" s="64"/>
      <c r="AA516" s="64"/>
      <c r="AB516" s="64"/>
      <c r="AC516" s="64"/>
      <c r="AD516" s="64"/>
      <c r="AE516" s="64"/>
      <c r="AF516" s="64"/>
      <c r="AG516" s="64"/>
      <c r="AH516" s="64"/>
      <c r="AI516" s="64"/>
      <c r="AJ516" s="64"/>
    </row>
    <row r="517">
      <c r="A517" s="64"/>
      <c r="B517" s="64"/>
      <c r="C517" s="64"/>
      <c r="D517" s="64"/>
      <c r="E517" s="64"/>
      <c r="F517" s="64"/>
      <c r="G517" s="64"/>
      <c r="H517" s="64"/>
      <c r="I517" s="64"/>
      <c r="J517" s="64"/>
      <c r="K517" s="64"/>
      <c r="L517" s="64"/>
      <c r="M517" s="60"/>
      <c r="N517" s="60"/>
      <c r="O517" s="60"/>
      <c r="P517" s="60"/>
      <c r="Q517" s="64"/>
      <c r="R517" s="64"/>
      <c r="S517" s="64"/>
      <c r="T517" s="64"/>
      <c r="U517" s="64"/>
      <c r="V517" s="64"/>
      <c r="W517" s="64"/>
      <c r="X517" s="64"/>
      <c r="Y517" s="64"/>
      <c r="Z517" s="64"/>
      <c r="AA517" s="64"/>
      <c r="AB517" s="64"/>
      <c r="AC517" s="64"/>
      <c r="AD517" s="64"/>
      <c r="AE517" s="64"/>
      <c r="AF517" s="64"/>
      <c r="AG517" s="64"/>
      <c r="AH517" s="64"/>
      <c r="AI517" s="64"/>
      <c r="AJ517" s="64"/>
    </row>
    <row r="518">
      <c r="A518" s="64"/>
      <c r="B518" s="64"/>
      <c r="C518" s="64"/>
      <c r="D518" s="64"/>
      <c r="E518" s="64"/>
      <c r="F518" s="64"/>
      <c r="G518" s="64"/>
      <c r="H518" s="64"/>
      <c r="I518" s="64"/>
      <c r="J518" s="64"/>
      <c r="K518" s="64"/>
      <c r="L518" s="64"/>
      <c r="M518" s="60"/>
      <c r="N518" s="60"/>
      <c r="O518" s="60"/>
      <c r="P518" s="60"/>
      <c r="Q518" s="64"/>
      <c r="R518" s="64"/>
      <c r="S518" s="64"/>
      <c r="T518" s="64"/>
      <c r="U518" s="64"/>
      <c r="V518" s="64"/>
      <c r="W518" s="64"/>
      <c r="X518" s="64"/>
      <c r="Y518" s="64"/>
      <c r="Z518" s="64"/>
      <c r="AA518" s="64"/>
      <c r="AB518" s="64"/>
      <c r="AC518" s="64"/>
      <c r="AD518" s="64"/>
      <c r="AE518" s="64"/>
      <c r="AF518" s="64"/>
      <c r="AG518" s="64"/>
      <c r="AH518" s="64"/>
      <c r="AI518" s="64"/>
      <c r="AJ518" s="64"/>
    </row>
    <row r="519">
      <c r="A519" s="64"/>
      <c r="B519" s="64"/>
      <c r="C519" s="64"/>
      <c r="D519" s="64"/>
      <c r="E519" s="64"/>
      <c r="F519" s="64"/>
      <c r="G519" s="64"/>
      <c r="H519" s="64"/>
      <c r="I519" s="64"/>
      <c r="J519" s="64"/>
      <c r="K519" s="64"/>
      <c r="L519" s="64"/>
      <c r="M519" s="60"/>
      <c r="N519" s="60"/>
      <c r="O519" s="60"/>
      <c r="P519" s="60"/>
      <c r="Q519" s="64"/>
      <c r="R519" s="64"/>
      <c r="S519" s="64"/>
      <c r="T519" s="64"/>
      <c r="U519" s="64"/>
      <c r="V519" s="64"/>
      <c r="W519" s="64"/>
      <c r="X519" s="64"/>
      <c r="Y519" s="64"/>
      <c r="Z519" s="64"/>
      <c r="AA519" s="64"/>
      <c r="AB519" s="64"/>
      <c r="AC519" s="64"/>
      <c r="AD519" s="64"/>
      <c r="AE519" s="64"/>
      <c r="AF519" s="64"/>
      <c r="AG519" s="64"/>
      <c r="AH519" s="64"/>
      <c r="AI519" s="64"/>
      <c r="AJ519" s="64"/>
    </row>
    <row r="520">
      <c r="A520" s="64"/>
      <c r="B520" s="64"/>
      <c r="C520" s="64"/>
      <c r="D520" s="64"/>
      <c r="E520" s="64"/>
      <c r="F520" s="64"/>
      <c r="G520" s="64"/>
      <c r="H520" s="64"/>
      <c r="I520" s="64"/>
      <c r="J520" s="64"/>
      <c r="K520" s="64"/>
      <c r="L520" s="64"/>
      <c r="M520" s="60"/>
      <c r="N520" s="60"/>
      <c r="O520" s="60"/>
      <c r="P520" s="60"/>
      <c r="Q520" s="64"/>
      <c r="R520" s="64"/>
      <c r="S520" s="64"/>
      <c r="T520" s="64"/>
      <c r="U520" s="64"/>
      <c r="V520" s="64"/>
      <c r="W520" s="64"/>
      <c r="X520" s="64"/>
      <c r="Y520" s="64"/>
      <c r="Z520" s="64"/>
      <c r="AA520" s="64"/>
      <c r="AB520" s="64"/>
      <c r="AC520" s="64"/>
      <c r="AD520" s="64"/>
      <c r="AE520" s="64"/>
      <c r="AF520" s="64"/>
      <c r="AG520" s="64"/>
      <c r="AH520" s="64"/>
      <c r="AI520" s="64"/>
      <c r="AJ520" s="64"/>
    </row>
    <row r="521">
      <c r="A521" s="64"/>
      <c r="B521" s="64"/>
      <c r="C521" s="64"/>
      <c r="D521" s="64"/>
      <c r="E521" s="64"/>
      <c r="F521" s="64"/>
      <c r="G521" s="64"/>
      <c r="H521" s="64"/>
      <c r="I521" s="64"/>
      <c r="J521" s="64"/>
      <c r="K521" s="64"/>
      <c r="L521" s="64"/>
      <c r="M521" s="60"/>
      <c r="N521" s="60"/>
      <c r="O521" s="60"/>
      <c r="P521" s="60"/>
      <c r="Q521" s="64"/>
      <c r="R521" s="64"/>
      <c r="S521" s="64"/>
      <c r="T521" s="64"/>
      <c r="U521" s="64"/>
      <c r="V521" s="64"/>
      <c r="W521" s="64"/>
      <c r="X521" s="64"/>
      <c r="Y521" s="64"/>
      <c r="Z521" s="64"/>
      <c r="AA521" s="64"/>
      <c r="AB521" s="64"/>
      <c r="AC521" s="64"/>
      <c r="AD521" s="64"/>
      <c r="AE521" s="64"/>
      <c r="AF521" s="64"/>
      <c r="AG521" s="64"/>
      <c r="AH521" s="64"/>
      <c r="AI521" s="64"/>
      <c r="AJ521" s="64"/>
    </row>
    <row r="522">
      <c r="A522" s="64"/>
      <c r="B522" s="64"/>
      <c r="C522" s="64"/>
      <c r="D522" s="64"/>
      <c r="E522" s="64"/>
      <c r="F522" s="64"/>
      <c r="G522" s="64"/>
      <c r="H522" s="64"/>
      <c r="I522" s="64"/>
      <c r="J522" s="64"/>
      <c r="K522" s="64"/>
      <c r="L522" s="64"/>
      <c r="M522" s="60"/>
      <c r="N522" s="60"/>
      <c r="O522" s="60"/>
      <c r="P522" s="60"/>
      <c r="Q522" s="64"/>
      <c r="R522" s="64"/>
      <c r="S522" s="64"/>
      <c r="T522" s="64"/>
      <c r="U522" s="64"/>
      <c r="V522" s="64"/>
      <c r="W522" s="64"/>
      <c r="X522" s="64"/>
      <c r="Y522" s="64"/>
      <c r="Z522" s="64"/>
      <c r="AA522" s="64"/>
      <c r="AB522" s="64"/>
      <c r="AC522" s="64"/>
      <c r="AD522" s="64"/>
      <c r="AE522" s="64"/>
      <c r="AF522" s="64"/>
      <c r="AG522" s="64"/>
      <c r="AH522" s="64"/>
      <c r="AI522" s="64"/>
      <c r="AJ522" s="64"/>
    </row>
    <row r="523">
      <c r="A523" s="64"/>
      <c r="B523" s="64"/>
      <c r="C523" s="64"/>
      <c r="D523" s="64"/>
      <c r="E523" s="64"/>
      <c r="F523" s="64"/>
      <c r="G523" s="64"/>
      <c r="H523" s="64"/>
      <c r="I523" s="64"/>
      <c r="J523" s="64"/>
      <c r="K523" s="64"/>
      <c r="L523" s="64"/>
      <c r="M523" s="60"/>
      <c r="N523" s="60"/>
      <c r="O523" s="60"/>
      <c r="P523" s="60"/>
      <c r="Q523" s="64"/>
      <c r="R523" s="64"/>
      <c r="S523" s="64"/>
      <c r="T523" s="64"/>
      <c r="U523" s="64"/>
      <c r="V523" s="64"/>
      <c r="W523" s="64"/>
      <c r="X523" s="64"/>
      <c r="Y523" s="64"/>
      <c r="Z523" s="64"/>
      <c r="AA523" s="64"/>
      <c r="AB523" s="64"/>
      <c r="AC523" s="64"/>
      <c r="AD523" s="64"/>
      <c r="AE523" s="64"/>
      <c r="AF523" s="64"/>
      <c r="AG523" s="64"/>
      <c r="AH523" s="64"/>
      <c r="AI523" s="64"/>
      <c r="AJ523" s="64"/>
    </row>
    <row r="524">
      <c r="A524" s="64"/>
      <c r="B524" s="64"/>
      <c r="C524" s="64"/>
      <c r="D524" s="64"/>
      <c r="E524" s="64"/>
      <c r="F524" s="64"/>
      <c r="G524" s="64"/>
      <c r="H524" s="64"/>
      <c r="I524" s="64"/>
      <c r="J524" s="64"/>
      <c r="K524" s="64"/>
      <c r="L524" s="64"/>
      <c r="M524" s="60"/>
      <c r="N524" s="60"/>
      <c r="O524" s="60"/>
      <c r="P524" s="60"/>
      <c r="Q524" s="64"/>
      <c r="R524" s="64"/>
      <c r="S524" s="64"/>
      <c r="T524" s="64"/>
      <c r="U524" s="64"/>
      <c r="V524" s="64"/>
      <c r="W524" s="64"/>
      <c r="X524" s="64"/>
      <c r="Y524" s="64"/>
      <c r="Z524" s="64"/>
      <c r="AA524" s="64"/>
      <c r="AB524" s="64"/>
      <c r="AC524" s="64"/>
      <c r="AD524" s="64"/>
      <c r="AE524" s="64"/>
      <c r="AF524" s="64"/>
      <c r="AG524" s="64"/>
      <c r="AH524" s="64"/>
      <c r="AI524" s="64"/>
      <c r="AJ524" s="64"/>
    </row>
    <row r="525">
      <c r="A525" s="64"/>
      <c r="B525" s="64"/>
      <c r="C525" s="64"/>
      <c r="D525" s="64"/>
      <c r="E525" s="64"/>
      <c r="F525" s="64"/>
      <c r="G525" s="64"/>
      <c r="H525" s="64"/>
      <c r="I525" s="64"/>
      <c r="J525" s="64"/>
      <c r="K525" s="64"/>
      <c r="L525" s="64"/>
      <c r="M525" s="60"/>
      <c r="N525" s="60"/>
      <c r="O525" s="60"/>
      <c r="P525" s="60"/>
      <c r="Q525" s="64"/>
      <c r="R525" s="64"/>
      <c r="S525" s="64"/>
      <c r="T525" s="64"/>
      <c r="U525" s="64"/>
      <c r="V525" s="64"/>
      <c r="W525" s="64"/>
      <c r="X525" s="64"/>
      <c r="Y525" s="64"/>
      <c r="Z525" s="64"/>
      <c r="AA525" s="64"/>
      <c r="AB525" s="64"/>
      <c r="AC525" s="64"/>
      <c r="AD525" s="64"/>
      <c r="AE525" s="64"/>
      <c r="AF525" s="64"/>
      <c r="AG525" s="64"/>
      <c r="AH525" s="64"/>
      <c r="AI525" s="64"/>
      <c r="AJ525" s="64"/>
    </row>
    <row r="526">
      <c r="A526" s="64"/>
      <c r="B526" s="64"/>
      <c r="C526" s="64"/>
      <c r="D526" s="64"/>
      <c r="E526" s="64"/>
      <c r="F526" s="64"/>
      <c r="G526" s="64"/>
      <c r="H526" s="64"/>
      <c r="I526" s="64"/>
      <c r="J526" s="64"/>
      <c r="K526" s="64"/>
      <c r="L526" s="64"/>
      <c r="M526" s="60"/>
      <c r="N526" s="60"/>
      <c r="O526" s="60"/>
      <c r="P526" s="60"/>
      <c r="Q526" s="64"/>
      <c r="R526" s="64"/>
      <c r="S526" s="64"/>
      <c r="T526" s="64"/>
      <c r="U526" s="64"/>
      <c r="V526" s="64"/>
      <c r="W526" s="64"/>
      <c r="X526" s="64"/>
      <c r="Y526" s="64"/>
      <c r="Z526" s="64"/>
      <c r="AA526" s="64"/>
      <c r="AB526" s="64"/>
      <c r="AC526" s="64"/>
      <c r="AD526" s="64"/>
      <c r="AE526" s="64"/>
      <c r="AF526" s="64"/>
      <c r="AG526" s="64"/>
      <c r="AH526" s="64"/>
      <c r="AI526" s="64"/>
      <c r="AJ526" s="64"/>
    </row>
    <row r="527">
      <c r="A527" s="64"/>
      <c r="B527" s="64"/>
      <c r="C527" s="64"/>
      <c r="D527" s="64"/>
      <c r="E527" s="64"/>
      <c r="F527" s="64"/>
      <c r="G527" s="64"/>
      <c r="H527" s="64"/>
      <c r="I527" s="64"/>
      <c r="J527" s="64"/>
      <c r="K527" s="64"/>
      <c r="L527" s="64"/>
      <c r="M527" s="60"/>
      <c r="N527" s="60"/>
      <c r="O527" s="60"/>
      <c r="P527" s="60"/>
      <c r="Q527" s="64"/>
      <c r="R527" s="64"/>
      <c r="S527" s="64"/>
      <c r="T527" s="64"/>
      <c r="U527" s="64"/>
      <c r="V527" s="64"/>
      <c r="W527" s="64"/>
      <c r="X527" s="64"/>
      <c r="Y527" s="64"/>
      <c r="Z527" s="64"/>
      <c r="AA527" s="64"/>
      <c r="AB527" s="64"/>
      <c r="AC527" s="64"/>
      <c r="AD527" s="64"/>
      <c r="AE527" s="64"/>
      <c r="AF527" s="64"/>
      <c r="AG527" s="64"/>
      <c r="AH527" s="64"/>
      <c r="AI527" s="64"/>
      <c r="AJ527" s="64"/>
    </row>
    <row r="528">
      <c r="A528" s="64"/>
      <c r="B528" s="64"/>
      <c r="C528" s="64"/>
      <c r="D528" s="64"/>
      <c r="E528" s="64"/>
      <c r="F528" s="64"/>
      <c r="G528" s="64"/>
      <c r="H528" s="64"/>
      <c r="I528" s="64"/>
      <c r="J528" s="64"/>
      <c r="K528" s="64"/>
      <c r="L528" s="64"/>
      <c r="M528" s="60"/>
      <c r="N528" s="60"/>
      <c r="O528" s="60"/>
      <c r="P528" s="60"/>
      <c r="Q528" s="64"/>
      <c r="R528" s="64"/>
      <c r="S528" s="64"/>
      <c r="T528" s="64"/>
      <c r="U528" s="64"/>
      <c r="V528" s="64"/>
      <c r="W528" s="64"/>
      <c r="X528" s="64"/>
      <c r="Y528" s="64"/>
      <c r="Z528" s="64"/>
      <c r="AA528" s="64"/>
      <c r="AB528" s="64"/>
      <c r="AC528" s="64"/>
      <c r="AD528" s="64"/>
      <c r="AE528" s="64"/>
      <c r="AF528" s="64"/>
      <c r="AG528" s="64"/>
      <c r="AH528" s="64"/>
      <c r="AI528" s="64"/>
      <c r="AJ528" s="64"/>
    </row>
    <row r="529">
      <c r="A529" s="64"/>
      <c r="B529" s="64"/>
      <c r="C529" s="64"/>
      <c r="D529" s="64"/>
      <c r="E529" s="64"/>
      <c r="F529" s="64"/>
      <c r="G529" s="64"/>
      <c r="H529" s="64"/>
      <c r="I529" s="64"/>
      <c r="J529" s="64"/>
      <c r="K529" s="64"/>
      <c r="L529" s="64"/>
      <c r="M529" s="60"/>
      <c r="N529" s="60"/>
      <c r="O529" s="60"/>
      <c r="P529" s="60"/>
      <c r="Q529" s="64"/>
      <c r="R529" s="64"/>
      <c r="S529" s="64"/>
      <c r="T529" s="64"/>
      <c r="U529" s="64"/>
      <c r="V529" s="64"/>
      <c r="W529" s="64"/>
      <c r="X529" s="64"/>
      <c r="Y529" s="64"/>
      <c r="Z529" s="64"/>
      <c r="AA529" s="64"/>
      <c r="AB529" s="64"/>
      <c r="AC529" s="64"/>
      <c r="AD529" s="64"/>
      <c r="AE529" s="64"/>
      <c r="AF529" s="64"/>
      <c r="AG529" s="64"/>
      <c r="AH529" s="64"/>
      <c r="AI529" s="64"/>
      <c r="AJ529" s="64"/>
    </row>
    <row r="530">
      <c r="A530" s="64"/>
      <c r="B530" s="64"/>
      <c r="C530" s="64"/>
      <c r="D530" s="64"/>
      <c r="E530" s="64"/>
      <c r="F530" s="64"/>
      <c r="G530" s="64"/>
      <c r="H530" s="64"/>
      <c r="I530" s="64"/>
      <c r="J530" s="64"/>
      <c r="K530" s="64"/>
      <c r="L530" s="64"/>
      <c r="M530" s="60"/>
      <c r="N530" s="60"/>
      <c r="O530" s="60"/>
      <c r="P530" s="60"/>
      <c r="Q530" s="64"/>
      <c r="R530" s="64"/>
      <c r="S530" s="64"/>
      <c r="T530" s="64"/>
      <c r="U530" s="64"/>
      <c r="V530" s="64"/>
      <c r="W530" s="64"/>
      <c r="X530" s="64"/>
      <c r="Y530" s="64"/>
      <c r="Z530" s="64"/>
      <c r="AA530" s="64"/>
      <c r="AB530" s="64"/>
      <c r="AC530" s="64"/>
      <c r="AD530" s="64"/>
      <c r="AE530" s="64"/>
      <c r="AF530" s="64"/>
      <c r="AG530" s="64"/>
      <c r="AH530" s="64"/>
      <c r="AI530" s="64"/>
      <c r="AJ530" s="64"/>
    </row>
    <row r="531">
      <c r="A531" s="64"/>
      <c r="B531" s="64"/>
      <c r="C531" s="64"/>
      <c r="D531" s="64"/>
      <c r="E531" s="64"/>
      <c r="F531" s="64"/>
      <c r="G531" s="64"/>
      <c r="H531" s="64"/>
      <c r="I531" s="64"/>
      <c r="J531" s="64"/>
      <c r="K531" s="64"/>
      <c r="L531" s="64"/>
      <c r="M531" s="60"/>
      <c r="N531" s="60"/>
      <c r="O531" s="60"/>
      <c r="P531" s="60"/>
      <c r="Q531" s="64"/>
      <c r="R531" s="64"/>
      <c r="S531" s="64"/>
      <c r="T531" s="64"/>
      <c r="U531" s="64"/>
      <c r="V531" s="64"/>
      <c r="W531" s="64"/>
      <c r="X531" s="64"/>
      <c r="Y531" s="64"/>
      <c r="Z531" s="64"/>
      <c r="AA531" s="64"/>
      <c r="AB531" s="64"/>
      <c r="AC531" s="64"/>
      <c r="AD531" s="64"/>
      <c r="AE531" s="64"/>
      <c r="AF531" s="64"/>
      <c r="AG531" s="64"/>
      <c r="AH531" s="64"/>
      <c r="AI531" s="64"/>
      <c r="AJ531" s="64"/>
    </row>
    <row r="532">
      <c r="A532" s="64"/>
      <c r="B532" s="64"/>
      <c r="C532" s="64"/>
      <c r="D532" s="64"/>
      <c r="E532" s="64"/>
      <c r="F532" s="64"/>
      <c r="G532" s="64"/>
      <c r="H532" s="64"/>
      <c r="I532" s="64"/>
      <c r="J532" s="64"/>
      <c r="K532" s="64"/>
      <c r="L532" s="64"/>
      <c r="M532" s="60"/>
      <c r="N532" s="60"/>
      <c r="O532" s="60"/>
      <c r="P532" s="60"/>
      <c r="Q532" s="64"/>
      <c r="R532" s="64"/>
      <c r="S532" s="64"/>
      <c r="T532" s="64"/>
      <c r="U532" s="64"/>
      <c r="V532" s="64"/>
      <c r="W532" s="64"/>
      <c r="X532" s="64"/>
      <c r="Y532" s="64"/>
      <c r="Z532" s="64"/>
      <c r="AA532" s="64"/>
      <c r="AB532" s="64"/>
      <c r="AC532" s="64"/>
      <c r="AD532" s="64"/>
      <c r="AE532" s="64"/>
      <c r="AF532" s="64"/>
      <c r="AG532" s="64"/>
      <c r="AH532" s="64"/>
      <c r="AI532" s="64"/>
      <c r="AJ532" s="64"/>
    </row>
    <row r="533">
      <c r="A533" s="64"/>
      <c r="B533" s="64"/>
      <c r="C533" s="64"/>
      <c r="D533" s="64"/>
      <c r="E533" s="64"/>
      <c r="F533" s="64"/>
      <c r="G533" s="64"/>
      <c r="H533" s="64"/>
      <c r="I533" s="64"/>
      <c r="J533" s="64"/>
      <c r="K533" s="64"/>
      <c r="L533" s="64"/>
      <c r="M533" s="60"/>
      <c r="N533" s="60"/>
      <c r="O533" s="60"/>
      <c r="P533" s="60"/>
      <c r="Q533" s="64"/>
      <c r="R533" s="64"/>
      <c r="S533" s="64"/>
      <c r="T533" s="64"/>
      <c r="U533" s="64"/>
      <c r="V533" s="64"/>
      <c r="W533" s="64"/>
      <c r="X533" s="64"/>
      <c r="Y533" s="64"/>
      <c r="Z533" s="64"/>
      <c r="AA533" s="64"/>
      <c r="AB533" s="64"/>
      <c r="AC533" s="64"/>
      <c r="AD533" s="64"/>
      <c r="AE533" s="64"/>
      <c r="AF533" s="64"/>
      <c r="AG533" s="64"/>
      <c r="AH533" s="64"/>
      <c r="AI533" s="64"/>
      <c r="AJ533" s="64"/>
    </row>
    <row r="534">
      <c r="A534" s="64"/>
      <c r="B534" s="64"/>
      <c r="C534" s="64"/>
      <c r="D534" s="64"/>
      <c r="E534" s="64"/>
      <c r="F534" s="64"/>
      <c r="G534" s="64"/>
      <c r="H534" s="64"/>
      <c r="I534" s="64"/>
      <c r="J534" s="64"/>
      <c r="K534" s="64"/>
      <c r="L534" s="64"/>
      <c r="M534" s="60"/>
      <c r="N534" s="60"/>
      <c r="O534" s="60"/>
      <c r="P534" s="60"/>
      <c r="Q534" s="64"/>
      <c r="R534" s="64"/>
      <c r="S534" s="64"/>
      <c r="T534" s="64"/>
      <c r="U534" s="64"/>
      <c r="V534" s="64"/>
      <c r="W534" s="64"/>
      <c r="X534" s="64"/>
      <c r="Y534" s="64"/>
      <c r="Z534" s="64"/>
      <c r="AA534" s="64"/>
      <c r="AB534" s="64"/>
      <c r="AC534" s="64"/>
      <c r="AD534" s="64"/>
      <c r="AE534" s="64"/>
      <c r="AF534" s="64"/>
      <c r="AG534" s="64"/>
      <c r="AH534" s="64"/>
      <c r="AI534" s="64"/>
      <c r="AJ534" s="64"/>
    </row>
    <row r="535">
      <c r="A535" s="64"/>
      <c r="B535" s="64"/>
      <c r="C535" s="64"/>
      <c r="D535" s="64"/>
      <c r="E535" s="64"/>
      <c r="F535" s="64"/>
      <c r="G535" s="64"/>
      <c r="H535" s="64"/>
      <c r="I535" s="64"/>
      <c r="J535" s="64"/>
      <c r="K535" s="64"/>
      <c r="L535" s="64"/>
      <c r="M535" s="60"/>
      <c r="N535" s="60"/>
      <c r="O535" s="60"/>
      <c r="P535" s="60"/>
      <c r="Q535" s="64"/>
      <c r="R535" s="64"/>
      <c r="S535" s="64"/>
      <c r="T535" s="64"/>
      <c r="U535" s="64"/>
      <c r="V535" s="64"/>
      <c r="W535" s="64"/>
      <c r="X535" s="64"/>
      <c r="Y535" s="64"/>
      <c r="Z535" s="64"/>
      <c r="AA535" s="64"/>
      <c r="AB535" s="64"/>
      <c r="AC535" s="64"/>
      <c r="AD535" s="64"/>
      <c r="AE535" s="64"/>
      <c r="AF535" s="64"/>
      <c r="AG535" s="64"/>
      <c r="AH535" s="64"/>
      <c r="AI535" s="64"/>
      <c r="AJ535" s="64"/>
    </row>
    <row r="536">
      <c r="A536" s="64"/>
      <c r="B536" s="64"/>
      <c r="C536" s="64"/>
      <c r="D536" s="64"/>
      <c r="E536" s="64"/>
      <c r="F536" s="64"/>
      <c r="G536" s="64"/>
      <c r="H536" s="64"/>
      <c r="I536" s="64"/>
      <c r="J536" s="64"/>
      <c r="K536" s="64"/>
      <c r="L536" s="64"/>
      <c r="M536" s="60"/>
      <c r="N536" s="60"/>
      <c r="O536" s="60"/>
      <c r="P536" s="60"/>
      <c r="Q536" s="64"/>
      <c r="R536" s="64"/>
      <c r="S536" s="64"/>
      <c r="T536" s="64"/>
      <c r="U536" s="64"/>
      <c r="V536" s="64"/>
      <c r="W536" s="64"/>
      <c r="X536" s="64"/>
      <c r="Y536" s="64"/>
      <c r="Z536" s="64"/>
      <c r="AA536" s="64"/>
      <c r="AB536" s="64"/>
      <c r="AC536" s="64"/>
      <c r="AD536" s="64"/>
      <c r="AE536" s="64"/>
      <c r="AF536" s="64"/>
      <c r="AG536" s="64"/>
      <c r="AH536" s="64"/>
      <c r="AI536" s="64"/>
      <c r="AJ536" s="64"/>
    </row>
    <row r="537">
      <c r="A537" s="64"/>
      <c r="B537" s="64"/>
      <c r="C537" s="64"/>
      <c r="D537" s="64"/>
      <c r="E537" s="64"/>
      <c r="F537" s="64"/>
      <c r="G537" s="64"/>
      <c r="H537" s="64"/>
      <c r="I537" s="64"/>
      <c r="J537" s="64"/>
      <c r="K537" s="64"/>
      <c r="L537" s="64"/>
      <c r="M537" s="60"/>
      <c r="N537" s="60"/>
      <c r="O537" s="60"/>
      <c r="P537" s="60"/>
      <c r="Q537" s="64"/>
      <c r="R537" s="64"/>
      <c r="S537" s="64"/>
      <c r="T537" s="64"/>
      <c r="U537" s="64"/>
      <c r="V537" s="64"/>
      <c r="W537" s="64"/>
      <c r="X537" s="64"/>
      <c r="Y537" s="64"/>
      <c r="Z537" s="64"/>
      <c r="AA537" s="64"/>
      <c r="AB537" s="64"/>
      <c r="AC537" s="64"/>
      <c r="AD537" s="64"/>
      <c r="AE537" s="64"/>
      <c r="AF537" s="64"/>
      <c r="AG537" s="64"/>
      <c r="AH537" s="64"/>
      <c r="AI537" s="64"/>
      <c r="AJ537" s="64"/>
    </row>
    <row r="538">
      <c r="A538" s="64"/>
      <c r="B538" s="64"/>
      <c r="C538" s="64"/>
      <c r="D538" s="64"/>
      <c r="E538" s="64"/>
      <c r="F538" s="64"/>
      <c r="G538" s="64"/>
      <c r="H538" s="64"/>
      <c r="I538" s="64"/>
      <c r="J538" s="64"/>
      <c r="K538" s="64"/>
      <c r="L538" s="64"/>
      <c r="M538" s="60"/>
      <c r="N538" s="60"/>
      <c r="O538" s="60"/>
      <c r="P538" s="60"/>
      <c r="Q538" s="64"/>
      <c r="R538" s="64"/>
      <c r="S538" s="64"/>
      <c r="T538" s="64"/>
      <c r="U538" s="64"/>
      <c r="V538" s="64"/>
      <c r="W538" s="64"/>
      <c r="X538" s="64"/>
      <c r="Y538" s="64"/>
      <c r="Z538" s="64"/>
      <c r="AA538" s="64"/>
      <c r="AB538" s="64"/>
      <c r="AC538" s="64"/>
      <c r="AD538" s="64"/>
      <c r="AE538" s="64"/>
      <c r="AF538" s="64"/>
      <c r="AG538" s="64"/>
      <c r="AH538" s="64"/>
      <c r="AI538" s="64"/>
      <c r="AJ538" s="64"/>
    </row>
    <row r="539">
      <c r="A539" s="64"/>
      <c r="B539" s="64"/>
      <c r="C539" s="64"/>
      <c r="D539" s="64"/>
      <c r="E539" s="64"/>
      <c r="F539" s="64"/>
      <c r="G539" s="64"/>
      <c r="H539" s="64"/>
      <c r="I539" s="64"/>
      <c r="J539" s="64"/>
      <c r="K539" s="64"/>
      <c r="L539" s="64"/>
      <c r="M539" s="60"/>
      <c r="N539" s="60"/>
      <c r="O539" s="60"/>
      <c r="P539" s="60"/>
      <c r="Q539" s="64"/>
      <c r="R539" s="64"/>
      <c r="S539" s="64"/>
      <c r="T539" s="64"/>
      <c r="U539" s="64"/>
      <c r="V539" s="64"/>
      <c r="W539" s="64"/>
      <c r="X539" s="64"/>
      <c r="Y539" s="64"/>
      <c r="Z539" s="64"/>
      <c r="AA539" s="64"/>
      <c r="AB539" s="64"/>
      <c r="AC539" s="64"/>
      <c r="AD539" s="64"/>
      <c r="AE539" s="64"/>
      <c r="AF539" s="64"/>
      <c r="AG539" s="64"/>
      <c r="AH539" s="64"/>
      <c r="AI539" s="64"/>
      <c r="AJ539" s="64"/>
    </row>
    <row r="540">
      <c r="A540" s="64"/>
      <c r="B540" s="64"/>
      <c r="C540" s="64"/>
      <c r="D540" s="64"/>
      <c r="E540" s="64"/>
      <c r="F540" s="64"/>
      <c r="G540" s="64"/>
      <c r="H540" s="64"/>
      <c r="I540" s="64"/>
      <c r="J540" s="64"/>
      <c r="K540" s="64"/>
      <c r="L540" s="64"/>
      <c r="M540" s="60"/>
      <c r="N540" s="60"/>
      <c r="O540" s="60"/>
      <c r="P540" s="60"/>
      <c r="Q540" s="64"/>
      <c r="R540" s="64"/>
      <c r="S540" s="64"/>
      <c r="T540" s="64"/>
      <c r="U540" s="64"/>
      <c r="V540" s="64"/>
      <c r="W540" s="64"/>
      <c r="X540" s="64"/>
      <c r="Y540" s="64"/>
      <c r="Z540" s="64"/>
      <c r="AA540" s="64"/>
      <c r="AB540" s="64"/>
      <c r="AC540" s="64"/>
      <c r="AD540" s="64"/>
      <c r="AE540" s="64"/>
      <c r="AF540" s="64"/>
      <c r="AG540" s="64"/>
      <c r="AH540" s="64"/>
      <c r="AI540" s="64"/>
      <c r="AJ540" s="64"/>
    </row>
    <row r="541">
      <c r="A541" s="64"/>
      <c r="B541" s="64"/>
      <c r="C541" s="64"/>
      <c r="D541" s="64"/>
      <c r="E541" s="64"/>
      <c r="F541" s="64"/>
      <c r="G541" s="64"/>
      <c r="H541" s="64"/>
      <c r="I541" s="64"/>
      <c r="J541" s="64"/>
      <c r="K541" s="64"/>
      <c r="L541" s="64"/>
      <c r="M541" s="60"/>
      <c r="N541" s="60"/>
      <c r="O541" s="60"/>
      <c r="P541" s="60"/>
      <c r="Q541" s="64"/>
      <c r="R541" s="64"/>
      <c r="S541" s="64"/>
      <c r="T541" s="64"/>
      <c r="U541" s="64"/>
      <c r="V541" s="64"/>
      <c r="W541" s="64"/>
      <c r="X541" s="64"/>
      <c r="Y541" s="64"/>
      <c r="Z541" s="64"/>
      <c r="AA541" s="64"/>
      <c r="AB541" s="64"/>
      <c r="AC541" s="64"/>
      <c r="AD541" s="64"/>
      <c r="AE541" s="64"/>
      <c r="AF541" s="64"/>
      <c r="AG541" s="64"/>
      <c r="AH541" s="64"/>
      <c r="AI541" s="64"/>
      <c r="AJ541" s="64"/>
    </row>
    <row r="542">
      <c r="A542" s="64"/>
      <c r="B542" s="64"/>
      <c r="C542" s="64"/>
      <c r="D542" s="64"/>
      <c r="E542" s="64"/>
      <c r="F542" s="64"/>
      <c r="G542" s="64"/>
      <c r="H542" s="64"/>
      <c r="I542" s="64"/>
      <c r="J542" s="64"/>
      <c r="K542" s="64"/>
      <c r="L542" s="64"/>
      <c r="M542" s="60"/>
      <c r="N542" s="60"/>
      <c r="O542" s="60"/>
      <c r="P542" s="60"/>
      <c r="Q542" s="64"/>
      <c r="R542" s="64"/>
      <c r="S542" s="64"/>
      <c r="T542" s="64"/>
      <c r="U542" s="64"/>
      <c r="V542" s="64"/>
      <c r="W542" s="64"/>
      <c r="X542" s="64"/>
      <c r="Y542" s="64"/>
      <c r="Z542" s="64"/>
      <c r="AA542" s="64"/>
      <c r="AB542" s="64"/>
      <c r="AC542" s="64"/>
      <c r="AD542" s="64"/>
      <c r="AE542" s="64"/>
      <c r="AF542" s="64"/>
      <c r="AG542" s="64"/>
      <c r="AH542" s="64"/>
      <c r="AI542" s="64"/>
      <c r="AJ542" s="64"/>
    </row>
    <row r="543">
      <c r="A543" s="64"/>
      <c r="B543" s="64"/>
      <c r="C543" s="64"/>
      <c r="D543" s="64"/>
      <c r="E543" s="64"/>
      <c r="F543" s="64"/>
      <c r="G543" s="64"/>
      <c r="H543" s="64"/>
      <c r="I543" s="64"/>
      <c r="J543" s="64"/>
      <c r="K543" s="64"/>
      <c r="L543" s="64"/>
      <c r="M543" s="60"/>
      <c r="N543" s="60"/>
      <c r="O543" s="60"/>
      <c r="P543" s="60"/>
      <c r="Q543" s="64"/>
      <c r="R543" s="64"/>
      <c r="S543" s="64"/>
      <c r="T543" s="64"/>
      <c r="U543" s="64"/>
      <c r="V543" s="64"/>
      <c r="W543" s="64"/>
      <c r="X543" s="64"/>
      <c r="Y543" s="64"/>
      <c r="Z543" s="64"/>
      <c r="AA543" s="64"/>
      <c r="AB543" s="64"/>
      <c r="AC543" s="64"/>
      <c r="AD543" s="64"/>
      <c r="AE543" s="64"/>
      <c r="AF543" s="64"/>
      <c r="AG543" s="64"/>
      <c r="AH543" s="64"/>
      <c r="AI543" s="64"/>
      <c r="AJ543" s="64"/>
    </row>
    <row r="544">
      <c r="A544" s="64"/>
      <c r="B544" s="64"/>
      <c r="C544" s="64"/>
      <c r="D544" s="64"/>
      <c r="E544" s="64"/>
      <c r="F544" s="64"/>
      <c r="G544" s="64"/>
      <c r="H544" s="64"/>
      <c r="I544" s="64"/>
      <c r="J544" s="64"/>
      <c r="K544" s="64"/>
      <c r="L544" s="64"/>
      <c r="M544" s="60"/>
      <c r="N544" s="60"/>
      <c r="O544" s="60"/>
      <c r="P544" s="60"/>
      <c r="Q544" s="64"/>
      <c r="R544" s="64"/>
      <c r="S544" s="64"/>
      <c r="T544" s="64"/>
      <c r="U544" s="64"/>
      <c r="V544" s="64"/>
      <c r="W544" s="64"/>
      <c r="X544" s="64"/>
      <c r="Y544" s="64"/>
      <c r="Z544" s="64"/>
      <c r="AA544" s="64"/>
      <c r="AB544" s="64"/>
      <c r="AC544" s="64"/>
      <c r="AD544" s="64"/>
      <c r="AE544" s="64"/>
      <c r="AF544" s="64"/>
      <c r="AG544" s="64"/>
      <c r="AH544" s="64"/>
      <c r="AI544" s="64"/>
      <c r="AJ544" s="64"/>
    </row>
    <row r="545">
      <c r="A545" s="64"/>
      <c r="B545" s="64"/>
      <c r="C545" s="64"/>
      <c r="D545" s="64"/>
      <c r="E545" s="64"/>
      <c r="F545" s="64"/>
      <c r="G545" s="64"/>
      <c r="H545" s="64"/>
      <c r="I545" s="64"/>
      <c r="J545" s="64"/>
      <c r="K545" s="64"/>
      <c r="L545" s="64"/>
      <c r="M545" s="60"/>
      <c r="N545" s="60"/>
      <c r="O545" s="60"/>
      <c r="P545" s="60"/>
      <c r="Q545" s="64"/>
      <c r="R545" s="64"/>
      <c r="S545" s="64"/>
      <c r="T545" s="64"/>
      <c r="U545" s="64"/>
      <c r="V545" s="64"/>
      <c r="W545" s="64"/>
      <c r="X545" s="64"/>
      <c r="Y545" s="64"/>
      <c r="Z545" s="64"/>
      <c r="AA545" s="64"/>
      <c r="AB545" s="64"/>
      <c r="AC545" s="64"/>
      <c r="AD545" s="64"/>
      <c r="AE545" s="64"/>
      <c r="AF545" s="64"/>
      <c r="AG545" s="64"/>
      <c r="AH545" s="64"/>
      <c r="AI545" s="64"/>
      <c r="AJ545" s="64"/>
    </row>
    <row r="546">
      <c r="A546" s="64"/>
      <c r="B546" s="64"/>
      <c r="C546" s="64"/>
      <c r="D546" s="64"/>
      <c r="E546" s="64"/>
      <c r="F546" s="64"/>
      <c r="G546" s="64"/>
      <c r="H546" s="64"/>
      <c r="I546" s="64"/>
      <c r="J546" s="64"/>
      <c r="K546" s="64"/>
      <c r="L546" s="64"/>
      <c r="M546" s="60"/>
      <c r="N546" s="60"/>
      <c r="O546" s="60"/>
      <c r="P546" s="60"/>
      <c r="Q546" s="64"/>
      <c r="R546" s="64"/>
      <c r="S546" s="64"/>
      <c r="T546" s="64"/>
      <c r="U546" s="64"/>
      <c r="V546" s="64"/>
      <c r="W546" s="64"/>
      <c r="X546" s="64"/>
      <c r="Y546" s="64"/>
      <c r="Z546" s="64"/>
      <c r="AA546" s="64"/>
      <c r="AB546" s="64"/>
      <c r="AC546" s="64"/>
      <c r="AD546" s="64"/>
      <c r="AE546" s="64"/>
      <c r="AF546" s="64"/>
      <c r="AG546" s="64"/>
      <c r="AH546" s="64"/>
      <c r="AI546" s="64"/>
      <c r="AJ546" s="64"/>
    </row>
    <row r="547">
      <c r="A547" s="64"/>
      <c r="B547" s="64"/>
      <c r="C547" s="64"/>
      <c r="D547" s="64"/>
      <c r="E547" s="64"/>
      <c r="F547" s="64"/>
      <c r="G547" s="64"/>
      <c r="H547" s="64"/>
      <c r="I547" s="64"/>
      <c r="J547" s="64"/>
      <c r="K547" s="64"/>
      <c r="L547" s="64"/>
      <c r="M547" s="60"/>
      <c r="N547" s="60"/>
      <c r="O547" s="60"/>
      <c r="P547" s="60"/>
      <c r="Q547" s="64"/>
      <c r="R547" s="64"/>
      <c r="S547" s="64"/>
      <c r="T547" s="64"/>
      <c r="U547" s="64"/>
      <c r="V547" s="64"/>
      <c r="W547" s="64"/>
      <c r="X547" s="64"/>
      <c r="Y547" s="64"/>
      <c r="Z547" s="64"/>
      <c r="AA547" s="64"/>
      <c r="AB547" s="64"/>
      <c r="AC547" s="64"/>
      <c r="AD547" s="64"/>
      <c r="AE547" s="64"/>
      <c r="AF547" s="64"/>
      <c r="AG547" s="64"/>
      <c r="AH547" s="64"/>
      <c r="AI547" s="64"/>
      <c r="AJ547" s="64"/>
    </row>
    <row r="548">
      <c r="A548" s="64"/>
      <c r="B548" s="64"/>
      <c r="C548" s="64"/>
      <c r="D548" s="64"/>
      <c r="E548" s="64"/>
      <c r="F548" s="64"/>
      <c r="G548" s="64"/>
      <c r="H548" s="64"/>
      <c r="I548" s="64"/>
      <c r="J548" s="64"/>
      <c r="K548" s="64"/>
      <c r="L548" s="64"/>
      <c r="M548" s="60"/>
      <c r="N548" s="60"/>
      <c r="O548" s="60"/>
      <c r="P548" s="60"/>
      <c r="Q548" s="64"/>
      <c r="R548" s="64"/>
      <c r="S548" s="64"/>
      <c r="T548" s="64"/>
      <c r="U548" s="64"/>
      <c r="V548" s="64"/>
      <c r="W548" s="64"/>
      <c r="X548" s="64"/>
      <c r="Y548" s="64"/>
      <c r="Z548" s="64"/>
      <c r="AA548" s="64"/>
      <c r="AB548" s="64"/>
      <c r="AC548" s="64"/>
      <c r="AD548" s="64"/>
      <c r="AE548" s="64"/>
      <c r="AF548" s="64"/>
      <c r="AG548" s="64"/>
      <c r="AH548" s="64"/>
      <c r="AI548" s="64"/>
      <c r="AJ548" s="64"/>
    </row>
    <row r="549">
      <c r="A549" s="64"/>
      <c r="B549" s="64"/>
      <c r="C549" s="64"/>
      <c r="D549" s="64"/>
      <c r="E549" s="64"/>
      <c r="F549" s="64"/>
      <c r="G549" s="64"/>
      <c r="H549" s="64"/>
      <c r="I549" s="64"/>
      <c r="J549" s="64"/>
      <c r="K549" s="64"/>
      <c r="L549" s="64"/>
      <c r="M549" s="60"/>
      <c r="N549" s="60"/>
      <c r="O549" s="60"/>
      <c r="P549" s="60"/>
      <c r="Q549" s="64"/>
      <c r="R549" s="64"/>
      <c r="S549" s="64"/>
      <c r="T549" s="64"/>
      <c r="U549" s="64"/>
      <c r="V549" s="64"/>
      <c r="W549" s="64"/>
      <c r="X549" s="64"/>
      <c r="Y549" s="64"/>
      <c r="Z549" s="64"/>
      <c r="AA549" s="64"/>
      <c r="AB549" s="64"/>
      <c r="AC549" s="64"/>
      <c r="AD549" s="64"/>
      <c r="AE549" s="64"/>
      <c r="AF549" s="64"/>
      <c r="AG549" s="64"/>
      <c r="AH549" s="64"/>
      <c r="AI549" s="64"/>
      <c r="AJ549" s="64"/>
    </row>
    <row r="550">
      <c r="A550" s="64"/>
      <c r="B550" s="64"/>
      <c r="C550" s="64"/>
      <c r="D550" s="64"/>
      <c r="E550" s="64"/>
      <c r="F550" s="64"/>
      <c r="G550" s="64"/>
      <c r="H550" s="64"/>
      <c r="I550" s="64"/>
      <c r="J550" s="64"/>
      <c r="K550" s="64"/>
      <c r="L550" s="64"/>
      <c r="M550" s="60"/>
      <c r="N550" s="60"/>
      <c r="O550" s="60"/>
      <c r="P550" s="60"/>
      <c r="Q550" s="64"/>
      <c r="R550" s="64"/>
      <c r="S550" s="64"/>
      <c r="T550" s="64"/>
      <c r="U550" s="64"/>
      <c r="V550" s="64"/>
      <c r="W550" s="64"/>
      <c r="X550" s="64"/>
      <c r="Y550" s="64"/>
      <c r="Z550" s="64"/>
      <c r="AA550" s="64"/>
      <c r="AB550" s="64"/>
      <c r="AC550" s="64"/>
      <c r="AD550" s="64"/>
      <c r="AE550" s="64"/>
      <c r="AF550" s="64"/>
      <c r="AG550" s="64"/>
      <c r="AH550" s="64"/>
      <c r="AI550" s="64"/>
      <c r="AJ550" s="64"/>
    </row>
    <row r="551">
      <c r="A551" s="64"/>
      <c r="B551" s="64"/>
      <c r="C551" s="64"/>
      <c r="D551" s="64"/>
      <c r="E551" s="64"/>
      <c r="F551" s="64"/>
      <c r="G551" s="64"/>
      <c r="H551" s="64"/>
      <c r="I551" s="64"/>
      <c r="J551" s="64"/>
      <c r="K551" s="64"/>
      <c r="L551" s="64"/>
      <c r="M551" s="60"/>
      <c r="N551" s="60"/>
      <c r="O551" s="60"/>
      <c r="P551" s="60"/>
      <c r="Q551" s="64"/>
      <c r="R551" s="64"/>
      <c r="S551" s="64"/>
      <c r="T551" s="64"/>
      <c r="U551" s="64"/>
      <c r="V551" s="64"/>
      <c r="W551" s="64"/>
      <c r="X551" s="64"/>
      <c r="Y551" s="64"/>
      <c r="Z551" s="64"/>
      <c r="AA551" s="64"/>
      <c r="AB551" s="64"/>
      <c r="AC551" s="64"/>
      <c r="AD551" s="64"/>
      <c r="AE551" s="64"/>
      <c r="AF551" s="64"/>
      <c r="AG551" s="64"/>
      <c r="AH551" s="64"/>
      <c r="AI551" s="64"/>
      <c r="AJ551" s="64"/>
    </row>
    <row r="552">
      <c r="A552" s="64"/>
      <c r="B552" s="64"/>
      <c r="C552" s="64"/>
      <c r="D552" s="64"/>
      <c r="E552" s="64"/>
      <c r="F552" s="64"/>
      <c r="G552" s="64"/>
      <c r="H552" s="64"/>
      <c r="I552" s="64"/>
      <c r="J552" s="64"/>
      <c r="K552" s="64"/>
      <c r="L552" s="64"/>
      <c r="M552" s="60"/>
      <c r="N552" s="60"/>
      <c r="O552" s="60"/>
      <c r="P552" s="60"/>
      <c r="Q552" s="64"/>
      <c r="R552" s="64"/>
      <c r="S552" s="64"/>
      <c r="T552" s="64"/>
      <c r="U552" s="64"/>
      <c r="V552" s="64"/>
      <c r="W552" s="64"/>
      <c r="X552" s="64"/>
      <c r="Y552" s="64"/>
      <c r="Z552" s="64"/>
      <c r="AA552" s="64"/>
      <c r="AB552" s="64"/>
      <c r="AC552" s="64"/>
      <c r="AD552" s="64"/>
      <c r="AE552" s="64"/>
      <c r="AF552" s="64"/>
      <c r="AG552" s="64"/>
      <c r="AH552" s="64"/>
      <c r="AI552" s="64"/>
      <c r="AJ552" s="64"/>
    </row>
    <row r="553">
      <c r="A553" s="64"/>
      <c r="B553" s="64"/>
      <c r="C553" s="64"/>
      <c r="D553" s="64"/>
      <c r="E553" s="64"/>
      <c r="F553" s="64"/>
      <c r="G553" s="64"/>
      <c r="H553" s="64"/>
      <c r="I553" s="64"/>
      <c r="J553" s="64"/>
      <c r="K553" s="64"/>
      <c r="L553" s="64"/>
      <c r="M553" s="60"/>
      <c r="N553" s="60"/>
      <c r="O553" s="60"/>
      <c r="P553" s="60"/>
      <c r="Q553" s="64"/>
      <c r="R553" s="64"/>
      <c r="S553" s="64"/>
      <c r="T553" s="64"/>
      <c r="U553" s="64"/>
      <c r="V553" s="64"/>
      <c r="W553" s="64"/>
      <c r="X553" s="64"/>
      <c r="Y553" s="64"/>
      <c r="Z553" s="64"/>
      <c r="AA553" s="64"/>
      <c r="AB553" s="64"/>
      <c r="AC553" s="64"/>
      <c r="AD553" s="64"/>
      <c r="AE553" s="64"/>
      <c r="AF553" s="64"/>
      <c r="AG553" s="64"/>
      <c r="AH553" s="64"/>
      <c r="AI553" s="64"/>
      <c r="AJ553" s="64"/>
    </row>
    <row r="554">
      <c r="A554" s="64"/>
      <c r="B554" s="64"/>
      <c r="C554" s="64"/>
      <c r="D554" s="64"/>
      <c r="E554" s="64"/>
      <c r="F554" s="64"/>
      <c r="G554" s="64"/>
      <c r="H554" s="64"/>
      <c r="I554" s="64"/>
      <c r="J554" s="64"/>
      <c r="K554" s="64"/>
      <c r="L554" s="64"/>
      <c r="M554" s="60"/>
      <c r="N554" s="60"/>
      <c r="O554" s="60"/>
      <c r="P554" s="60"/>
      <c r="Q554" s="64"/>
      <c r="R554" s="64"/>
      <c r="S554" s="64"/>
      <c r="T554" s="64"/>
      <c r="U554" s="64"/>
      <c r="V554" s="64"/>
      <c r="W554" s="64"/>
      <c r="X554" s="64"/>
      <c r="Y554" s="64"/>
      <c r="Z554" s="64"/>
      <c r="AA554" s="64"/>
      <c r="AB554" s="64"/>
      <c r="AC554" s="64"/>
      <c r="AD554" s="64"/>
      <c r="AE554" s="64"/>
      <c r="AF554" s="64"/>
      <c r="AG554" s="64"/>
      <c r="AH554" s="64"/>
      <c r="AI554" s="64"/>
      <c r="AJ554" s="64"/>
    </row>
    <row r="555">
      <c r="A555" s="64"/>
      <c r="B555" s="64"/>
      <c r="C555" s="64"/>
      <c r="D555" s="64"/>
      <c r="E555" s="64"/>
      <c r="F555" s="64"/>
      <c r="G555" s="64"/>
      <c r="H555" s="64"/>
      <c r="I555" s="64"/>
      <c r="J555" s="64"/>
      <c r="K555" s="64"/>
      <c r="L555" s="64"/>
      <c r="M555" s="60"/>
      <c r="N555" s="60"/>
      <c r="O555" s="60"/>
      <c r="P555" s="60"/>
      <c r="Q555" s="64"/>
      <c r="R555" s="64"/>
      <c r="S555" s="64"/>
      <c r="T555" s="64"/>
      <c r="U555" s="64"/>
      <c r="V555" s="64"/>
      <c r="W555" s="64"/>
      <c r="X555" s="64"/>
      <c r="Y555" s="64"/>
      <c r="Z555" s="64"/>
      <c r="AA555" s="64"/>
      <c r="AB555" s="64"/>
      <c r="AC555" s="64"/>
      <c r="AD555" s="64"/>
      <c r="AE555" s="64"/>
      <c r="AF555" s="64"/>
      <c r="AG555" s="64"/>
      <c r="AH555" s="64"/>
      <c r="AI555" s="64"/>
      <c r="AJ555" s="64"/>
    </row>
    <row r="556">
      <c r="A556" s="64"/>
      <c r="B556" s="64"/>
      <c r="C556" s="64"/>
      <c r="D556" s="64"/>
      <c r="E556" s="64"/>
      <c r="F556" s="64"/>
      <c r="G556" s="64"/>
      <c r="H556" s="64"/>
      <c r="I556" s="64"/>
      <c r="J556" s="64"/>
      <c r="K556" s="64"/>
      <c r="L556" s="64"/>
      <c r="M556" s="60"/>
      <c r="N556" s="60"/>
      <c r="O556" s="60"/>
      <c r="P556" s="60"/>
      <c r="Q556" s="64"/>
      <c r="R556" s="64"/>
      <c r="S556" s="64"/>
      <c r="T556" s="64"/>
      <c r="U556" s="64"/>
      <c r="V556" s="64"/>
      <c r="W556" s="64"/>
      <c r="X556" s="64"/>
      <c r="Y556" s="64"/>
      <c r="Z556" s="64"/>
      <c r="AA556" s="64"/>
      <c r="AB556" s="64"/>
      <c r="AC556" s="64"/>
      <c r="AD556" s="64"/>
      <c r="AE556" s="64"/>
      <c r="AF556" s="64"/>
      <c r="AG556" s="64"/>
      <c r="AH556" s="64"/>
      <c r="AI556" s="64"/>
      <c r="AJ556" s="64"/>
    </row>
    <row r="557">
      <c r="A557" s="64"/>
      <c r="B557" s="64"/>
      <c r="C557" s="64"/>
      <c r="D557" s="64"/>
      <c r="E557" s="64"/>
      <c r="F557" s="64"/>
      <c r="G557" s="64"/>
      <c r="H557" s="64"/>
      <c r="I557" s="64"/>
      <c r="J557" s="64"/>
      <c r="K557" s="64"/>
      <c r="L557" s="64"/>
      <c r="M557" s="60"/>
      <c r="N557" s="60"/>
      <c r="O557" s="60"/>
      <c r="P557" s="60"/>
      <c r="Q557" s="64"/>
      <c r="R557" s="64"/>
      <c r="S557" s="64"/>
      <c r="T557" s="64"/>
      <c r="U557" s="64"/>
      <c r="V557" s="64"/>
      <c r="W557" s="64"/>
      <c r="X557" s="64"/>
      <c r="Y557" s="64"/>
      <c r="Z557" s="64"/>
      <c r="AA557" s="64"/>
      <c r="AB557" s="64"/>
      <c r="AC557" s="64"/>
      <c r="AD557" s="64"/>
      <c r="AE557" s="64"/>
      <c r="AF557" s="64"/>
      <c r="AG557" s="64"/>
      <c r="AH557" s="64"/>
      <c r="AI557" s="64"/>
      <c r="AJ557" s="64"/>
    </row>
    <row r="558">
      <c r="A558" s="64"/>
      <c r="B558" s="64"/>
      <c r="C558" s="64"/>
      <c r="D558" s="64"/>
      <c r="E558" s="64"/>
      <c r="F558" s="64"/>
      <c r="G558" s="64"/>
      <c r="H558" s="64"/>
      <c r="I558" s="64"/>
      <c r="J558" s="64"/>
      <c r="K558" s="64"/>
      <c r="L558" s="64"/>
      <c r="M558" s="60"/>
      <c r="N558" s="60"/>
      <c r="O558" s="60"/>
      <c r="P558" s="60"/>
      <c r="Q558" s="64"/>
      <c r="R558" s="64"/>
      <c r="S558" s="64"/>
      <c r="T558" s="64"/>
      <c r="U558" s="64"/>
      <c r="V558" s="64"/>
      <c r="W558" s="64"/>
      <c r="X558" s="64"/>
      <c r="Y558" s="64"/>
      <c r="Z558" s="64"/>
      <c r="AA558" s="64"/>
      <c r="AB558" s="64"/>
      <c r="AC558" s="64"/>
      <c r="AD558" s="64"/>
      <c r="AE558" s="64"/>
      <c r="AF558" s="64"/>
      <c r="AG558" s="64"/>
      <c r="AH558" s="64"/>
      <c r="AI558" s="64"/>
      <c r="AJ558" s="64"/>
    </row>
    <row r="559">
      <c r="A559" s="64"/>
      <c r="B559" s="64"/>
      <c r="C559" s="64"/>
      <c r="D559" s="64"/>
      <c r="E559" s="64"/>
      <c r="F559" s="64"/>
      <c r="G559" s="64"/>
      <c r="H559" s="64"/>
      <c r="I559" s="64"/>
      <c r="J559" s="64"/>
      <c r="K559" s="64"/>
      <c r="L559" s="64"/>
      <c r="M559" s="60"/>
      <c r="N559" s="60"/>
      <c r="O559" s="60"/>
      <c r="P559" s="60"/>
      <c r="Q559" s="64"/>
      <c r="R559" s="64"/>
      <c r="S559" s="64"/>
      <c r="T559" s="64"/>
      <c r="U559" s="64"/>
      <c r="V559" s="64"/>
      <c r="W559" s="64"/>
      <c r="X559" s="64"/>
      <c r="Y559" s="64"/>
      <c r="Z559" s="64"/>
      <c r="AA559" s="64"/>
      <c r="AB559" s="64"/>
      <c r="AC559" s="64"/>
      <c r="AD559" s="64"/>
      <c r="AE559" s="64"/>
      <c r="AF559" s="64"/>
      <c r="AG559" s="64"/>
      <c r="AH559" s="64"/>
      <c r="AI559" s="64"/>
      <c r="AJ559" s="64"/>
    </row>
    <row r="560">
      <c r="A560" s="64"/>
      <c r="B560" s="64"/>
      <c r="C560" s="64"/>
      <c r="D560" s="64"/>
      <c r="E560" s="64"/>
      <c r="F560" s="64"/>
      <c r="G560" s="64"/>
      <c r="H560" s="64"/>
      <c r="I560" s="64"/>
      <c r="J560" s="64"/>
      <c r="K560" s="64"/>
      <c r="L560" s="64"/>
      <c r="M560" s="60"/>
      <c r="N560" s="60"/>
      <c r="O560" s="60"/>
      <c r="P560" s="60"/>
      <c r="Q560" s="64"/>
      <c r="R560" s="64"/>
      <c r="S560" s="64"/>
      <c r="T560" s="64"/>
      <c r="U560" s="64"/>
      <c r="V560" s="64"/>
      <c r="W560" s="64"/>
      <c r="X560" s="64"/>
      <c r="Y560" s="64"/>
      <c r="Z560" s="64"/>
      <c r="AA560" s="64"/>
      <c r="AB560" s="64"/>
      <c r="AC560" s="64"/>
      <c r="AD560" s="64"/>
      <c r="AE560" s="64"/>
      <c r="AF560" s="64"/>
      <c r="AG560" s="64"/>
      <c r="AH560" s="64"/>
      <c r="AI560" s="64"/>
      <c r="AJ560" s="64"/>
    </row>
    <row r="561">
      <c r="A561" s="64"/>
      <c r="B561" s="64"/>
      <c r="C561" s="64"/>
      <c r="D561" s="64"/>
      <c r="E561" s="64"/>
      <c r="F561" s="64"/>
      <c r="G561" s="64"/>
      <c r="H561" s="64"/>
      <c r="I561" s="64"/>
      <c r="J561" s="64"/>
      <c r="K561" s="64"/>
      <c r="L561" s="64"/>
      <c r="M561" s="60"/>
      <c r="N561" s="60"/>
      <c r="O561" s="60"/>
      <c r="P561" s="60"/>
      <c r="Q561" s="64"/>
      <c r="R561" s="64"/>
      <c r="S561" s="64"/>
      <c r="T561" s="64"/>
      <c r="U561" s="64"/>
      <c r="V561" s="64"/>
      <c r="W561" s="64"/>
      <c r="X561" s="64"/>
      <c r="Y561" s="64"/>
      <c r="Z561" s="64"/>
      <c r="AA561" s="64"/>
      <c r="AB561" s="64"/>
      <c r="AC561" s="64"/>
      <c r="AD561" s="64"/>
      <c r="AE561" s="64"/>
      <c r="AF561" s="64"/>
      <c r="AG561" s="64"/>
      <c r="AH561" s="64"/>
      <c r="AI561" s="64"/>
      <c r="AJ561" s="64"/>
    </row>
    <row r="562">
      <c r="A562" s="64"/>
      <c r="B562" s="64"/>
      <c r="C562" s="64"/>
      <c r="D562" s="64"/>
      <c r="E562" s="64"/>
      <c r="F562" s="64"/>
      <c r="G562" s="64"/>
      <c r="H562" s="64"/>
      <c r="I562" s="64"/>
      <c r="J562" s="64"/>
      <c r="K562" s="64"/>
      <c r="L562" s="64"/>
      <c r="M562" s="60"/>
      <c r="N562" s="60"/>
      <c r="O562" s="60"/>
      <c r="P562" s="60"/>
      <c r="Q562" s="64"/>
      <c r="R562" s="64"/>
      <c r="S562" s="64"/>
      <c r="T562" s="64"/>
      <c r="U562" s="64"/>
      <c r="V562" s="64"/>
      <c r="W562" s="64"/>
      <c r="X562" s="64"/>
      <c r="Y562" s="64"/>
      <c r="Z562" s="64"/>
      <c r="AA562" s="64"/>
      <c r="AB562" s="64"/>
      <c r="AC562" s="64"/>
      <c r="AD562" s="64"/>
      <c r="AE562" s="64"/>
      <c r="AF562" s="64"/>
      <c r="AG562" s="64"/>
      <c r="AH562" s="64"/>
      <c r="AI562" s="64"/>
      <c r="AJ562" s="64"/>
    </row>
    <row r="563">
      <c r="A563" s="64"/>
      <c r="B563" s="64"/>
      <c r="C563" s="64"/>
      <c r="D563" s="64"/>
      <c r="E563" s="64"/>
      <c r="F563" s="64"/>
      <c r="G563" s="64"/>
      <c r="H563" s="64"/>
      <c r="I563" s="64"/>
      <c r="J563" s="64"/>
      <c r="K563" s="64"/>
      <c r="L563" s="64"/>
      <c r="M563" s="60"/>
      <c r="N563" s="60"/>
      <c r="O563" s="60"/>
      <c r="P563" s="60"/>
      <c r="Q563" s="64"/>
      <c r="R563" s="64"/>
      <c r="S563" s="64"/>
      <c r="T563" s="64"/>
      <c r="U563" s="64"/>
      <c r="V563" s="64"/>
      <c r="W563" s="64"/>
      <c r="X563" s="64"/>
      <c r="Y563" s="64"/>
      <c r="Z563" s="64"/>
      <c r="AA563" s="64"/>
      <c r="AB563" s="64"/>
      <c r="AC563" s="64"/>
      <c r="AD563" s="64"/>
      <c r="AE563" s="64"/>
      <c r="AF563" s="64"/>
      <c r="AG563" s="64"/>
      <c r="AH563" s="64"/>
      <c r="AI563" s="64"/>
      <c r="AJ563" s="64"/>
    </row>
    <row r="564">
      <c r="A564" s="64"/>
      <c r="B564" s="64"/>
      <c r="C564" s="64"/>
      <c r="D564" s="64"/>
      <c r="E564" s="64"/>
      <c r="F564" s="64"/>
      <c r="G564" s="64"/>
      <c r="H564" s="64"/>
      <c r="I564" s="64"/>
      <c r="J564" s="64"/>
      <c r="K564" s="64"/>
      <c r="L564" s="64"/>
      <c r="M564" s="60"/>
      <c r="N564" s="60"/>
      <c r="O564" s="60"/>
      <c r="P564" s="60"/>
      <c r="Q564" s="64"/>
      <c r="R564" s="64"/>
      <c r="S564" s="64"/>
      <c r="T564" s="64"/>
      <c r="U564" s="64"/>
      <c r="V564" s="64"/>
      <c r="W564" s="64"/>
      <c r="X564" s="64"/>
      <c r="Y564" s="64"/>
      <c r="Z564" s="64"/>
      <c r="AA564" s="64"/>
      <c r="AB564" s="64"/>
      <c r="AC564" s="64"/>
      <c r="AD564" s="64"/>
      <c r="AE564" s="64"/>
      <c r="AF564" s="64"/>
      <c r="AG564" s="64"/>
      <c r="AH564" s="64"/>
      <c r="AI564" s="64"/>
      <c r="AJ564" s="64"/>
    </row>
    <row r="565">
      <c r="A565" s="64"/>
      <c r="B565" s="64"/>
      <c r="C565" s="64"/>
      <c r="D565" s="64"/>
      <c r="E565" s="64"/>
      <c r="F565" s="64"/>
      <c r="G565" s="64"/>
      <c r="H565" s="64"/>
      <c r="I565" s="64"/>
      <c r="J565" s="64"/>
      <c r="K565" s="64"/>
      <c r="L565" s="64"/>
      <c r="M565" s="60"/>
      <c r="N565" s="60"/>
      <c r="O565" s="60"/>
      <c r="P565" s="60"/>
      <c r="Q565" s="64"/>
      <c r="R565" s="64"/>
      <c r="S565" s="64"/>
      <c r="T565" s="64"/>
      <c r="U565" s="64"/>
      <c r="V565" s="64"/>
      <c r="W565" s="64"/>
      <c r="X565" s="64"/>
      <c r="Y565" s="64"/>
      <c r="Z565" s="64"/>
      <c r="AA565" s="64"/>
      <c r="AB565" s="64"/>
      <c r="AC565" s="64"/>
      <c r="AD565" s="64"/>
      <c r="AE565" s="64"/>
      <c r="AF565" s="64"/>
      <c r="AG565" s="64"/>
      <c r="AH565" s="64"/>
      <c r="AI565" s="64"/>
      <c r="AJ565" s="64"/>
    </row>
    <row r="566">
      <c r="A566" s="64"/>
      <c r="B566" s="64"/>
      <c r="C566" s="64"/>
      <c r="D566" s="64"/>
      <c r="E566" s="64"/>
      <c r="F566" s="64"/>
      <c r="G566" s="64"/>
      <c r="H566" s="64"/>
      <c r="I566" s="64"/>
      <c r="J566" s="64"/>
      <c r="K566" s="64"/>
      <c r="L566" s="64"/>
      <c r="M566" s="60"/>
      <c r="N566" s="60"/>
      <c r="O566" s="60"/>
      <c r="P566" s="60"/>
      <c r="Q566" s="64"/>
      <c r="R566" s="64"/>
      <c r="S566" s="64"/>
      <c r="T566" s="64"/>
      <c r="U566" s="64"/>
      <c r="V566" s="64"/>
      <c r="W566" s="64"/>
      <c r="X566" s="64"/>
      <c r="Y566" s="64"/>
      <c r="Z566" s="64"/>
      <c r="AA566" s="64"/>
      <c r="AB566" s="64"/>
      <c r="AC566" s="64"/>
      <c r="AD566" s="64"/>
      <c r="AE566" s="64"/>
      <c r="AF566" s="64"/>
      <c r="AG566" s="64"/>
      <c r="AH566" s="64"/>
      <c r="AI566" s="64"/>
      <c r="AJ566" s="64"/>
    </row>
    <row r="567">
      <c r="A567" s="64"/>
      <c r="B567" s="64"/>
      <c r="C567" s="64"/>
      <c r="D567" s="64"/>
      <c r="E567" s="64"/>
      <c r="F567" s="64"/>
      <c r="G567" s="64"/>
      <c r="H567" s="64"/>
      <c r="I567" s="64"/>
      <c r="J567" s="64"/>
      <c r="K567" s="64"/>
      <c r="L567" s="64"/>
      <c r="M567" s="60"/>
      <c r="N567" s="60"/>
      <c r="O567" s="60"/>
      <c r="P567" s="60"/>
      <c r="Q567" s="64"/>
      <c r="R567" s="64"/>
      <c r="S567" s="64"/>
      <c r="T567" s="64"/>
      <c r="U567" s="64"/>
      <c r="V567" s="64"/>
      <c r="W567" s="64"/>
      <c r="X567" s="64"/>
      <c r="Y567" s="64"/>
      <c r="Z567" s="64"/>
      <c r="AA567" s="64"/>
      <c r="AB567" s="64"/>
      <c r="AC567" s="64"/>
      <c r="AD567" s="64"/>
      <c r="AE567" s="64"/>
      <c r="AF567" s="64"/>
      <c r="AG567" s="64"/>
      <c r="AH567" s="64"/>
      <c r="AI567" s="64"/>
      <c r="AJ567" s="64"/>
    </row>
    <row r="568">
      <c r="A568" s="64"/>
      <c r="B568" s="64"/>
      <c r="C568" s="64"/>
      <c r="D568" s="64"/>
      <c r="E568" s="64"/>
      <c r="F568" s="64"/>
      <c r="G568" s="64"/>
      <c r="H568" s="64"/>
      <c r="I568" s="64"/>
      <c r="J568" s="64"/>
      <c r="K568" s="64"/>
      <c r="L568" s="64"/>
      <c r="M568" s="60"/>
      <c r="N568" s="60"/>
      <c r="O568" s="60"/>
      <c r="P568" s="60"/>
      <c r="Q568" s="64"/>
      <c r="R568" s="64"/>
      <c r="S568" s="64"/>
      <c r="T568" s="64"/>
      <c r="U568" s="64"/>
      <c r="V568" s="64"/>
      <c r="W568" s="64"/>
      <c r="X568" s="64"/>
      <c r="Y568" s="64"/>
      <c r="Z568" s="64"/>
      <c r="AA568" s="64"/>
      <c r="AB568" s="64"/>
      <c r="AC568" s="64"/>
      <c r="AD568" s="64"/>
      <c r="AE568" s="64"/>
      <c r="AF568" s="64"/>
      <c r="AG568" s="64"/>
      <c r="AH568" s="64"/>
      <c r="AI568" s="64"/>
      <c r="AJ568" s="64"/>
    </row>
    <row r="569">
      <c r="A569" s="64"/>
      <c r="B569" s="64"/>
      <c r="C569" s="64"/>
      <c r="D569" s="64"/>
      <c r="E569" s="64"/>
      <c r="F569" s="64"/>
      <c r="G569" s="64"/>
      <c r="H569" s="64"/>
      <c r="I569" s="64"/>
      <c r="J569" s="64"/>
      <c r="K569" s="64"/>
      <c r="L569" s="64"/>
      <c r="M569" s="60"/>
      <c r="N569" s="60"/>
      <c r="O569" s="60"/>
      <c r="P569" s="60"/>
      <c r="Q569" s="64"/>
      <c r="R569" s="64"/>
      <c r="S569" s="64"/>
      <c r="T569" s="64"/>
      <c r="U569" s="64"/>
      <c r="V569" s="64"/>
      <c r="W569" s="64"/>
      <c r="X569" s="64"/>
      <c r="Y569" s="64"/>
      <c r="Z569" s="64"/>
      <c r="AA569" s="64"/>
      <c r="AB569" s="64"/>
      <c r="AC569" s="64"/>
      <c r="AD569" s="64"/>
      <c r="AE569" s="64"/>
      <c r="AF569" s="64"/>
      <c r="AG569" s="64"/>
      <c r="AH569" s="64"/>
      <c r="AI569" s="64"/>
      <c r="AJ569" s="64"/>
    </row>
    <row r="570">
      <c r="A570" s="64"/>
      <c r="B570" s="64"/>
      <c r="C570" s="64"/>
      <c r="D570" s="64"/>
      <c r="E570" s="64"/>
      <c r="F570" s="64"/>
      <c r="G570" s="64"/>
      <c r="H570" s="64"/>
      <c r="I570" s="64"/>
      <c r="J570" s="64"/>
      <c r="K570" s="64"/>
      <c r="L570" s="64"/>
      <c r="M570" s="60"/>
      <c r="N570" s="60"/>
      <c r="O570" s="60"/>
      <c r="P570" s="60"/>
      <c r="Q570" s="64"/>
      <c r="R570" s="64"/>
      <c r="S570" s="64"/>
      <c r="T570" s="64"/>
      <c r="U570" s="64"/>
      <c r="V570" s="64"/>
      <c r="W570" s="64"/>
      <c r="X570" s="64"/>
      <c r="Y570" s="64"/>
      <c r="Z570" s="64"/>
      <c r="AA570" s="64"/>
      <c r="AB570" s="64"/>
      <c r="AC570" s="64"/>
      <c r="AD570" s="64"/>
      <c r="AE570" s="64"/>
      <c r="AF570" s="64"/>
      <c r="AG570" s="64"/>
      <c r="AH570" s="64"/>
      <c r="AI570" s="64"/>
      <c r="AJ570" s="64"/>
    </row>
    <row r="571">
      <c r="A571" s="64"/>
      <c r="B571" s="64"/>
      <c r="C571" s="64"/>
      <c r="D571" s="64"/>
      <c r="E571" s="64"/>
      <c r="F571" s="64"/>
      <c r="G571" s="64"/>
      <c r="H571" s="64"/>
      <c r="I571" s="64"/>
      <c r="J571" s="64"/>
      <c r="K571" s="64"/>
      <c r="L571" s="64"/>
      <c r="M571" s="60"/>
      <c r="N571" s="60"/>
      <c r="O571" s="60"/>
      <c r="P571" s="60"/>
      <c r="Q571" s="64"/>
      <c r="R571" s="64"/>
      <c r="S571" s="64"/>
      <c r="T571" s="64"/>
      <c r="U571" s="64"/>
      <c r="V571" s="64"/>
      <c r="W571" s="64"/>
      <c r="X571" s="64"/>
      <c r="Y571" s="64"/>
      <c r="Z571" s="64"/>
      <c r="AA571" s="64"/>
      <c r="AB571" s="64"/>
      <c r="AC571" s="64"/>
      <c r="AD571" s="64"/>
      <c r="AE571" s="64"/>
      <c r="AF571" s="64"/>
      <c r="AG571" s="64"/>
      <c r="AH571" s="64"/>
      <c r="AI571" s="64"/>
      <c r="AJ571" s="64"/>
    </row>
    <row r="572">
      <c r="A572" s="64"/>
      <c r="B572" s="64"/>
      <c r="C572" s="64"/>
      <c r="D572" s="64"/>
      <c r="E572" s="64"/>
      <c r="F572" s="64"/>
      <c r="G572" s="64"/>
      <c r="H572" s="64"/>
      <c r="I572" s="64"/>
      <c r="J572" s="64"/>
      <c r="K572" s="64"/>
      <c r="L572" s="64"/>
      <c r="M572" s="60"/>
      <c r="N572" s="60"/>
      <c r="O572" s="60"/>
      <c r="P572" s="60"/>
      <c r="Q572" s="64"/>
      <c r="R572" s="64"/>
      <c r="S572" s="64"/>
      <c r="T572" s="64"/>
      <c r="U572" s="64"/>
      <c r="V572" s="64"/>
      <c r="W572" s="64"/>
      <c r="X572" s="64"/>
      <c r="Y572" s="64"/>
      <c r="Z572" s="64"/>
      <c r="AA572" s="64"/>
      <c r="AB572" s="64"/>
      <c r="AC572" s="64"/>
      <c r="AD572" s="64"/>
      <c r="AE572" s="64"/>
      <c r="AF572" s="64"/>
      <c r="AG572" s="64"/>
      <c r="AH572" s="64"/>
      <c r="AI572" s="64"/>
      <c r="AJ572" s="64"/>
    </row>
    <row r="573">
      <c r="A573" s="64"/>
      <c r="B573" s="64"/>
      <c r="C573" s="64"/>
      <c r="D573" s="64"/>
      <c r="E573" s="64"/>
      <c r="F573" s="64"/>
      <c r="G573" s="64"/>
      <c r="H573" s="64"/>
      <c r="I573" s="64"/>
      <c r="J573" s="64"/>
      <c r="K573" s="64"/>
      <c r="L573" s="64"/>
      <c r="M573" s="60"/>
      <c r="N573" s="60"/>
      <c r="O573" s="60"/>
      <c r="P573" s="60"/>
      <c r="Q573" s="64"/>
      <c r="R573" s="64"/>
      <c r="S573" s="64"/>
      <c r="T573" s="64"/>
      <c r="U573" s="64"/>
      <c r="V573" s="64"/>
      <c r="W573" s="64"/>
      <c r="X573" s="64"/>
      <c r="Y573" s="64"/>
      <c r="Z573" s="64"/>
      <c r="AA573" s="64"/>
      <c r="AB573" s="64"/>
      <c r="AC573" s="64"/>
      <c r="AD573" s="64"/>
      <c r="AE573" s="64"/>
      <c r="AF573" s="64"/>
      <c r="AG573" s="64"/>
      <c r="AH573" s="64"/>
      <c r="AI573" s="64"/>
      <c r="AJ573" s="64"/>
    </row>
    <row r="574">
      <c r="A574" s="64"/>
      <c r="B574" s="64"/>
      <c r="C574" s="64"/>
      <c r="D574" s="64"/>
      <c r="E574" s="64"/>
      <c r="F574" s="64"/>
      <c r="G574" s="64"/>
      <c r="H574" s="64"/>
      <c r="I574" s="64"/>
      <c r="J574" s="64"/>
      <c r="K574" s="64"/>
      <c r="L574" s="64"/>
      <c r="M574" s="60"/>
      <c r="N574" s="60"/>
      <c r="O574" s="60"/>
      <c r="P574" s="60"/>
      <c r="Q574" s="64"/>
      <c r="R574" s="64"/>
      <c r="S574" s="64"/>
      <c r="T574" s="64"/>
      <c r="U574" s="64"/>
      <c r="V574" s="64"/>
      <c r="W574" s="64"/>
      <c r="X574" s="64"/>
      <c r="Y574" s="64"/>
      <c r="Z574" s="64"/>
      <c r="AA574" s="64"/>
      <c r="AB574" s="64"/>
      <c r="AC574" s="64"/>
      <c r="AD574" s="64"/>
      <c r="AE574" s="64"/>
      <c r="AF574" s="64"/>
      <c r="AG574" s="64"/>
      <c r="AH574" s="64"/>
      <c r="AI574" s="64"/>
      <c r="AJ574" s="64"/>
    </row>
    <row r="575">
      <c r="A575" s="64"/>
      <c r="B575" s="64"/>
      <c r="C575" s="64"/>
      <c r="D575" s="64"/>
      <c r="E575" s="64"/>
      <c r="F575" s="64"/>
      <c r="G575" s="64"/>
      <c r="H575" s="64"/>
      <c r="I575" s="64"/>
      <c r="J575" s="64"/>
      <c r="K575" s="64"/>
      <c r="L575" s="64"/>
      <c r="M575" s="60"/>
      <c r="N575" s="60"/>
      <c r="O575" s="60"/>
      <c r="P575" s="60"/>
      <c r="Q575" s="64"/>
      <c r="R575" s="64"/>
      <c r="S575" s="64"/>
      <c r="T575" s="64"/>
      <c r="U575" s="64"/>
      <c r="V575" s="64"/>
      <c r="W575" s="64"/>
      <c r="X575" s="64"/>
      <c r="Y575" s="64"/>
      <c r="Z575" s="64"/>
      <c r="AA575" s="64"/>
      <c r="AB575" s="64"/>
      <c r="AC575" s="64"/>
      <c r="AD575" s="64"/>
      <c r="AE575" s="64"/>
      <c r="AF575" s="64"/>
      <c r="AG575" s="64"/>
      <c r="AH575" s="64"/>
      <c r="AI575" s="64"/>
      <c r="AJ575" s="64"/>
    </row>
    <row r="576">
      <c r="A576" s="64"/>
      <c r="B576" s="64"/>
      <c r="C576" s="64"/>
      <c r="D576" s="64"/>
      <c r="E576" s="64"/>
      <c r="F576" s="64"/>
      <c r="G576" s="64"/>
      <c r="H576" s="64"/>
      <c r="I576" s="64"/>
      <c r="J576" s="64"/>
      <c r="K576" s="64"/>
      <c r="L576" s="64"/>
      <c r="M576" s="60"/>
      <c r="N576" s="60"/>
      <c r="O576" s="60"/>
      <c r="P576" s="60"/>
      <c r="Q576" s="64"/>
      <c r="R576" s="64"/>
      <c r="S576" s="64"/>
      <c r="T576" s="64"/>
      <c r="U576" s="64"/>
      <c r="V576" s="64"/>
      <c r="W576" s="64"/>
      <c r="X576" s="64"/>
      <c r="Y576" s="64"/>
      <c r="Z576" s="64"/>
      <c r="AA576" s="64"/>
      <c r="AB576" s="64"/>
      <c r="AC576" s="64"/>
      <c r="AD576" s="64"/>
      <c r="AE576" s="64"/>
      <c r="AF576" s="64"/>
      <c r="AG576" s="64"/>
      <c r="AH576" s="64"/>
      <c r="AI576" s="64"/>
      <c r="AJ576" s="64"/>
    </row>
    <row r="577">
      <c r="A577" s="64"/>
      <c r="B577" s="64"/>
      <c r="C577" s="64"/>
      <c r="D577" s="64"/>
      <c r="E577" s="64"/>
      <c r="F577" s="64"/>
      <c r="G577" s="64"/>
      <c r="H577" s="64"/>
      <c r="I577" s="64"/>
      <c r="J577" s="64"/>
      <c r="K577" s="64"/>
      <c r="L577" s="64"/>
      <c r="M577" s="60"/>
      <c r="N577" s="60"/>
      <c r="O577" s="60"/>
      <c r="P577" s="60"/>
      <c r="Q577" s="64"/>
      <c r="R577" s="64"/>
      <c r="S577" s="64"/>
      <c r="T577" s="64"/>
      <c r="U577" s="64"/>
      <c r="V577" s="64"/>
      <c r="W577" s="64"/>
      <c r="X577" s="64"/>
      <c r="Y577" s="64"/>
      <c r="Z577" s="64"/>
      <c r="AA577" s="64"/>
      <c r="AB577" s="64"/>
      <c r="AC577" s="64"/>
      <c r="AD577" s="64"/>
      <c r="AE577" s="64"/>
      <c r="AF577" s="64"/>
      <c r="AG577" s="64"/>
      <c r="AH577" s="64"/>
      <c r="AI577" s="64"/>
      <c r="AJ577" s="64"/>
    </row>
    <row r="578">
      <c r="A578" s="64"/>
      <c r="B578" s="64"/>
      <c r="C578" s="64"/>
      <c r="D578" s="64"/>
      <c r="E578" s="64"/>
      <c r="F578" s="64"/>
      <c r="G578" s="64"/>
      <c r="H578" s="64"/>
      <c r="I578" s="64"/>
      <c r="J578" s="64"/>
      <c r="K578" s="64"/>
      <c r="L578" s="64"/>
      <c r="M578" s="60"/>
      <c r="N578" s="60"/>
      <c r="O578" s="60"/>
      <c r="P578" s="60"/>
      <c r="Q578" s="64"/>
      <c r="R578" s="64"/>
      <c r="S578" s="64"/>
      <c r="T578" s="64"/>
      <c r="U578" s="64"/>
      <c r="V578" s="64"/>
      <c r="W578" s="64"/>
      <c r="X578" s="64"/>
      <c r="Y578" s="64"/>
      <c r="Z578" s="64"/>
      <c r="AA578" s="64"/>
      <c r="AB578" s="64"/>
      <c r="AC578" s="64"/>
      <c r="AD578" s="64"/>
      <c r="AE578" s="64"/>
      <c r="AF578" s="64"/>
      <c r="AG578" s="64"/>
      <c r="AH578" s="64"/>
      <c r="AI578" s="64"/>
      <c r="AJ578" s="64"/>
    </row>
    <row r="579">
      <c r="A579" s="64"/>
      <c r="B579" s="64"/>
      <c r="C579" s="64"/>
      <c r="D579" s="64"/>
      <c r="E579" s="64"/>
      <c r="F579" s="64"/>
      <c r="G579" s="64"/>
      <c r="H579" s="64"/>
      <c r="I579" s="64"/>
      <c r="J579" s="64"/>
      <c r="K579" s="64"/>
      <c r="L579" s="64"/>
      <c r="M579" s="60"/>
      <c r="N579" s="60"/>
      <c r="O579" s="60"/>
      <c r="P579" s="60"/>
      <c r="Q579" s="64"/>
      <c r="R579" s="64"/>
      <c r="S579" s="64"/>
      <c r="T579" s="64"/>
      <c r="U579" s="64"/>
      <c r="V579" s="64"/>
      <c r="W579" s="64"/>
      <c r="X579" s="64"/>
      <c r="Y579" s="64"/>
      <c r="Z579" s="64"/>
      <c r="AA579" s="64"/>
      <c r="AB579" s="64"/>
      <c r="AC579" s="64"/>
      <c r="AD579" s="64"/>
      <c r="AE579" s="64"/>
      <c r="AF579" s="64"/>
      <c r="AG579" s="64"/>
      <c r="AH579" s="64"/>
      <c r="AI579" s="64"/>
      <c r="AJ579" s="64"/>
    </row>
    <row r="580">
      <c r="A580" s="64"/>
      <c r="B580" s="64"/>
      <c r="C580" s="64"/>
      <c r="D580" s="64"/>
      <c r="E580" s="64"/>
      <c r="F580" s="64"/>
      <c r="G580" s="64"/>
      <c r="H580" s="64"/>
      <c r="I580" s="64"/>
      <c r="J580" s="64"/>
      <c r="K580" s="64"/>
      <c r="L580" s="64"/>
      <c r="M580" s="60"/>
      <c r="N580" s="60"/>
      <c r="O580" s="60"/>
      <c r="P580" s="60"/>
      <c r="Q580" s="64"/>
      <c r="R580" s="64"/>
      <c r="S580" s="64"/>
      <c r="T580" s="64"/>
      <c r="U580" s="64"/>
      <c r="V580" s="64"/>
      <c r="W580" s="64"/>
      <c r="X580" s="64"/>
      <c r="Y580" s="64"/>
      <c r="Z580" s="64"/>
      <c r="AA580" s="64"/>
      <c r="AB580" s="64"/>
      <c r="AC580" s="64"/>
      <c r="AD580" s="64"/>
      <c r="AE580" s="64"/>
      <c r="AF580" s="64"/>
      <c r="AG580" s="64"/>
      <c r="AH580" s="64"/>
      <c r="AI580" s="64"/>
      <c r="AJ580" s="64"/>
    </row>
    <row r="581">
      <c r="A581" s="64"/>
      <c r="B581" s="64"/>
      <c r="C581" s="64"/>
      <c r="D581" s="64"/>
      <c r="E581" s="64"/>
      <c r="F581" s="64"/>
      <c r="G581" s="64"/>
      <c r="H581" s="64"/>
      <c r="I581" s="64"/>
      <c r="J581" s="64"/>
      <c r="K581" s="64"/>
      <c r="L581" s="64"/>
      <c r="M581" s="60"/>
      <c r="N581" s="60"/>
      <c r="O581" s="60"/>
      <c r="P581" s="60"/>
      <c r="Q581" s="64"/>
      <c r="R581" s="64"/>
      <c r="S581" s="64"/>
      <c r="T581" s="64"/>
      <c r="U581" s="64"/>
      <c r="V581" s="64"/>
      <c r="W581" s="64"/>
      <c r="X581" s="64"/>
      <c r="Y581" s="64"/>
      <c r="Z581" s="64"/>
      <c r="AA581" s="64"/>
      <c r="AB581" s="64"/>
      <c r="AC581" s="64"/>
      <c r="AD581" s="64"/>
      <c r="AE581" s="64"/>
      <c r="AF581" s="64"/>
      <c r="AG581" s="64"/>
      <c r="AH581" s="64"/>
      <c r="AI581" s="64"/>
      <c r="AJ581" s="64"/>
    </row>
    <row r="582">
      <c r="A582" s="64"/>
      <c r="B582" s="64"/>
      <c r="C582" s="64"/>
      <c r="D582" s="64"/>
      <c r="E582" s="64"/>
      <c r="F582" s="64"/>
      <c r="G582" s="64"/>
      <c r="H582" s="64"/>
      <c r="I582" s="64"/>
      <c r="J582" s="64"/>
      <c r="K582" s="64"/>
      <c r="L582" s="64"/>
      <c r="M582" s="60"/>
      <c r="N582" s="60"/>
      <c r="O582" s="60"/>
      <c r="P582" s="60"/>
      <c r="Q582" s="64"/>
      <c r="R582" s="64"/>
      <c r="S582" s="64"/>
      <c r="T582" s="64"/>
      <c r="U582" s="64"/>
      <c r="V582" s="64"/>
      <c r="W582" s="64"/>
      <c r="X582" s="64"/>
      <c r="Y582" s="64"/>
      <c r="Z582" s="64"/>
      <c r="AA582" s="64"/>
      <c r="AB582" s="64"/>
      <c r="AC582" s="64"/>
      <c r="AD582" s="64"/>
      <c r="AE582" s="64"/>
      <c r="AF582" s="64"/>
      <c r="AG582" s="64"/>
      <c r="AH582" s="64"/>
      <c r="AI582" s="64"/>
      <c r="AJ582" s="64"/>
    </row>
    <row r="583">
      <c r="A583" s="64"/>
      <c r="B583" s="64"/>
      <c r="C583" s="64"/>
      <c r="D583" s="64"/>
      <c r="E583" s="64"/>
      <c r="F583" s="64"/>
      <c r="G583" s="64"/>
      <c r="H583" s="64"/>
      <c r="I583" s="64"/>
      <c r="J583" s="64"/>
      <c r="K583" s="64"/>
      <c r="L583" s="64"/>
      <c r="M583" s="60"/>
      <c r="N583" s="60"/>
      <c r="O583" s="60"/>
      <c r="P583" s="60"/>
      <c r="Q583" s="64"/>
      <c r="R583" s="64"/>
      <c r="S583" s="64"/>
      <c r="T583" s="64"/>
      <c r="U583" s="64"/>
      <c r="V583" s="64"/>
      <c r="W583" s="64"/>
      <c r="X583" s="64"/>
      <c r="Y583" s="64"/>
      <c r="Z583" s="64"/>
      <c r="AA583" s="64"/>
      <c r="AB583" s="64"/>
      <c r="AC583" s="64"/>
      <c r="AD583" s="64"/>
      <c r="AE583" s="64"/>
      <c r="AF583" s="64"/>
      <c r="AG583" s="64"/>
      <c r="AH583" s="64"/>
      <c r="AI583" s="64"/>
      <c r="AJ583" s="64"/>
    </row>
    <row r="584">
      <c r="A584" s="64"/>
      <c r="B584" s="64"/>
      <c r="C584" s="64"/>
      <c r="D584" s="64"/>
      <c r="E584" s="64"/>
      <c r="F584" s="64"/>
      <c r="G584" s="64"/>
      <c r="H584" s="64"/>
      <c r="I584" s="64"/>
      <c r="J584" s="64"/>
      <c r="K584" s="64"/>
      <c r="L584" s="64"/>
      <c r="M584" s="60"/>
      <c r="N584" s="60"/>
      <c r="O584" s="60"/>
      <c r="P584" s="60"/>
      <c r="Q584" s="64"/>
      <c r="R584" s="64"/>
      <c r="S584" s="64"/>
      <c r="T584" s="64"/>
      <c r="U584" s="64"/>
      <c r="V584" s="64"/>
      <c r="W584" s="64"/>
      <c r="X584" s="64"/>
      <c r="Y584" s="64"/>
      <c r="Z584" s="64"/>
      <c r="AA584" s="64"/>
      <c r="AB584" s="64"/>
      <c r="AC584" s="64"/>
      <c r="AD584" s="64"/>
      <c r="AE584" s="64"/>
      <c r="AF584" s="64"/>
      <c r="AG584" s="64"/>
      <c r="AH584" s="64"/>
      <c r="AI584" s="64"/>
      <c r="AJ584" s="64"/>
    </row>
    <row r="585">
      <c r="A585" s="64"/>
      <c r="B585" s="64"/>
      <c r="C585" s="64"/>
      <c r="D585" s="64"/>
      <c r="E585" s="64"/>
      <c r="F585" s="64"/>
      <c r="G585" s="64"/>
      <c r="H585" s="64"/>
      <c r="I585" s="64"/>
      <c r="J585" s="64"/>
      <c r="K585" s="64"/>
      <c r="L585" s="64"/>
      <c r="M585" s="60"/>
      <c r="N585" s="60"/>
      <c r="O585" s="60"/>
      <c r="P585" s="60"/>
      <c r="Q585" s="64"/>
      <c r="R585" s="64"/>
      <c r="S585" s="64"/>
      <c r="T585" s="64"/>
      <c r="U585" s="64"/>
      <c r="V585" s="64"/>
      <c r="W585" s="64"/>
      <c r="X585" s="64"/>
      <c r="Y585" s="64"/>
      <c r="Z585" s="64"/>
      <c r="AA585" s="64"/>
      <c r="AB585" s="64"/>
      <c r="AC585" s="64"/>
      <c r="AD585" s="64"/>
      <c r="AE585" s="64"/>
      <c r="AF585" s="64"/>
      <c r="AG585" s="64"/>
      <c r="AH585" s="64"/>
      <c r="AI585" s="64"/>
      <c r="AJ585" s="64"/>
    </row>
    <row r="586">
      <c r="A586" s="64"/>
      <c r="B586" s="64"/>
      <c r="C586" s="64"/>
      <c r="D586" s="64"/>
      <c r="E586" s="64"/>
      <c r="F586" s="64"/>
      <c r="G586" s="64"/>
      <c r="H586" s="64"/>
      <c r="I586" s="64"/>
      <c r="J586" s="64"/>
      <c r="K586" s="64"/>
      <c r="L586" s="64"/>
      <c r="M586" s="60"/>
      <c r="N586" s="60"/>
      <c r="O586" s="60"/>
      <c r="P586" s="60"/>
      <c r="Q586" s="64"/>
      <c r="R586" s="64"/>
      <c r="S586" s="64"/>
      <c r="T586" s="64"/>
      <c r="U586" s="64"/>
      <c r="V586" s="64"/>
      <c r="W586" s="64"/>
      <c r="X586" s="64"/>
      <c r="Y586" s="64"/>
      <c r="Z586" s="64"/>
      <c r="AA586" s="64"/>
      <c r="AB586" s="64"/>
      <c r="AC586" s="64"/>
      <c r="AD586" s="64"/>
      <c r="AE586" s="64"/>
      <c r="AF586" s="64"/>
      <c r="AG586" s="64"/>
      <c r="AH586" s="64"/>
      <c r="AI586" s="64"/>
      <c r="AJ586" s="64"/>
    </row>
    <row r="587">
      <c r="A587" s="64"/>
      <c r="B587" s="64"/>
      <c r="C587" s="64"/>
      <c r="D587" s="64"/>
      <c r="E587" s="64"/>
      <c r="F587" s="64"/>
      <c r="G587" s="64"/>
      <c r="H587" s="64"/>
      <c r="I587" s="64"/>
      <c r="J587" s="64"/>
      <c r="K587" s="64"/>
      <c r="L587" s="64"/>
      <c r="M587" s="60"/>
      <c r="N587" s="60"/>
      <c r="O587" s="60"/>
      <c r="P587" s="60"/>
      <c r="Q587" s="64"/>
      <c r="R587" s="64"/>
      <c r="S587" s="64"/>
      <c r="T587" s="64"/>
      <c r="U587" s="64"/>
      <c r="V587" s="64"/>
      <c r="W587" s="64"/>
      <c r="X587" s="64"/>
      <c r="Y587" s="64"/>
      <c r="Z587" s="64"/>
      <c r="AA587" s="64"/>
      <c r="AB587" s="64"/>
      <c r="AC587" s="64"/>
      <c r="AD587" s="64"/>
      <c r="AE587" s="64"/>
      <c r="AF587" s="64"/>
      <c r="AG587" s="64"/>
      <c r="AH587" s="64"/>
      <c r="AI587" s="64"/>
      <c r="AJ587" s="64"/>
    </row>
    <row r="588">
      <c r="A588" s="64"/>
      <c r="B588" s="64"/>
      <c r="C588" s="64"/>
      <c r="D588" s="64"/>
      <c r="E588" s="64"/>
      <c r="F588" s="64"/>
      <c r="G588" s="64"/>
      <c r="H588" s="64"/>
      <c r="I588" s="64"/>
      <c r="J588" s="64"/>
      <c r="K588" s="64"/>
      <c r="L588" s="64"/>
      <c r="M588" s="60"/>
      <c r="N588" s="60"/>
      <c r="O588" s="60"/>
      <c r="P588" s="60"/>
      <c r="Q588" s="64"/>
      <c r="R588" s="64"/>
      <c r="S588" s="64"/>
      <c r="T588" s="64"/>
      <c r="U588" s="64"/>
      <c r="V588" s="64"/>
      <c r="W588" s="64"/>
      <c r="X588" s="64"/>
      <c r="Y588" s="64"/>
      <c r="Z588" s="64"/>
      <c r="AA588" s="64"/>
      <c r="AB588" s="64"/>
      <c r="AC588" s="64"/>
      <c r="AD588" s="64"/>
      <c r="AE588" s="64"/>
      <c r="AF588" s="64"/>
      <c r="AG588" s="64"/>
      <c r="AH588" s="64"/>
      <c r="AI588" s="64"/>
      <c r="AJ588" s="64"/>
    </row>
    <row r="589">
      <c r="A589" s="64"/>
      <c r="B589" s="64"/>
      <c r="C589" s="64"/>
      <c r="D589" s="64"/>
      <c r="E589" s="64"/>
      <c r="F589" s="64"/>
      <c r="G589" s="64"/>
      <c r="H589" s="64"/>
      <c r="I589" s="64"/>
      <c r="J589" s="64"/>
      <c r="K589" s="64"/>
      <c r="L589" s="64"/>
      <c r="M589" s="60"/>
      <c r="N589" s="60"/>
      <c r="O589" s="60"/>
      <c r="P589" s="60"/>
      <c r="Q589" s="64"/>
      <c r="R589" s="64"/>
      <c r="S589" s="64"/>
      <c r="T589" s="64"/>
      <c r="U589" s="64"/>
      <c r="V589" s="64"/>
      <c r="W589" s="64"/>
      <c r="X589" s="64"/>
      <c r="Y589" s="64"/>
      <c r="Z589" s="64"/>
      <c r="AA589" s="64"/>
      <c r="AB589" s="64"/>
      <c r="AC589" s="64"/>
      <c r="AD589" s="64"/>
      <c r="AE589" s="64"/>
      <c r="AF589" s="64"/>
      <c r="AG589" s="64"/>
      <c r="AH589" s="64"/>
      <c r="AI589" s="64"/>
      <c r="AJ589" s="64"/>
    </row>
    <row r="590">
      <c r="A590" s="64"/>
      <c r="B590" s="64"/>
      <c r="C590" s="64"/>
      <c r="D590" s="64"/>
      <c r="E590" s="64"/>
      <c r="F590" s="64"/>
      <c r="G590" s="64"/>
      <c r="H590" s="64"/>
      <c r="I590" s="64"/>
      <c r="J590" s="64"/>
      <c r="K590" s="64"/>
      <c r="L590" s="64"/>
      <c r="M590" s="60"/>
      <c r="N590" s="60"/>
      <c r="O590" s="60"/>
      <c r="P590" s="60"/>
      <c r="Q590" s="64"/>
      <c r="R590" s="64"/>
      <c r="S590" s="64"/>
      <c r="T590" s="64"/>
      <c r="U590" s="64"/>
      <c r="V590" s="64"/>
      <c r="W590" s="64"/>
      <c r="X590" s="64"/>
      <c r="Y590" s="64"/>
      <c r="Z590" s="64"/>
      <c r="AA590" s="64"/>
      <c r="AB590" s="64"/>
      <c r="AC590" s="64"/>
      <c r="AD590" s="64"/>
      <c r="AE590" s="64"/>
      <c r="AF590" s="64"/>
      <c r="AG590" s="64"/>
      <c r="AH590" s="64"/>
      <c r="AI590" s="64"/>
      <c r="AJ590" s="64"/>
    </row>
    <row r="591">
      <c r="A591" s="64"/>
      <c r="B591" s="64"/>
      <c r="C591" s="64"/>
      <c r="D591" s="64"/>
      <c r="E591" s="64"/>
      <c r="F591" s="64"/>
      <c r="G591" s="64"/>
      <c r="H591" s="64"/>
      <c r="I591" s="64"/>
      <c r="J591" s="64"/>
      <c r="K591" s="64"/>
      <c r="L591" s="64"/>
      <c r="M591" s="60"/>
      <c r="N591" s="60"/>
      <c r="O591" s="60"/>
      <c r="P591" s="60"/>
      <c r="Q591" s="64"/>
      <c r="R591" s="64"/>
      <c r="S591" s="64"/>
      <c r="T591" s="64"/>
      <c r="U591" s="64"/>
      <c r="V591" s="64"/>
      <c r="W591" s="64"/>
      <c r="X591" s="64"/>
      <c r="Y591" s="64"/>
      <c r="Z591" s="64"/>
      <c r="AA591" s="64"/>
      <c r="AB591" s="64"/>
      <c r="AC591" s="64"/>
      <c r="AD591" s="64"/>
      <c r="AE591" s="64"/>
      <c r="AF591" s="64"/>
      <c r="AG591" s="64"/>
      <c r="AH591" s="64"/>
      <c r="AI591" s="64"/>
      <c r="AJ591" s="64"/>
    </row>
    <row r="592">
      <c r="A592" s="64"/>
      <c r="B592" s="64"/>
      <c r="C592" s="64"/>
      <c r="D592" s="64"/>
      <c r="E592" s="64"/>
      <c r="F592" s="64"/>
      <c r="G592" s="64"/>
      <c r="H592" s="64"/>
      <c r="I592" s="64"/>
      <c r="J592" s="64"/>
      <c r="K592" s="64"/>
      <c r="L592" s="64"/>
      <c r="M592" s="60"/>
      <c r="N592" s="60"/>
      <c r="O592" s="60"/>
      <c r="P592" s="60"/>
      <c r="Q592" s="64"/>
      <c r="R592" s="64"/>
      <c r="S592" s="64"/>
      <c r="T592" s="64"/>
      <c r="U592" s="64"/>
      <c r="V592" s="64"/>
      <c r="W592" s="64"/>
      <c r="X592" s="64"/>
      <c r="Y592" s="64"/>
      <c r="Z592" s="64"/>
      <c r="AA592" s="64"/>
      <c r="AB592" s="64"/>
      <c r="AC592" s="64"/>
      <c r="AD592" s="64"/>
      <c r="AE592" s="64"/>
      <c r="AF592" s="64"/>
      <c r="AG592" s="64"/>
      <c r="AH592" s="64"/>
      <c r="AI592" s="64"/>
      <c r="AJ592" s="64"/>
    </row>
    <row r="593">
      <c r="A593" s="64"/>
      <c r="B593" s="64"/>
      <c r="C593" s="64"/>
      <c r="D593" s="64"/>
      <c r="E593" s="64"/>
      <c r="F593" s="64"/>
      <c r="G593" s="64"/>
      <c r="H593" s="64"/>
      <c r="I593" s="64"/>
      <c r="J593" s="64"/>
      <c r="K593" s="64"/>
      <c r="L593" s="64"/>
      <c r="M593" s="60"/>
      <c r="N593" s="60"/>
      <c r="O593" s="60"/>
      <c r="P593" s="60"/>
      <c r="Q593" s="64"/>
      <c r="R593" s="64"/>
      <c r="S593" s="64"/>
      <c r="T593" s="64"/>
      <c r="U593" s="64"/>
      <c r="V593" s="64"/>
      <c r="W593" s="64"/>
      <c r="X593" s="64"/>
      <c r="Y593" s="64"/>
      <c r="Z593" s="64"/>
      <c r="AA593" s="64"/>
      <c r="AB593" s="64"/>
      <c r="AC593" s="64"/>
      <c r="AD593" s="64"/>
      <c r="AE593" s="64"/>
      <c r="AF593" s="64"/>
      <c r="AG593" s="64"/>
      <c r="AH593" s="64"/>
      <c r="AI593" s="64"/>
      <c r="AJ593" s="64"/>
    </row>
    <row r="594">
      <c r="A594" s="64"/>
      <c r="B594" s="64"/>
      <c r="C594" s="64"/>
      <c r="D594" s="64"/>
      <c r="E594" s="64"/>
      <c r="F594" s="64"/>
      <c r="G594" s="64"/>
      <c r="H594" s="64"/>
      <c r="I594" s="64"/>
      <c r="J594" s="64"/>
      <c r="K594" s="64"/>
      <c r="L594" s="64"/>
      <c r="M594" s="60"/>
      <c r="N594" s="60"/>
      <c r="O594" s="60"/>
      <c r="P594" s="60"/>
      <c r="Q594" s="64"/>
      <c r="R594" s="64"/>
      <c r="S594" s="64"/>
      <c r="T594" s="64"/>
      <c r="U594" s="64"/>
      <c r="V594" s="64"/>
      <c r="W594" s="64"/>
      <c r="X594" s="64"/>
      <c r="Y594" s="64"/>
      <c r="Z594" s="64"/>
      <c r="AA594" s="64"/>
      <c r="AB594" s="64"/>
      <c r="AC594" s="64"/>
      <c r="AD594" s="64"/>
      <c r="AE594" s="64"/>
      <c r="AF594" s="64"/>
      <c r="AG594" s="64"/>
      <c r="AH594" s="64"/>
      <c r="AI594" s="64"/>
      <c r="AJ594" s="64"/>
    </row>
    <row r="595">
      <c r="A595" s="64"/>
      <c r="B595" s="64"/>
      <c r="C595" s="64"/>
      <c r="D595" s="64"/>
      <c r="E595" s="64"/>
      <c r="F595" s="64"/>
      <c r="G595" s="64"/>
      <c r="H595" s="64"/>
      <c r="I595" s="64"/>
      <c r="J595" s="64"/>
      <c r="K595" s="64"/>
      <c r="L595" s="64"/>
      <c r="M595" s="60"/>
      <c r="N595" s="60"/>
      <c r="O595" s="60"/>
      <c r="P595" s="60"/>
      <c r="Q595" s="64"/>
      <c r="R595" s="64"/>
      <c r="S595" s="64"/>
      <c r="T595" s="64"/>
      <c r="U595" s="64"/>
      <c r="V595" s="64"/>
      <c r="W595" s="64"/>
      <c r="X595" s="64"/>
      <c r="Y595" s="64"/>
      <c r="Z595" s="64"/>
      <c r="AA595" s="64"/>
      <c r="AB595" s="64"/>
      <c r="AC595" s="64"/>
      <c r="AD595" s="64"/>
      <c r="AE595" s="64"/>
      <c r="AF595" s="64"/>
      <c r="AG595" s="64"/>
      <c r="AH595" s="64"/>
      <c r="AI595" s="64"/>
      <c r="AJ595" s="64"/>
    </row>
    <row r="596">
      <c r="A596" s="64"/>
      <c r="B596" s="64"/>
      <c r="C596" s="64"/>
      <c r="D596" s="64"/>
      <c r="E596" s="64"/>
      <c r="F596" s="64"/>
      <c r="G596" s="64"/>
      <c r="H596" s="64"/>
      <c r="I596" s="64"/>
      <c r="J596" s="64"/>
      <c r="K596" s="64"/>
      <c r="L596" s="64"/>
      <c r="M596" s="60"/>
      <c r="N596" s="60"/>
      <c r="O596" s="60"/>
      <c r="P596" s="60"/>
      <c r="Q596" s="64"/>
      <c r="R596" s="64"/>
      <c r="S596" s="64"/>
      <c r="T596" s="64"/>
      <c r="U596" s="64"/>
      <c r="V596" s="64"/>
      <c r="W596" s="64"/>
      <c r="X596" s="64"/>
      <c r="Y596" s="64"/>
      <c r="Z596" s="64"/>
      <c r="AA596" s="64"/>
      <c r="AB596" s="64"/>
      <c r="AC596" s="64"/>
      <c r="AD596" s="64"/>
      <c r="AE596" s="64"/>
      <c r="AF596" s="64"/>
      <c r="AG596" s="64"/>
      <c r="AH596" s="64"/>
      <c r="AI596" s="64"/>
      <c r="AJ596" s="64"/>
    </row>
    <row r="597">
      <c r="A597" s="64"/>
      <c r="B597" s="64"/>
      <c r="C597" s="64"/>
      <c r="D597" s="64"/>
      <c r="E597" s="64"/>
      <c r="F597" s="64"/>
      <c r="G597" s="64"/>
      <c r="H597" s="64"/>
      <c r="I597" s="64"/>
      <c r="J597" s="64"/>
      <c r="K597" s="64"/>
      <c r="L597" s="64"/>
      <c r="M597" s="60"/>
      <c r="N597" s="60"/>
      <c r="O597" s="60"/>
      <c r="P597" s="60"/>
      <c r="Q597" s="64"/>
      <c r="R597" s="64"/>
      <c r="S597" s="64"/>
      <c r="T597" s="64"/>
      <c r="U597" s="64"/>
      <c r="V597" s="64"/>
      <c r="W597" s="64"/>
      <c r="X597" s="64"/>
      <c r="Y597" s="64"/>
      <c r="Z597" s="64"/>
      <c r="AA597" s="64"/>
      <c r="AB597" s="64"/>
      <c r="AC597" s="64"/>
      <c r="AD597" s="64"/>
      <c r="AE597" s="64"/>
      <c r="AF597" s="64"/>
      <c r="AG597" s="64"/>
      <c r="AH597" s="64"/>
      <c r="AI597" s="64"/>
      <c r="AJ597" s="64"/>
    </row>
    <row r="598">
      <c r="A598" s="64"/>
      <c r="B598" s="64"/>
      <c r="C598" s="64"/>
      <c r="D598" s="64"/>
      <c r="E598" s="64"/>
      <c r="F598" s="64"/>
      <c r="G598" s="64"/>
      <c r="H598" s="64"/>
      <c r="I598" s="64"/>
      <c r="J598" s="64"/>
      <c r="K598" s="64"/>
      <c r="L598" s="64"/>
      <c r="M598" s="60"/>
      <c r="N598" s="60"/>
      <c r="O598" s="60"/>
      <c r="P598" s="60"/>
      <c r="Q598" s="64"/>
      <c r="R598" s="64"/>
      <c r="S598" s="64"/>
      <c r="T598" s="64"/>
      <c r="U598" s="64"/>
      <c r="V598" s="64"/>
      <c r="W598" s="64"/>
      <c r="X598" s="64"/>
      <c r="Y598" s="64"/>
      <c r="Z598" s="64"/>
      <c r="AA598" s="64"/>
      <c r="AB598" s="64"/>
      <c r="AC598" s="64"/>
      <c r="AD598" s="64"/>
      <c r="AE598" s="64"/>
      <c r="AF598" s="64"/>
      <c r="AG598" s="64"/>
      <c r="AH598" s="64"/>
      <c r="AI598" s="64"/>
      <c r="AJ598" s="64"/>
    </row>
    <row r="599">
      <c r="A599" s="64"/>
      <c r="B599" s="64"/>
      <c r="C599" s="64"/>
      <c r="D599" s="64"/>
      <c r="E599" s="64"/>
      <c r="F599" s="64"/>
      <c r="G599" s="64"/>
      <c r="H599" s="64"/>
      <c r="I599" s="64"/>
      <c r="J599" s="64"/>
      <c r="K599" s="64"/>
      <c r="L599" s="64"/>
      <c r="M599" s="60"/>
      <c r="N599" s="60"/>
      <c r="O599" s="60"/>
      <c r="P599" s="60"/>
      <c r="Q599" s="64"/>
      <c r="R599" s="64"/>
      <c r="S599" s="64"/>
      <c r="T599" s="64"/>
      <c r="U599" s="64"/>
      <c r="V599" s="64"/>
      <c r="W599" s="64"/>
      <c r="X599" s="64"/>
      <c r="Y599" s="64"/>
      <c r="Z599" s="64"/>
      <c r="AA599" s="64"/>
      <c r="AB599" s="64"/>
      <c r="AC599" s="64"/>
      <c r="AD599" s="64"/>
      <c r="AE599" s="64"/>
      <c r="AF599" s="64"/>
      <c r="AG599" s="64"/>
      <c r="AH599" s="64"/>
      <c r="AI599" s="64"/>
      <c r="AJ599" s="64"/>
    </row>
    <row r="600">
      <c r="A600" s="64"/>
      <c r="B600" s="64"/>
      <c r="C600" s="64"/>
      <c r="D600" s="64"/>
      <c r="E600" s="64"/>
      <c r="F600" s="64"/>
      <c r="G600" s="64"/>
      <c r="H600" s="64"/>
      <c r="I600" s="64"/>
      <c r="J600" s="64"/>
      <c r="K600" s="64"/>
      <c r="L600" s="64"/>
      <c r="M600" s="60"/>
      <c r="N600" s="60"/>
      <c r="O600" s="60"/>
      <c r="P600" s="60"/>
      <c r="Q600" s="64"/>
      <c r="R600" s="64"/>
      <c r="S600" s="64"/>
      <c r="T600" s="64"/>
      <c r="U600" s="64"/>
      <c r="V600" s="64"/>
      <c r="W600" s="64"/>
      <c r="X600" s="64"/>
      <c r="Y600" s="64"/>
      <c r="Z600" s="64"/>
      <c r="AA600" s="64"/>
      <c r="AB600" s="64"/>
      <c r="AC600" s="64"/>
      <c r="AD600" s="64"/>
      <c r="AE600" s="64"/>
      <c r="AF600" s="64"/>
      <c r="AG600" s="64"/>
      <c r="AH600" s="64"/>
      <c r="AI600" s="64"/>
      <c r="AJ600" s="64"/>
    </row>
    <row r="601">
      <c r="A601" s="64"/>
      <c r="B601" s="64"/>
      <c r="C601" s="64"/>
      <c r="D601" s="64"/>
      <c r="E601" s="64"/>
      <c r="F601" s="64"/>
      <c r="G601" s="64"/>
      <c r="H601" s="64"/>
      <c r="I601" s="64"/>
      <c r="J601" s="64"/>
      <c r="K601" s="64"/>
      <c r="L601" s="64"/>
      <c r="M601" s="60"/>
      <c r="N601" s="60"/>
      <c r="O601" s="60"/>
      <c r="P601" s="60"/>
      <c r="Q601" s="64"/>
      <c r="R601" s="64"/>
      <c r="S601" s="64"/>
      <c r="T601" s="64"/>
      <c r="U601" s="64"/>
      <c r="V601" s="64"/>
      <c r="W601" s="64"/>
      <c r="X601" s="64"/>
      <c r="Y601" s="64"/>
      <c r="Z601" s="64"/>
      <c r="AA601" s="64"/>
      <c r="AB601" s="64"/>
      <c r="AC601" s="64"/>
      <c r="AD601" s="64"/>
      <c r="AE601" s="64"/>
      <c r="AF601" s="64"/>
      <c r="AG601" s="64"/>
      <c r="AH601" s="64"/>
      <c r="AI601" s="64"/>
      <c r="AJ601" s="64"/>
    </row>
    <row r="602">
      <c r="A602" s="64"/>
      <c r="B602" s="64"/>
      <c r="C602" s="64"/>
      <c r="D602" s="64"/>
      <c r="E602" s="64"/>
      <c r="F602" s="64"/>
      <c r="G602" s="64"/>
      <c r="H602" s="64"/>
      <c r="I602" s="64"/>
      <c r="J602" s="64"/>
      <c r="K602" s="64"/>
      <c r="L602" s="64"/>
      <c r="M602" s="60"/>
      <c r="N602" s="60"/>
      <c r="O602" s="60"/>
      <c r="P602" s="60"/>
      <c r="Q602" s="64"/>
      <c r="R602" s="64"/>
      <c r="S602" s="64"/>
      <c r="T602" s="64"/>
      <c r="U602" s="64"/>
      <c r="V602" s="64"/>
      <c r="W602" s="64"/>
      <c r="X602" s="64"/>
      <c r="Y602" s="64"/>
      <c r="Z602" s="64"/>
      <c r="AA602" s="64"/>
      <c r="AB602" s="64"/>
      <c r="AC602" s="64"/>
      <c r="AD602" s="64"/>
      <c r="AE602" s="64"/>
      <c r="AF602" s="64"/>
      <c r="AG602" s="64"/>
      <c r="AH602" s="64"/>
      <c r="AI602" s="64"/>
      <c r="AJ602" s="64"/>
    </row>
    <row r="603">
      <c r="A603" s="64"/>
      <c r="B603" s="64"/>
      <c r="C603" s="64"/>
      <c r="D603" s="64"/>
      <c r="E603" s="64"/>
      <c r="F603" s="64"/>
      <c r="G603" s="64"/>
      <c r="H603" s="64"/>
      <c r="I603" s="64"/>
      <c r="J603" s="64"/>
      <c r="K603" s="64"/>
      <c r="L603" s="64"/>
      <c r="M603" s="60"/>
      <c r="N603" s="60"/>
      <c r="O603" s="60"/>
      <c r="P603" s="60"/>
      <c r="Q603" s="64"/>
      <c r="R603" s="64"/>
      <c r="S603" s="64"/>
      <c r="T603" s="64"/>
      <c r="U603" s="64"/>
      <c r="V603" s="64"/>
      <c r="W603" s="64"/>
      <c r="X603" s="64"/>
      <c r="Y603" s="64"/>
      <c r="Z603" s="64"/>
      <c r="AA603" s="64"/>
      <c r="AB603" s="64"/>
      <c r="AC603" s="64"/>
      <c r="AD603" s="64"/>
      <c r="AE603" s="64"/>
      <c r="AF603" s="64"/>
      <c r="AG603" s="64"/>
      <c r="AH603" s="64"/>
      <c r="AI603" s="64"/>
      <c r="AJ603" s="64"/>
    </row>
    <row r="604">
      <c r="A604" s="64"/>
      <c r="B604" s="64"/>
      <c r="C604" s="64"/>
      <c r="D604" s="64"/>
      <c r="E604" s="64"/>
      <c r="F604" s="64"/>
      <c r="G604" s="64"/>
      <c r="H604" s="64"/>
      <c r="I604" s="64"/>
      <c r="J604" s="64"/>
      <c r="K604" s="64"/>
      <c r="L604" s="64"/>
      <c r="M604" s="60"/>
      <c r="N604" s="60"/>
      <c r="O604" s="60"/>
      <c r="P604" s="60"/>
      <c r="Q604" s="64"/>
      <c r="R604" s="64"/>
      <c r="S604" s="64"/>
      <c r="T604" s="64"/>
      <c r="U604" s="64"/>
      <c r="V604" s="64"/>
      <c r="W604" s="64"/>
      <c r="X604" s="64"/>
      <c r="Y604" s="64"/>
      <c r="Z604" s="64"/>
      <c r="AA604" s="64"/>
      <c r="AB604" s="64"/>
      <c r="AC604" s="64"/>
      <c r="AD604" s="64"/>
      <c r="AE604" s="64"/>
      <c r="AF604" s="64"/>
      <c r="AG604" s="64"/>
      <c r="AH604" s="64"/>
      <c r="AI604" s="64"/>
      <c r="AJ604" s="64"/>
    </row>
    <row r="605">
      <c r="A605" s="64"/>
      <c r="B605" s="64"/>
      <c r="C605" s="64"/>
      <c r="D605" s="64"/>
      <c r="E605" s="64"/>
      <c r="F605" s="64"/>
      <c r="G605" s="64"/>
      <c r="H605" s="64"/>
      <c r="I605" s="64"/>
      <c r="J605" s="64"/>
      <c r="K605" s="64"/>
      <c r="L605" s="64"/>
      <c r="M605" s="60"/>
      <c r="N605" s="60"/>
      <c r="O605" s="60"/>
      <c r="P605" s="60"/>
      <c r="Q605" s="64"/>
      <c r="R605" s="64"/>
      <c r="S605" s="64"/>
      <c r="T605" s="64"/>
      <c r="U605" s="64"/>
      <c r="V605" s="64"/>
      <c r="W605" s="64"/>
      <c r="X605" s="64"/>
      <c r="Y605" s="64"/>
      <c r="Z605" s="64"/>
      <c r="AA605" s="64"/>
      <c r="AB605" s="64"/>
      <c r="AC605" s="64"/>
      <c r="AD605" s="64"/>
      <c r="AE605" s="64"/>
      <c r="AF605" s="64"/>
      <c r="AG605" s="64"/>
      <c r="AH605" s="64"/>
      <c r="AI605" s="64"/>
      <c r="AJ605" s="64"/>
    </row>
    <row r="606">
      <c r="A606" s="64"/>
      <c r="B606" s="64"/>
      <c r="C606" s="64"/>
      <c r="D606" s="64"/>
      <c r="E606" s="64"/>
      <c r="F606" s="64"/>
      <c r="G606" s="64"/>
      <c r="H606" s="64"/>
      <c r="I606" s="64"/>
      <c r="J606" s="64"/>
      <c r="K606" s="64"/>
      <c r="L606" s="64"/>
      <c r="M606" s="60"/>
      <c r="N606" s="60"/>
      <c r="O606" s="60"/>
      <c r="P606" s="60"/>
      <c r="Q606" s="64"/>
      <c r="R606" s="64"/>
      <c r="S606" s="64"/>
      <c r="T606" s="64"/>
      <c r="U606" s="64"/>
      <c r="V606" s="64"/>
      <c r="W606" s="64"/>
      <c r="X606" s="64"/>
      <c r="Y606" s="64"/>
      <c r="Z606" s="64"/>
      <c r="AA606" s="64"/>
      <c r="AB606" s="64"/>
      <c r="AC606" s="64"/>
      <c r="AD606" s="64"/>
      <c r="AE606" s="64"/>
      <c r="AF606" s="64"/>
      <c r="AG606" s="64"/>
      <c r="AH606" s="64"/>
      <c r="AI606" s="64"/>
      <c r="AJ606" s="64"/>
    </row>
    <row r="607">
      <c r="A607" s="64"/>
      <c r="B607" s="64"/>
      <c r="C607" s="64"/>
      <c r="D607" s="64"/>
      <c r="E607" s="64"/>
      <c r="F607" s="64"/>
      <c r="G607" s="64"/>
      <c r="H607" s="64"/>
      <c r="I607" s="64"/>
      <c r="J607" s="64"/>
      <c r="K607" s="64"/>
      <c r="L607" s="64"/>
      <c r="M607" s="60"/>
      <c r="N607" s="60"/>
      <c r="O607" s="60"/>
      <c r="P607" s="60"/>
      <c r="Q607" s="64"/>
      <c r="R607" s="64"/>
      <c r="S607" s="64"/>
      <c r="T607" s="64"/>
      <c r="U607" s="64"/>
      <c r="V607" s="64"/>
      <c r="W607" s="64"/>
      <c r="X607" s="64"/>
      <c r="Y607" s="64"/>
      <c r="Z607" s="64"/>
      <c r="AA607" s="64"/>
      <c r="AB607" s="64"/>
      <c r="AC607" s="64"/>
      <c r="AD607" s="64"/>
      <c r="AE607" s="64"/>
      <c r="AF607" s="64"/>
      <c r="AG607" s="64"/>
      <c r="AH607" s="64"/>
      <c r="AI607" s="64"/>
      <c r="AJ607" s="64"/>
    </row>
    <row r="608">
      <c r="A608" s="64"/>
      <c r="B608" s="64"/>
      <c r="C608" s="64"/>
      <c r="D608" s="64"/>
      <c r="E608" s="64"/>
      <c r="F608" s="64"/>
      <c r="G608" s="64"/>
      <c r="H608" s="64"/>
      <c r="I608" s="64"/>
      <c r="J608" s="64"/>
      <c r="K608" s="64"/>
      <c r="L608" s="64"/>
      <c r="M608" s="60"/>
      <c r="N608" s="60"/>
      <c r="O608" s="60"/>
      <c r="P608" s="60"/>
      <c r="Q608" s="64"/>
      <c r="R608" s="64"/>
      <c r="S608" s="64"/>
      <c r="T608" s="64"/>
      <c r="U608" s="64"/>
      <c r="V608" s="64"/>
      <c r="W608" s="64"/>
      <c r="X608" s="64"/>
      <c r="Y608" s="64"/>
      <c r="Z608" s="64"/>
      <c r="AA608" s="64"/>
      <c r="AB608" s="64"/>
      <c r="AC608" s="64"/>
      <c r="AD608" s="64"/>
      <c r="AE608" s="64"/>
      <c r="AF608" s="64"/>
      <c r="AG608" s="64"/>
      <c r="AH608" s="64"/>
      <c r="AI608" s="64"/>
      <c r="AJ608" s="64"/>
    </row>
    <row r="609">
      <c r="A609" s="64"/>
      <c r="B609" s="64"/>
      <c r="C609" s="64"/>
      <c r="D609" s="64"/>
      <c r="E609" s="64"/>
      <c r="F609" s="64"/>
      <c r="G609" s="64"/>
      <c r="H609" s="64"/>
      <c r="I609" s="64"/>
      <c r="J609" s="64"/>
      <c r="K609" s="64"/>
      <c r="L609" s="64"/>
      <c r="M609" s="60"/>
      <c r="N609" s="60"/>
      <c r="O609" s="60"/>
      <c r="P609" s="60"/>
      <c r="Q609" s="64"/>
      <c r="R609" s="64"/>
      <c r="S609" s="64"/>
      <c r="T609" s="64"/>
      <c r="U609" s="64"/>
      <c r="V609" s="64"/>
      <c r="W609" s="64"/>
      <c r="X609" s="64"/>
      <c r="Y609" s="64"/>
      <c r="Z609" s="64"/>
      <c r="AA609" s="64"/>
      <c r="AB609" s="64"/>
      <c r="AC609" s="64"/>
      <c r="AD609" s="64"/>
      <c r="AE609" s="64"/>
      <c r="AF609" s="64"/>
      <c r="AG609" s="64"/>
      <c r="AH609" s="64"/>
      <c r="AI609" s="64"/>
      <c r="AJ609" s="64"/>
    </row>
    <row r="610">
      <c r="A610" s="64"/>
      <c r="B610" s="64"/>
      <c r="C610" s="64"/>
      <c r="D610" s="64"/>
      <c r="E610" s="64"/>
      <c r="F610" s="64"/>
      <c r="G610" s="64"/>
      <c r="H610" s="64"/>
      <c r="I610" s="64"/>
      <c r="J610" s="64"/>
      <c r="K610" s="64"/>
      <c r="L610" s="64"/>
      <c r="M610" s="60"/>
      <c r="N610" s="60"/>
      <c r="O610" s="60"/>
      <c r="P610" s="60"/>
      <c r="Q610" s="64"/>
      <c r="R610" s="64"/>
      <c r="S610" s="64"/>
      <c r="T610" s="64"/>
      <c r="U610" s="64"/>
      <c r="V610" s="64"/>
      <c r="W610" s="64"/>
      <c r="X610" s="64"/>
      <c r="Y610" s="64"/>
      <c r="Z610" s="64"/>
      <c r="AA610" s="64"/>
      <c r="AB610" s="64"/>
      <c r="AC610" s="64"/>
      <c r="AD610" s="64"/>
      <c r="AE610" s="64"/>
      <c r="AF610" s="64"/>
      <c r="AG610" s="64"/>
      <c r="AH610" s="64"/>
      <c r="AI610" s="64"/>
      <c r="AJ610" s="64"/>
    </row>
    <row r="611">
      <c r="A611" s="64"/>
      <c r="B611" s="64"/>
      <c r="C611" s="64"/>
      <c r="D611" s="64"/>
      <c r="E611" s="64"/>
      <c r="F611" s="64"/>
      <c r="G611" s="64"/>
      <c r="H611" s="64"/>
      <c r="I611" s="64"/>
      <c r="J611" s="64"/>
      <c r="K611" s="64"/>
      <c r="L611" s="64"/>
      <c r="M611" s="60"/>
      <c r="N611" s="60"/>
      <c r="O611" s="60"/>
      <c r="P611" s="60"/>
      <c r="Q611" s="64"/>
      <c r="R611" s="64"/>
      <c r="S611" s="64"/>
      <c r="T611" s="64"/>
      <c r="U611" s="64"/>
      <c r="V611" s="64"/>
      <c r="W611" s="64"/>
      <c r="X611" s="64"/>
      <c r="Y611" s="64"/>
      <c r="Z611" s="64"/>
      <c r="AA611" s="64"/>
      <c r="AB611" s="64"/>
      <c r="AC611" s="64"/>
      <c r="AD611" s="64"/>
      <c r="AE611" s="64"/>
      <c r="AF611" s="64"/>
      <c r="AG611" s="64"/>
      <c r="AH611" s="64"/>
      <c r="AI611" s="64"/>
      <c r="AJ611" s="64"/>
    </row>
    <row r="612">
      <c r="A612" s="64"/>
      <c r="B612" s="64"/>
      <c r="C612" s="64"/>
      <c r="D612" s="64"/>
      <c r="E612" s="64"/>
      <c r="F612" s="64"/>
      <c r="G612" s="64"/>
      <c r="H612" s="64"/>
      <c r="I612" s="64"/>
      <c r="J612" s="64"/>
      <c r="K612" s="64"/>
      <c r="L612" s="64"/>
      <c r="M612" s="60"/>
      <c r="N612" s="60"/>
      <c r="O612" s="60"/>
      <c r="P612" s="60"/>
      <c r="Q612" s="64"/>
      <c r="R612" s="64"/>
      <c r="S612" s="64"/>
      <c r="T612" s="64"/>
      <c r="U612" s="64"/>
      <c r="V612" s="64"/>
      <c r="W612" s="64"/>
      <c r="X612" s="64"/>
      <c r="Y612" s="64"/>
      <c r="Z612" s="64"/>
      <c r="AA612" s="64"/>
      <c r="AB612" s="64"/>
      <c r="AC612" s="64"/>
      <c r="AD612" s="64"/>
      <c r="AE612" s="64"/>
      <c r="AF612" s="64"/>
      <c r="AG612" s="64"/>
      <c r="AH612" s="64"/>
      <c r="AI612" s="64"/>
      <c r="AJ612" s="64"/>
    </row>
    <row r="613">
      <c r="A613" s="64"/>
      <c r="B613" s="64"/>
      <c r="C613" s="64"/>
      <c r="D613" s="64"/>
      <c r="E613" s="64"/>
      <c r="F613" s="64"/>
      <c r="G613" s="64"/>
      <c r="H613" s="64"/>
      <c r="I613" s="64"/>
      <c r="J613" s="64"/>
      <c r="K613" s="64"/>
      <c r="L613" s="64"/>
      <c r="M613" s="60"/>
      <c r="N613" s="60"/>
      <c r="O613" s="60"/>
      <c r="P613" s="60"/>
      <c r="Q613" s="64"/>
      <c r="R613" s="64"/>
      <c r="S613" s="64"/>
      <c r="T613" s="64"/>
      <c r="U613" s="64"/>
      <c r="V613" s="64"/>
      <c r="W613" s="64"/>
      <c r="X613" s="64"/>
      <c r="Y613" s="64"/>
      <c r="Z613" s="64"/>
      <c r="AA613" s="64"/>
      <c r="AB613" s="64"/>
      <c r="AC613" s="64"/>
      <c r="AD613" s="64"/>
      <c r="AE613" s="64"/>
      <c r="AF613" s="64"/>
      <c r="AG613" s="64"/>
      <c r="AH613" s="64"/>
      <c r="AI613" s="64"/>
      <c r="AJ613" s="64"/>
    </row>
    <row r="614">
      <c r="A614" s="64"/>
      <c r="B614" s="64"/>
      <c r="C614" s="64"/>
      <c r="D614" s="64"/>
      <c r="E614" s="64"/>
      <c r="F614" s="64"/>
      <c r="G614" s="64"/>
      <c r="H614" s="64"/>
      <c r="I614" s="64"/>
      <c r="J614" s="64"/>
      <c r="K614" s="64"/>
      <c r="L614" s="64"/>
      <c r="M614" s="60"/>
      <c r="N614" s="60"/>
      <c r="O614" s="60"/>
      <c r="P614" s="60"/>
      <c r="Q614" s="64"/>
      <c r="R614" s="64"/>
      <c r="S614" s="64"/>
      <c r="T614" s="64"/>
      <c r="U614" s="64"/>
      <c r="V614" s="64"/>
      <c r="W614" s="64"/>
      <c r="X614" s="64"/>
      <c r="Y614" s="64"/>
      <c r="Z614" s="64"/>
      <c r="AA614" s="64"/>
      <c r="AB614" s="64"/>
      <c r="AC614" s="64"/>
      <c r="AD614" s="64"/>
      <c r="AE614" s="64"/>
      <c r="AF614" s="64"/>
      <c r="AG614" s="64"/>
      <c r="AH614" s="64"/>
      <c r="AI614" s="64"/>
      <c r="AJ614" s="64"/>
    </row>
    <row r="615">
      <c r="A615" s="64"/>
      <c r="B615" s="64"/>
      <c r="C615" s="64"/>
      <c r="D615" s="64"/>
      <c r="E615" s="64"/>
      <c r="F615" s="64"/>
      <c r="G615" s="64"/>
      <c r="H615" s="64"/>
      <c r="I615" s="64"/>
      <c r="J615" s="64"/>
      <c r="K615" s="64"/>
      <c r="L615" s="64"/>
      <c r="M615" s="60"/>
      <c r="N615" s="60"/>
      <c r="O615" s="60"/>
      <c r="P615" s="60"/>
      <c r="Q615" s="64"/>
      <c r="R615" s="64"/>
      <c r="S615" s="64"/>
      <c r="T615" s="64"/>
      <c r="U615" s="64"/>
      <c r="V615" s="64"/>
      <c r="W615" s="64"/>
      <c r="X615" s="64"/>
      <c r="Y615" s="64"/>
      <c r="Z615" s="64"/>
      <c r="AA615" s="64"/>
      <c r="AB615" s="64"/>
      <c r="AC615" s="64"/>
      <c r="AD615" s="64"/>
      <c r="AE615" s="64"/>
      <c r="AF615" s="64"/>
      <c r="AG615" s="64"/>
      <c r="AH615" s="64"/>
      <c r="AI615" s="64"/>
      <c r="AJ615" s="64"/>
    </row>
    <row r="616">
      <c r="A616" s="64"/>
      <c r="B616" s="64"/>
      <c r="C616" s="64"/>
      <c r="D616" s="64"/>
      <c r="E616" s="64"/>
      <c r="F616" s="64"/>
      <c r="G616" s="64"/>
      <c r="H616" s="64"/>
      <c r="I616" s="64"/>
      <c r="J616" s="64"/>
      <c r="K616" s="64"/>
      <c r="L616" s="64"/>
      <c r="M616" s="60"/>
      <c r="N616" s="60"/>
      <c r="O616" s="60"/>
      <c r="P616" s="60"/>
      <c r="Q616" s="64"/>
      <c r="R616" s="64"/>
      <c r="S616" s="64"/>
      <c r="T616" s="64"/>
      <c r="U616" s="64"/>
      <c r="V616" s="64"/>
      <c r="W616" s="64"/>
      <c r="X616" s="64"/>
      <c r="Y616" s="64"/>
      <c r="Z616" s="64"/>
      <c r="AA616" s="64"/>
      <c r="AB616" s="64"/>
      <c r="AC616" s="64"/>
      <c r="AD616" s="64"/>
      <c r="AE616" s="64"/>
      <c r="AF616" s="64"/>
      <c r="AG616" s="64"/>
      <c r="AH616" s="64"/>
      <c r="AI616" s="64"/>
      <c r="AJ616" s="64"/>
    </row>
    <row r="617">
      <c r="A617" s="64"/>
      <c r="B617" s="64"/>
      <c r="C617" s="64"/>
      <c r="D617" s="64"/>
      <c r="E617" s="64"/>
      <c r="F617" s="64"/>
      <c r="G617" s="64"/>
      <c r="H617" s="64"/>
      <c r="I617" s="64"/>
      <c r="J617" s="64"/>
      <c r="K617" s="64"/>
      <c r="L617" s="64"/>
      <c r="M617" s="60"/>
      <c r="N617" s="60"/>
      <c r="O617" s="60"/>
      <c r="P617" s="60"/>
      <c r="Q617" s="64"/>
      <c r="R617" s="64"/>
      <c r="S617" s="64"/>
      <c r="T617" s="64"/>
      <c r="U617" s="64"/>
      <c r="V617" s="64"/>
      <c r="W617" s="64"/>
      <c r="X617" s="64"/>
      <c r="Y617" s="64"/>
      <c r="Z617" s="64"/>
      <c r="AA617" s="64"/>
      <c r="AB617" s="64"/>
      <c r="AC617" s="64"/>
      <c r="AD617" s="64"/>
      <c r="AE617" s="64"/>
      <c r="AF617" s="64"/>
      <c r="AG617" s="64"/>
      <c r="AH617" s="64"/>
      <c r="AI617" s="64"/>
      <c r="AJ617" s="64"/>
    </row>
    <row r="618">
      <c r="A618" s="64"/>
      <c r="B618" s="64"/>
      <c r="C618" s="64"/>
      <c r="D618" s="64"/>
      <c r="E618" s="64"/>
      <c r="F618" s="64"/>
      <c r="G618" s="64"/>
      <c r="H618" s="64"/>
      <c r="I618" s="64"/>
      <c r="J618" s="64"/>
      <c r="K618" s="64"/>
      <c r="L618" s="64"/>
      <c r="M618" s="60"/>
      <c r="N618" s="60"/>
      <c r="O618" s="60"/>
      <c r="P618" s="60"/>
      <c r="Q618" s="64"/>
      <c r="R618" s="64"/>
      <c r="S618" s="64"/>
      <c r="T618" s="64"/>
      <c r="U618" s="64"/>
      <c r="V618" s="64"/>
      <c r="W618" s="64"/>
      <c r="X618" s="64"/>
      <c r="Y618" s="64"/>
      <c r="Z618" s="64"/>
      <c r="AA618" s="64"/>
      <c r="AB618" s="64"/>
      <c r="AC618" s="64"/>
      <c r="AD618" s="64"/>
      <c r="AE618" s="64"/>
      <c r="AF618" s="64"/>
      <c r="AG618" s="64"/>
      <c r="AH618" s="64"/>
      <c r="AI618" s="64"/>
      <c r="AJ618" s="64"/>
    </row>
    <row r="619">
      <c r="A619" s="64"/>
      <c r="B619" s="64"/>
      <c r="C619" s="64"/>
      <c r="D619" s="64"/>
      <c r="E619" s="64"/>
      <c r="F619" s="64"/>
      <c r="G619" s="64"/>
      <c r="H619" s="64"/>
      <c r="I619" s="64"/>
      <c r="J619" s="64"/>
      <c r="K619" s="64"/>
      <c r="L619" s="64"/>
      <c r="M619" s="60"/>
      <c r="N619" s="60"/>
      <c r="O619" s="60"/>
      <c r="P619" s="60"/>
      <c r="Q619" s="64"/>
      <c r="R619" s="64"/>
      <c r="S619" s="64"/>
      <c r="T619" s="64"/>
      <c r="U619" s="64"/>
      <c r="V619" s="64"/>
      <c r="W619" s="64"/>
      <c r="X619" s="64"/>
      <c r="Y619" s="64"/>
      <c r="Z619" s="64"/>
      <c r="AA619" s="64"/>
      <c r="AB619" s="64"/>
      <c r="AC619" s="64"/>
      <c r="AD619" s="64"/>
      <c r="AE619" s="64"/>
      <c r="AF619" s="64"/>
      <c r="AG619" s="64"/>
      <c r="AH619" s="64"/>
      <c r="AI619" s="64"/>
      <c r="AJ619" s="64"/>
    </row>
    <row r="620">
      <c r="A620" s="64"/>
      <c r="B620" s="64"/>
      <c r="C620" s="64"/>
      <c r="D620" s="64"/>
      <c r="E620" s="64"/>
      <c r="F620" s="64"/>
      <c r="G620" s="64"/>
      <c r="H620" s="64"/>
      <c r="I620" s="64"/>
      <c r="J620" s="64"/>
      <c r="K620" s="64"/>
      <c r="L620" s="64"/>
      <c r="M620" s="60"/>
      <c r="N620" s="60"/>
      <c r="O620" s="60"/>
      <c r="P620" s="60"/>
      <c r="Q620" s="64"/>
      <c r="R620" s="64"/>
      <c r="S620" s="64"/>
      <c r="T620" s="64"/>
      <c r="U620" s="64"/>
      <c r="V620" s="64"/>
      <c r="W620" s="64"/>
      <c r="X620" s="64"/>
      <c r="Y620" s="64"/>
      <c r="Z620" s="64"/>
      <c r="AA620" s="64"/>
      <c r="AB620" s="64"/>
      <c r="AC620" s="64"/>
      <c r="AD620" s="64"/>
      <c r="AE620" s="64"/>
      <c r="AF620" s="64"/>
      <c r="AG620" s="64"/>
      <c r="AH620" s="64"/>
      <c r="AI620" s="64"/>
      <c r="AJ620" s="64"/>
    </row>
    <row r="621">
      <c r="A621" s="64"/>
      <c r="B621" s="64"/>
      <c r="C621" s="64"/>
      <c r="D621" s="64"/>
      <c r="E621" s="64"/>
      <c r="F621" s="64"/>
      <c r="G621" s="64"/>
      <c r="H621" s="64"/>
      <c r="I621" s="64"/>
      <c r="J621" s="64"/>
      <c r="K621" s="64"/>
      <c r="L621" s="64"/>
      <c r="M621" s="60"/>
      <c r="N621" s="60"/>
      <c r="O621" s="60"/>
      <c r="P621" s="60"/>
      <c r="Q621" s="64"/>
      <c r="R621" s="64"/>
      <c r="S621" s="64"/>
      <c r="T621" s="64"/>
      <c r="U621" s="64"/>
      <c r="V621" s="64"/>
      <c r="W621" s="64"/>
      <c r="X621" s="64"/>
      <c r="Y621" s="64"/>
      <c r="Z621" s="64"/>
      <c r="AA621" s="64"/>
      <c r="AB621" s="64"/>
      <c r="AC621" s="64"/>
      <c r="AD621" s="64"/>
      <c r="AE621" s="64"/>
      <c r="AF621" s="64"/>
      <c r="AG621" s="64"/>
      <c r="AH621" s="64"/>
      <c r="AI621" s="64"/>
      <c r="AJ621" s="64"/>
    </row>
    <row r="622">
      <c r="A622" s="64"/>
      <c r="B622" s="64"/>
      <c r="C622" s="64"/>
      <c r="D622" s="64"/>
      <c r="E622" s="64"/>
      <c r="F622" s="64"/>
      <c r="G622" s="64"/>
      <c r="H622" s="64"/>
      <c r="I622" s="64"/>
      <c r="J622" s="64"/>
      <c r="K622" s="64"/>
      <c r="L622" s="64"/>
      <c r="M622" s="60"/>
      <c r="N622" s="60"/>
      <c r="O622" s="60"/>
      <c r="P622" s="60"/>
      <c r="Q622" s="64"/>
      <c r="R622" s="64"/>
      <c r="S622" s="64"/>
      <c r="T622" s="64"/>
      <c r="U622" s="64"/>
      <c r="V622" s="64"/>
      <c r="W622" s="64"/>
      <c r="X622" s="64"/>
      <c r="Y622" s="64"/>
      <c r="Z622" s="64"/>
      <c r="AA622" s="64"/>
      <c r="AB622" s="64"/>
      <c r="AC622" s="64"/>
      <c r="AD622" s="64"/>
      <c r="AE622" s="64"/>
      <c r="AF622" s="64"/>
      <c r="AG622" s="64"/>
      <c r="AH622" s="64"/>
      <c r="AI622" s="64"/>
      <c r="AJ622" s="64"/>
    </row>
    <row r="623">
      <c r="A623" s="64"/>
      <c r="B623" s="64"/>
      <c r="C623" s="64"/>
      <c r="D623" s="64"/>
      <c r="E623" s="64"/>
      <c r="F623" s="64"/>
      <c r="G623" s="64"/>
      <c r="H623" s="64"/>
      <c r="I623" s="64"/>
      <c r="J623" s="64"/>
      <c r="K623" s="64"/>
      <c r="L623" s="64"/>
      <c r="M623" s="60"/>
      <c r="N623" s="60"/>
      <c r="O623" s="60"/>
      <c r="P623" s="60"/>
      <c r="Q623" s="64"/>
      <c r="R623" s="64"/>
      <c r="S623" s="64"/>
      <c r="T623" s="64"/>
      <c r="U623" s="64"/>
      <c r="V623" s="64"/>
      <c r="W623" s="64"/>
      <c r="X623" s="64"/>
      <c r="Y623" s="64"/>
      <c r="Z623" s="64"/>
      <c r="AA623" s="64"/>
      <c r="AB623" s="64"/>
      <c r="AC623" s="64"/>
      <c r="AD623" s="64"/>
      <c r="AE623" s="64"/>
      <c r="AF623" s="64"/>
      <c r="AG623" s="64"/>
      <c r="AH623" s="64"/>
      <c r="AI623" s="64"/>
      <c r="AJ623" s="64"/>
    </row>
    <row r="624">
      <c r="A624" s="64"/>
      <c r="B624" s="64"/>
      <c r="C624" s="64"/>
      <c r="D624" s="64"/>
      <c r="E624" s="64"/>
      <c r="F624" s="64"/>
      <c r="G624" s="64"/>
      <c r="H624" s="64"/>
      <c r="I624" s="64"/>
      <c r="J624" s="64"/>
      <c r="K624" s="64"/>
      <c r="L624" s="64"/>
      <c r="M624" s="60"/>
      <c r="N624" s="60"/>
      <c r="O624" s="60"/>
      <c r="P624" s="60"/>
      <c r="Q624" s="64"/>
      <c r="R624" s="64"/>
      <c r="S624" s="64"/>
      <c r="T624" s="64"/>
      <c r="U624" s="64"/>
      <c r="V624" s="64"/>
      <c r="W624" s="64"/>
      <c r="X624" s="64"/>
      <c r="Y624" s="64"/>
      <c r="Z624" s="64"/>
      <c r="AA624" s="64"/>
      <c r="AB624" s="64"/>
      <c r="AC624" s="64"/>
      <c r="AD624" s="64"/>
      <c r="AE624" s="64"/>
      <c r="AF624" s="64"/>
      <c r="AG624" s="64"/>
      <c r="AH624" s="64"/>
      <c r="AI624" s="64"/>
      <c r="AJ624" s="64"/>
    </row>
    <row r="625">
      <c r="A625" s="64"/>
      <c r="B625" s="64"/>
      <c r="C625" s="64"/>
      <c r="D625" s="64"/>
      <c r="E625" s="64"/>
      <c r="F625" s="64"/>
      <c r="G625" s="64"/>
      <c r="H625" s="64"/>
      <c r="I625" s="64"/>
      <c r="J625" s="64"/>
      <c r="K625" s="64"/>
      <c r="L625" s="64"/>
      <c r="M625" s="60"/>
      <c r="N625" s="60"/>
      <c r="O625" s="60"/>
      <c r="P625" s="60"/>
      <c r="Q625" s="64"/>
      <c r="R625" s="64"/>
      <c r="S625" s="64"/>
      <c r="T625" s="64"/>
      <c r="U625" s="64"/>
      <c r="V625" s="64"/>
      <c r="W625" s="64"/>
      <c r="X625" s="64"/>
      <c r="Y625" s="64"/>
      <c r="Z625" s="64"/>
      <c r="AA625" s="64"/>
      <c r="AB625" s="64"/>
      <c r="AC625" s="64"/>
      <c r="AD625" s="64"/>
      <c r="AE625" s="64"/>
      <c r="AF625" s="64"/>
      <c r="AG625" s="64"/>
      <c r="AH625" s="64"/>
      <c r="AI625" s="64"/>
      <c r="AJ625" s="64"/>
    </row>
    <row r="626">
      <c r="A626" s="64"/>
      <c r="B626" s="64"/>
      <c r="C626" s="64"/>
      <c r="D626" s="64"/>
      <c r="E626" s="64"/>
      <c r="F626" s="64"/>
      <c r="G626" s="64"/>
      <c r="H626" s="64"/>
      <c r="I626" s="64"/>
      <c r="J626" s="64"/>
      <c r="K626" s="64"/>
      <c r="L626" s="64"/>
      <c r="M626" s="60"/>
      <c r="N626" s="60"/>
      <c r="O626" s="60"/>
      <c r="P626" s="60"/>
      <c r="Q626" s="64"/>
      <c r="R626" s="64"/>
      <c r="S626" s="64"/>
      <c r="T626" s="64"/>
      <c r="U626" s="64"/>
      <c r="V626" s="64"/>
      <c r="W626" s="64"/>
      <c r="X626" s="64"/>
      <c r="Y626" s="64"/>
      <c r="Z626" s="64"/>
      <c r="AA626" s="64"/>
      <c r="AB626" s="64"/>
      <c r="AC626" s="64"/>
      <c r="AD626" s="64"/>
      <c r="AE626" s="64"/>
      <c r="AF626" s="64"/>
      <c r="AG626" s="64"/>
      <c r="AH626" s="64"/>
      <c r="AI626" s="64"/>
      <c r="AJ626" s="64"/>
    </row>
    <row r="627">
      <c r="A627" s="64"/>
      <c r="B627" s="64"/>
      <c r="C627" s="64"/>
      <c r="D627" s="64"/>
      <c r="E627" s="64"/>
      <c r="F627" s="64"/>
      <c r="G627" s="64"/>
      <c r="H627" s="64"/>
      <c r="I627" s="64"/>
      <c r="J627" s="64"/>
      <c r="K627" s="64"/>
      <c r="L627" s="64"/>
      <c r="M627" s="60"/>
      <c r="N627" s="60"/>
      <c r="O627" s="60"/>
      <c r="P627" s="60"/>
      <c r="Q627" s="64"/>
      <c r="R627" s="64"/>
      <c r="S627" s="64"/>
      <c r="T627" s="64"/>
      <c r="U627" s="64"/>
      <c r="V627" s="64"/>
      <c r="W627" s="64"/>
      <c r="X627" s="64"/>
      <c r="Y627" s="64"/>
      <c r="Z627" s="64"/>
      <c r="AA627" s="64"/>
      <c r="AB627" s="64"/>
      <c r="AC627" s="64"/>
      <c r="AD627" s="64"/>
      <c r="AE627" s="64"/>
      <c r="AF627" s="64"/>
      <c r="AG627" s="64"/>
      <c r="AH627" s="64"/>
      <c r="AI627" s="64"/>
      <c r="AJ627" s="64"/>
    </row>
    <row r="628">
      <c r="A628" s="64"/>
      <c r="B628" s="64"/>
      <c r="C628" s="64"/>
      <c r="D628" s="64"/>
      <c r="E628" s="64"/>
      <c r="F628" s="64"/>
      <c r="G628" s="64"/>
      <c r="H628" s="64"/>
      <c r="I628" s="64"/>
      <c r="J628" s="64"/>
      <c r="K628" s="64"/>
      <c r="L628" s="64"/>
      <c r="M628" s="60"/>
      <c r="N628" s="60"/>
      <c r="O628" s="60"/>
      <c r="P628" s="60"/>
      <c r="Q628" s="64"/>
      <c r="R628" s="64"/>
      <c r="S628" s="64"/>
      <c r="T628" s="64"/>
      <c r="U628" s="64"/>
      <c r="V628" s="64"/>
      <c r="W628" s="64"/>
      <c r="X628" s="64"/>
      <c r="Y628" s="64"/>
      <c r="Z628" s="64"/>
      <c r="AA628" s="64"/>
      <c r="AB628" s="64"/>
      <c r="AC628" s="64"/>
      <c r="AD628" s="64"/>
      <c r="AE628" s="64"/>
      <c r="AF628" s="64"/>
      <c r="AG628" s="64"/>
      <c r="AH628" s="64"/>
      <c r="AI628" s="64"/>
      <c r="AJ628" s="64"/>
    </row>
    <row r="629">
      <c r="A629" s="64"/>
      <c r="B629" s="64"/>
      <c r="C629" s="64"/>
      <c r="D629" s="64"/>
      <c r="E629" s="64"/>
      <c r="F629" s="64"/>
      <c r="G629" s="64"/>
      <c r="H629" s="64"/>
      <c r="I629" s="64"/>
      <c r="J629" s="64"/>
      <c r="K629" s="64"/>
      <c r="L629" s="64"/>
      <c r="M629" s="60"/>
      <c r="N629" s="60"/>
      <c r="O629" s="60"/>
      <c r="P629" s="60"/>
      <c r="Q629" s="64"/>
      <c r="R629" s="64"/>
      <c r="S629" s="64"/>
      <c r="T629" s="64"/>
      <c r="U629" s="64"/>
      <c r="V629" s="64"/>
      <c r="W629" s="64"/>
      <c r="X629" s="64"/>
      <c r="Y629" s="64"/>
      <c r="Z629" s="64"/>
      <c r="AA629" s="64"/>
      <c r="AB629" s="64"/>
      <c r="AC629" s="64"/>
      <c r="AD629" s="64"/>
      <c r="AE629" s="64"/>
      <c r="AF629" s="64"/>
      <c r="AG629" s="64"/>
      <c r="AH629" s="64"/>
      <c r="AI629" s="64"/>
      <c r="AJ629" s="64"/>
    </row>
    <row r="630">
      <c r="A630" s="64"/>
      <c r="B630" s="64"/>
      <c r="C630" s="64"/>
      <c r="D630" s="64"/>
      <c r="E630" s="64"/>
      <c r="F630" s="64"/>
      <c r="G630" s="64"/>
      <c r="H630" s="64"/>
      <c r="I630" s="64"/>
      <c r="J630" s="64"/>
      <c r="K630" s="64"/>
      <c r="L630" s="64"/>
      <c r="M630" s="60"/>
      <c r="N630" s="60"/>
      <c r="O630" s="60"/>
      <c r="P630" s="60"/>
      <c r="Q630" s="64"/>
      <c r="R630" s="64"/>
      <c r="S630" s="64"/>
      <c r="T630" s="64"/>
      <c r="U630" s="64"/>
      <c r="V630" s="64"/>
      <c r="W630" s="64"/>
      <c r="X630" s="64"/>
      <c r="Y630" s="64"/>
      <c r="Z630" s="64"/>
      <c r="AA630" s="64"/>
      <c r="AB630" s="64"/>
      <c r="AC630" s="64"/>
      <c r="AD630" s="64"/>
      <c r="AE630" s="64"/>
      <c r="AF630" s="64"/>
      <c r="AG630" s="64"/>
      <c r="AH630" s="64"/>
      <c r="AI630" s="64"/>
      <c r="AJ630" s="64"/>
    </row>
    <row r="631">
      <c r="A631" s="64"/>
      <c r="B631" s="64"/>
      <c r="C631" s="64"/>
      <c r="D631" s="64"/>
      <c r="E631" s="64"/>
      <c r="F631" s="64"/>
      <c r="G631" s="64"/>
      <c r="H631" s="64"/>
      <c r="I631" s="64"/>
      <c r="J631" s="64"/>
      <c r="K631" s="64"/>
      <c r="L631" s="64"/>
      <c r="M631" s="60"/>
      <c r="N631" s="60"/>
      <c r="O631" s="60"/>
      <c r="P631" s="60"/>
      <c r="Q631" s="64"/>
      <c r="R631" s="64"/>
      <c r="S631" s="64"/>
      <c r="T631" s="64"/>
      <c r="U631" s="64"/>
      <c r="V631" s="64"/>
      <c r="W631" s="64"/>
      <c r="X631" s="64"/>
      <c r="Y631" s="64"/>
      <c r="Z631" s="64"/>
      <c r="AA631" s="64"/>
      <c r="AB631" s="64"/>
      <c r="AC631" s="64"/>
      <c r="AD631" s="64"/>
      <c r="AE631" s="64"/>
      <c r="AF631" s="64"/>
      <c r="AG631" s="64"/>
      <c r="AH631" s="64"/>
      <c r="AI631" s="64"/>
      <c r="AJ631" s="64"/>
    </row>
    <row r="632">
      <c r="A632" s="64"/>
      <c r="B632" s="64"/>
      <c r="C632" s="64"/>
      <c r="D632" s="64"/>
      <c r="E632" s="64"/>
      <c r="F632" s="64"/>
      <c r="G632" s="64"/>
      <c r="H632" s="64"/>
      <c r="I632" s="64"/>
      <c r="J632" s="64"/>
      <c r="K632" s="64"/>
      <c r="L632" s="64"/>
      <c r="M632" s="60"/>
      <c r="N632" s="60"/>
      <c r="O632" s="60"/>
      <c r="P632" s="60"/>
      <c r="Q632" s="64"/>
      <c r="R632" s="64"/>
      <c r="S632" s="64"/>
      <c r="T632" s="64"/>
      <c r="U632" s="64"/>
      <c r="V632" s="64"/>
      <c r="W632" s="64"/>
      <c r="X632" s="64"/>
      <c r="Y632" s="64"/>
      <c r="Z632" s="64"/>
      <c r="AA632" s="64"/>
      <c r="AB632" s="64"/>
      <c r="AC632" s="64"/>
      <c r="AD632" s="64"/>
      <c r="AE632" s="64"/>
      <c r="AF632" s="64"/>
      <c r="AG632" s="64"/>
      <c r="AH632" s="64"/>
      <c r="AI632" s="64"/>
      <c r="AJ632" s="64"/>
    </row>
    <row r="633">
      <c r="A633" s="64"/>
      <c r="B633" s="64"/>
      <c r="C633" s="64"/>
      <c r="D633" s="64"/>
      <c r="E633" s="64"/>
      <c r="F633" s="64"/>
      <c r="G633" s="64"/>
      <c r="H633" s="64"/>
      <c r="I633" s="64"/>
      <c r="J633" s="64"/>
      <c r="K633" s="64"/>
      <c r="L633" s="64"/>
      <c r="M633" s="60"/>
      <c r="N633" s="60"/>
      <c r="O633" s="60"/>
      <c r="P633" s="60"/>
      <c r="Q633" s="64"/>
      <c r="R633" s="64"/>
      <c r="S633" s="64"/>
      <c r="T633" s="64"/>
      <c r="U633" s="64"/>
      <c r="V633" s="64"/>
      <c r="W633" s="64"/>
      <c r="X633" s="64"/>
      <c r="Y633" s="64"/>
      <c r="Z633" s="64"/>
      <c r="AA633" s="64"/>
      <c r="AB633" s="64"/>
      <c r="AC633" s="64"/>
      <c r="AD633" s="64"/>
      <c r="AE633" s="64"/>
      <c r="AF633" s="64"/>
      <c r="AG633" s="64"/>
      <c r="AH633" s="64"/>
      <c r="AI633" s="64"/>
      <c r="AJ633" s="64"/>
    </row>
    <row r="634">
      <c r="A634" s="64"/>
      <c r="B634" s="64"/>
      <c r="C634" s="64"/>
      <c r="D634" s="64"/>
      <c r="E634" s="64"/>
      <c r="F634" s="64"/>
      <c r="G634" s="64"/>
      <c r="H634" s="64"/>
      <c r="I634" s="64"/>
      <c r="J634" s="64"/>
      <c r="K634" s="64"/>
      <c r="L634" s="64"/>
      <c r="M634" s="60"/>
      <c r="N634" s="60"/>
      <c r="O634" s="60"/>
      <c r="P634" s="60"/>
      <c r="Q634" s="64"/>
      <c r="R634" s="64"/>
      <c r="S634" s="64"/>
      <c r="T634" s="64"/>
      <c r="U634" s="64"/>
      <c r="V634" s="64"/>
      <c r="W634" s="64"/>
      <c r="X634" s="64"/>
      <c r="Y634" s="64"/>
      <c r="Z634" s="64"/>
      <c r="AA634" s="64"/>
      <c r="AB634" s="64"/>
      <c r="AC634" s="64"/>
      <c r="AD634" s="64"/>
      <c r="AE634" s="64"/>
      <c r="AF634" s="64"/>
      <c r="AG634" s="64"/>
      <c r="AH634" s="64"/>
      <c r="AI634" s="64"/>
      <c r="AJ634" s="64"/>
    </row>
    <row r="635">
      <c r="A635" s="64"/>
      <c r="B635" s="64"/>
      <c r="C635" s="64"/>
      <c r="D635" s="64"/>
      <c r="E635" s="64"/>
      <c r="F635" s="64"/>
      <c r="G635" s="64"/>
      <c r="H635" s="64"/>
      <c r="I635" s="64"/>
      <c r="J635" s="64"/>
      <c r="K635" s="64"/>
      <c r="L635" s="64"/>
      <c r="M635" s="60"/>
      <c r="N635" s="60"/>
      <c r="O635" s="60"/>
      <c r="P635" s="60"/>
      <c r="Q635" s="64"/>
      <c r="R635" s="64"/>
      <c r="S635" s="64"/>
      <c r="T635" s="64"/>
      <c r="U635" s="64"/>
      <c r="V635" s="64"/>
      <c r="W635" s="64"/>
      <c r="X635" s="64"/>
      <c r="Y635" s="64"/>
      <c r="Z635" s="64"/>
      <c r="AA635" s="64"/>
      <c r="AB635" s="64"/>
      <c r="AC635" s="64"/>
      <c r="AD635" s="64"/>
      <c r="AE635" s="64"/>
      <c r="AF635" s="64"/>
      <c r="AG635" s="64"/>
      <c r="AH635" s="64"/>
      <c r="AI635" s="64"/>
      <c r="AJ635" s="64"/>
    </row>
    <row r="636">
      <c r="A636" s="64"/>
      <c r="B636" s="64"/>
      <c r="C636" s="64"/>
      <c r="D636" s="64"/>
      <c r="E636" s="64"/>
      <c r="F636" s="64"/>
      <c r="G636" s="64"/>
      <c r="H636" s="64"/>
      <c r="I636" s="64"/>
      <c r="J636" s="64"/>
      <c r="K636" s="64"/>
      <c r="L636" s="64"/>
      <c r="M636" s="60"/>
      <c r="N636" s="60"/>
      <c r="O636" s="60"/>
      <c r="P636" s="60"/>
      <c r="Q636" s="64"/>
      <c r="R636" s="64"/>
      <c r="S636" s="64"/>
      <c r="T636" s="64"/>
      <c r="U636" s="64"/>
      <c r="V636" s="64"/>
      <c r="W636" s="64"/>
      <c r="X636" s="64"/>
      <c r="Y636" s="64"/>
      <c r="Z636" s="64"/>
      <c r="AA636" s="64"/>
      <c r="AB636" s="64"/>
      <c r="AC636" s="64"/>
      <c r="AD636" s="64"/>
      <c r="AE636" s="64"/>
      <c r="AF636" s="64"/>
      <c r="AG636" s="64"/>
      <c r="AH636" s="64"/>
      <c r="AI636" s="64"/>
      <c r="AJ636" s="64"/>
    </row>
    <row r="637">
      <c r="A637" s="64"/>
      <c r="B637" s="64"/>
      <c r="C637" s="64"/>
      <c r="D637" s="64"/>
      <c r="E637" s="64"/>
      <c r="F637" s="64"/>
      <c r="G637" s="64"/>
      <c r="H637" s="64"/>
      <c r="I637" s="64"/>
      <c r="J637" s="64"/>
      <c r="K637" s="64"/>
      <c r="L637" s="64"/>
      <c r="M637" s="60"/>
      <c r="N637" s="60"/>
      <c r="O637" s="60"/>
      <c r="P637" s="60"/>
      <c r="Q637" s="64"/>
      <c r="R637" s="64"/>
      <c r="S637" s="64"/>
      <c r="T637" s="64"/>
      <c r="U637" s="64"/>
      <c r="V637" s="64"/>
      <c r="W637" s="64"/>
      <c r="X637" s="64"/>
      <c r="Y637" s="64"/>
      <c r="Z637" s="64"/>
      <c r="AA637" s="64"/>
      <c r="AB637" s="64"/>
      <c r="AC637" s="64"/>
      <c r="AD637" s="64"/>
      <c r="AE637" s="64"/>
      <c r="AF637" s="64"/>
      <c r="AG637" s="64"/>
      <c r="AH637" s="64"/>
      <c r="AI637" s="64"/>
      <c r="AJ637" s="64"/>
    </row>
    <row r="638">
      <c r="A638" s="64"/>
      <c r="B638" s="64"/>
      <c r="C638" s="64"/>
      <c r="D638" s="64"/>
      <c r="E638" s="64"/>
      <c r="F638" s="64"/>
      <c r="G638" s="64"/>
      <c r="H638" s="64"/>
      <c r="I638" s="64"/>
      <c r="J638" s="64"/>
      <c r="K638" s="64"/>
      <c r="L638" s="64"/>
      <c r="M638" s="60"/>
      <c r="N638" s="60"/>
      <c r="O638" s="60"/>
      <c r="P638" s="60"/>
      <c r="Q638" s="64"/>
      <c r="R638" s="64"/>
      <c r="S638" s="64"/>
      <c r="T638" s="64"/>
      <c r="U638" s="64"/>
      <c r="V638" s="64"/>
      <c r="W638" s="64"/>
      <c r="X638" s="64"/>
      <c r="Y638" s="64"/>
      <c r="Z638" s="64"/>
      <c r="AA638" s="64"/>
      <c r="AB638" s="64"/>
      <c r="AC638" s="64"/>
      <c r="AD638" s="64"/>
      <c r="AE638" s="64"/>
      <c r="AF638" s="64"/>
      <c r="AG638" s="64"/>
      <c r="AH638" s="64"/>
      <c r="AI638" s="64"/>
      <c r="AJ638" s="64"/>
    </row>
    <row r="639">
      <c r="A639" s="64"/>
      <c r="B639" s="64"/>
      <c r="C639" s="64"/>
      <c r="D639" s="64"/>
      <c r="E639" s="64"/>
      <c r="F639" s="64"/>
      <c r="G639" s="64"/>
      <c r="H639" s="64"/>
      <c r="I639" s="64"/>
      <c r="J639" s="64"/>
      <c r="K639" s="64"/>
      <c r="L639" s="64"/>
      <c r="M639" s="60"/>
      <c r="N639" s="60"/>
      <c r="O639" s="60"/>
      <c r="P639" s="60"/>
      <c r="Q639" s="64"/>
      <c r="R639" s="64"/>
      <c r="S639" s="64"/>
      <c r="T639" s="64"/>
      <c r="U639" s="64"/>
      <c r="V639" s="64"/>
      <c r="W639" s="64"/>
      <c r="X639" s="64"/>
      <c r="Y639" s="64"/>
      <c r="Z639" s="64"/>
      <c r="AA639" s="64"/>
      <c r="AB639" s="64"/>
      <c r="AC639" s="64"/>
      <c r="AD639" s="64"/>
      <c r="AE639" s="64"/>
      <c r="AF639" s="64"/>
      <c r="AG639" s="64"/>
      <c r="AH639" s="64"/>
      <c r="AI639" s="64"/>
      <c r="AJ639" s="64"/>
    </row>
    <row r="640">
      <c r="A640" s="64"/>
      <c r="B640" s="64"/>
      <c r="C640" s="64"/>
      <c r="D640" s="64"/>
      <c r="E640" s="64"/>
      <c r="F640" s="64"/>
      <c r="G640" s="64"/>
      <c r="H640" s="64"/>
      <c r="I640" s="64"/>
      <c r="J640" s="64"/>
      <c r="K640" s="64"/>
      <c r="L640" s="64"/>
      <c r="M640" s="60"/>
      <c r="N640" s="60"/>
      <c r="O640" s="60"/>
      <c r="P640" s="60"/>
      <c r="Q640" s="64"/>
      <c r="R640" s="64"/>
      <c r="S640" s="64"/>
      <c r="T640" s="64"/>
      <c r="U640" s="64"/>
      <c r="V640" s="64"/>
      <c r="W640" s="64"/>
      <c r="X640" s="64"/>
      <c r="Y640" s="64"/>
      <c r="Z640" s="64"/>
      <c r="AA640" s="64"/>
      <c r="AB640" s="64"/>
      <c r="AC640" s="64"/>
      <c r="AD640" s="64"/>
      <c r="AE640" s="64"/>
      <c r="AF640" s="64"/>
      <c r="AG640" s="64"/>
      <c r="AH640" s="64"/>
      <c r="AI640" s="64"/>
      <c r="AJ640" s="64"/>
    </row>
    <row r="641">
      <c r="A641" s="64"/>
      <c r="B641" s="64"/>
      <c r="C641" s="64"/>
      <c r="D641" s="64"/>
      <c r="E641" s="64"/>
      <c r="F641" s="64"/>
      <c r="G641" s="64"/>
      <c r="H641" s="64"/>
      <c r="I641" s="64"/>
      <c r="J641" s="64"/>
      <c r="K641" s="64"/>
      <c r="L641" s="64"/>
      <c r="M641" s="60"/>
      <c r="N641" s="60"/>
      <c r="O641" s="60"/>
      <c r="P641" s="60"/>
      <c r="Q641" s="64"/>
      <c r="R641" s="64"/>
      <c r="S641" s="64"/>
      <c r="T641" s="64"/>
      <c r="U641" s="64"/>
      <c r="V641" s="64"/>
      <c r="W641" s="64"/>
      <c r="X641" s="64"/>
      <c r="Y641" s="64"/>
      <c r="Z641" s="64"/>
      <c r="AA641" s="64"/>
      <c r="AB641" s="64"/>
      <c r="AC641" s="64"/>
      <c r="AD641" s="64"/>
      <c r="AE641" s="64"/>
      <c r="AF641" s="64"/>
      <c r="AG641" s="64"/>
      <c r="AH641" s="64"/>
      <c r="AI641" s="64"/>
      <c r="AJ641" s="64"/>
    </row>
    <row r="642">
      <c r="A642" s="64"/>
      <c r="B642" s="64"/>
      <c r="C642" s="64"/>
      <c r="D642" s="64"/>
      <c r="E642" s="64"/>
      <c r="F642" s="64"/>
      <c r="G642" s="64"/>
      <c r="H642" s="64"/>
      <c r="I642" s="64"/>
      <c r="J642" s="64"/>
      <c r="K642" s="64"/>
      <c r="L642" s="64"/>
      <c r="M642" s="60"/>
      <c r="N642" s="60"/>
      <c r="O642" s="60"/>
      <c r="P642" s="60"/>
      <c r="Q642" s="64"/>
      <c r="R642" s="64"/>
      <c r="S642" s="64"/>
      <c r="T642" s="64"/>
      <c r="U642" s="64"/>
      <c r="V642" s="64"/>
      <c r="W642" s="64"/>
      <c r="X642" s="64"/>
      <c r="Y642" s="64"/>
      <c r="Z642" s="64"/>
      <c r="AA642" s="64"/>
      <c r="AB642" s="64"/>
      <c r="AC642" s="64"/>
      <c r="AD642" s="64"/>
      <c r="AE642" s="64"/>
      <c r="AF642" s="64"/>
      <c r="AG642" s="64"/>
      <c r="AH642" s="64"/>
      <c r="AI642" s="64"/>
      <c r="AJ642" s="64"/>
    </row>
    <row r="643">
      <c r="A643" s="64"/>
      <c r="B643" s="64"/>
      <c r="C643" s="64"/>
      <c r="D643" s="64"/>
      <c r="E643" s="64"/>
      <c r="F643" s="64"/>
      <c r="G643" s="64"/>
      <c r="H643" s="64"/>
      <c r="I643" s="64"/>
      <c r="J643" s="64"/>
      <c r="K643" s="64"/>
      <c r="L643" s="64"/>
      <c r="M643" s="60"/>
      <c r="N643" s="60"/>
      <c r="O643" s="60"/>
      <c r="P643" s="60"/>
      <c r="Q643" s="64"/>
      <c r="R643" s="64"/>
      <c r="S643" s="64"/>
      <c r="T643" s="64"/>
      <c r="U643" s="64"/>
      <c r="V643" s="64"/>
      <c r="W643" s="64"/>
      <c r="X643" s="64"/>
      <c r="Y643" s="64"/>
      <c r="Z643" s="64"/>
      <c r="AA643" s="64"/>
      <c r="AB643" s="64"/>
      <c r="AC643" s="64"/>
      <c r="AD643" s="64"/>
      <c r="AE643" s="64"/>
      <c r="AF643" s="64"/>
      <c r="AG643" s="64"/>
      <c r="AH643" s="64"/>
      <c r="AI643" s="64"/>
      <c r="AJ643" s="64"/>
    </row>
    <row r="644">
      <c r="A644" s="64"/>
      <c r="B644" s="64"/>
      <c r="C644" s="64"/>
      <c r="D644" s="64"/>
      <c r="E644" s="64"/>
      <c r="F644" s="64"/>
      <c r="G644" s="64"/>
      <c r="H644" s="64"/>
      <c r="I644" s="64"/>
      <c r="J644" s="64"/>
      <c r="K644" s="64"/>
      <c r="L644" s="64"/>
      <c r="M644" s="60"/>
      <c r="N644" s="60"/>
      <c r="O644" s="60"/>
      <c r="P644" s="60"/>
      <c r="Q644" s="64"/>
      <c r="R644" s="64"/>
      <c r="S644" s="64"/>
      <c r="T644" s="64"/>
      <c r="U644" s="64"/>
      <c r="V644" s="64"/>
      <c r="W644" s="64"/>
      <c r="X644" s="64"/>
      <c r="Y644" s="64"/>
      <c r="Z644" s="64"/>
      <c r="AA644" s="64"/>
      <c r="AB644" s="64"/>
      <c r="AC644" s="64"/>
      <c r="AD644" s="64"/>
      <c r="AE644" s="64"/>
      <c r="AF644" s="64"/>
      <c r="AG644" s="64"/>
      <c r="AH644" s="64"/>
      <c r="AI644" s="64"/>
      <c r="AJ644" s="64"/>
    </row>
    <row r="645">
      <c r="A645" s="64"/>
      <c r="B645" s="64"/>
      <c r="C645" s="64"/>
      <c r="D645" s="64"/>
      <c r="E645" s="64"/>
      <c r="F645" s="64"/>
      <c r="G645" s="64"/>
      <c r="H645" s="64"/>
      <c r="I645" s="64"/>
      <c r="J645" s="64"/>
      <c r="K645" s="64"/>
      <c r="L645" s="64"/>
      <c r="M645" s="60"/>
      <c r="N645" s="60"/>
      <c r="O645" s="60"/>
      <c r="P645" s="60"/>
      <c r="Q645" s="64"/>
      <c r="R645" s="64"/>
      <c r="S645" s="64"/>
      <c r="T645" s="64"/>
      <c r="U645" s="64"/>
      <c r="V645" s="64"/>
      <c r="W645" s="64"/>
      <c r="X645" s="64"/>
      <c r="Y645" s="64"/>
      <c r="Z645" s="64"/>
      <c r="AA645" s="64"/>
      <c r="AB645" s="64"/>
      <c r="AC645" s="64"/>
      <c r="AD645" s="64"/>
      <c r="AE645" s="64"/>
      <c r="AF645" s="64"/>
      <c r="AG645" s="64"/>
      <c r="AH645" s="64"/>
      <c r="AI645" s="64"/>
      <c r="AJ645" s="64"/>
    </row>
    <row r="646">
      <c r="A646" s="64"/>
      <c r="B646" s="64"/>
      <c r="C646" s="64"/>
      <c r="D646" s="64"/>
      <c r="E646" s="64"/>
      <c r="F646" s="64"/>
      <c r="G646" s="64"/>
      <c r="H646" s="64"/>
      <c r="I646" s="64"/>
      <c r="J646" s="64"/>
      <c r="K646" s="64"/>
      <c r="L646" s="64"/>
      <c r="M646" s="60"/>
      <c r="N646" s="60"/>
      <c r="O646" s="60"/>
      <c r="P646" s="60"/>
      <c r="Q646" s="64"/>
      <c r="R646" s="64"/>
      <c r="S646" s="64"/>
      <c r="T646" s="64"/>
      <c r="U646" s="64"/>
      <c r="V646" s="64"/>
      <c r="W646" s="64"/>
      <c r="X646" s="64"/>
      <c r="Y646" s="64"/>
      <c r="Z646" s="64"/>
      <c r="AA646" s="64"/>
      <c r="AB646" s="64"/>
      <c r="AC646" s="64"/>
      <c r="AD646" s="64"/>
      <c r="AE646" s="64"/>
      <c r="AF646" s="64"/>
      <c r="AG646" s="64"/>
      <c r="AH646" s="64"/>
      <c r="AI646" s="64"/>
      <c r="AJ646" s="64"/>
    </row>
    <row r="647">
      <c r="A647" s="64"/>
      <c r="B647" s="64"/>
      <c r="C647" s="64"/>
      <c r="D647" s="64"/>
      <c r="E647" s="64"/>
      <c r="F647" s="64"/>
      <c r="G647" s="64"/>
      <c r="H647" s="64"/>
      <c r="I647" s="64"/>
      <c r="J647" s="64"/>
      <c r="K647" s="64"/>
      <c r="L647" s="64"/>
      <c r="M647" s="60"/>
      <c r="N647" s="60"/>
      <c r="O647" s="60"/>
      <c r="P647" s="60"/>
      <c r="Q647" s="64"/>
      <c r="R647" s="64"/>
      <c r="S647" s="64"/>
      <c r="T647" s="64"/>
      <c r="U647" s="64"/>
      <c r="V647" s="64"/>
      <c r="W647" s="64"/>
      <c r="X647" s="64"/>
      <c r="Y647" s="64"/>
      <c r="Z647" s="64"/>
      <c r="AA647" s="64"/>
      <c r="AB647" s="64"/>
      <c r="AC647" s="64"/>
      <c r="AD647" s="64"/>
      <c r="AE647" s="64"/>
      <c r="AF647" s="64"/>
      <c r="AG647" s="64"/>
      <c r="AH647" s="64"/>
      <c r="AI647" s="64"/>
      <c r="AJ647" s="64"/>
    </row>
    <row r="648">
      <c r="A648" s="64"/>
      <c r="B648" s="64"/>
      <c r="C648" s="64"/>
      <c r="D648" s="64"/>
      <c r="E648" s="64"/>
      <c r="F648" s="64"/>
      <c r="G648" s="64"/>
      <c r="H648" s="64"/>
      <c r="I648" s="64"/>
      <c r="J648" s="64"/>
      <c r="K648" s="64"/>
      <c r="L648" s="64"/>
      <c r="M648" s="60"/>
      <c r="N648" s="60"/>
      <c r="O648" s="60"/>
      <c r="P648" s="60"/>
      <c r="Q648" s="64"/>
      <c r="R648" s="64"/>
      <c r="S648" s="64"/>
      <c r="T648" s="64"/>
      <c r="U648" s="64"/>
      <c r="V648" s="64"/>
      <c r="W648" s="64"/>
      <c r="X648" s="64"/>
      <c r="Y648" s="64"/>
      <c r="Z648" s="64"/>
      <c r="AA648" s="64"/>
      <c r="AB648" s="64"/>
      <c r="AC648" s="64"/>
      <c r="AD648" s="64"/>
      <c r="AE648" s="64"/>
      <c r="AF648" s="64"/>
      <c r="AG648" s="64"/>
      <c r="AH648" s="64"/>
      <c r="AI648" s="64"/>
      <c r="AJ648" s="64"/>
    </row>
    <row r="649">
      <c r="A649" s="64"/>
      <c r="B649" s="64"/>
      <c r="C649" s="64"/>
      <c r="D649" s="64"/>
      <c r="E649" s="64"/>
      <c r="F649" s="64"/>
      <c r="G649" s="64"/>
      <c r="H649" s="64"/>
      <c r="I649" s="64"/>
      <c r="J649" s="64"/>
      <c r="K649" s="64"/>
      <c r="L649" s="64"/>
      <c r="M649" s="60"/>
      <c r="N649" s="60"/>
      <c r="O649" s="60"/>
      <c r="P649" s="60"/>
      <c r="Q649" s="64"/>
      <c r="R649" s="64"/>
      <c r="S649" s="64"/>
      <c r="T649" s="64"/>
      <c r="U649" s="64"/>
      <c r="V649" s="64"/>
      <c r="W649" s="64"/>
      <c r="X649" s="64"/>
      <c r="Y649" s="64"/>
      <c r="Z649" s="64"/>
      <c r="AA649" s="64"/>
      <c r="AB649" s="64"/>
      <c r="AC649" s="64"/>
      <c r="AD649" s="64"/>
      <c r="AE649" s="64"/>
      <c r="AF649" s="64"/>
      <c r="AG649" s="64"/>
      <c r="AH649" s="64"/>
      <c r="AI649" s="64"/>
      <c r="AJ649" s="64"/>
    </row>
    <row r="650">
      <c r="A650" s="64"/>
      <c r="B650" s="64"/>
      <c r="C650" s="64"/>
      <c r="D650" s="64"/>
      <c r="E650" s="64"/>
      <c r="F650" s="64"/>
      <c r="G650" s="64"/>
      <c r="H650" s="64"/>
      <c r="I650" s="64"/>
      <c r="J650" s="64"/>
      <c r="K650" s="64"/>
      <c r="L650" s="64"/>
      <c r="M650" s="60"/>
      <c r="N650" s="60"/>
      <c r="O650" s="60"/>
      <c r="P650" s="60"/>
      <c r="Q650" s="64"/>
      <c r="R650" s="64"/>
      <c r="S650" s="64"/>
      <c r="T650" s="64"/>
      <c r="U650" s="64"/>
      <c r="V650" s="64"/>
      <c r="W650" s="64"/>
      <c r="X650" s="64"/>
      <c r="Y650" s="64"/>
      <c r="Z650" s="64"/>
      <c r="AA650" s="64"/>
      <c r="AB650" s="64"/>
      <c r="AC650" s="64"/>
      <c r="AD650" s="64"/>
      <c r="AE650" s="64"/>
      <c r="AF650" s="64"/>
      <c r="AG650" s="64"/>
      <c r="AH650" s="64"/>
      <c r="AI650" s="64"/>
      <c r="AJ650" s="64"/>
    </row>
    <row r="651">
      <c r="A651" s="64"/>
      <c r="B651" s="64"/>
      <c r="C651" s="64"/>
      <c r="D651" s="64"/>
      <c r="E651" s="64"/>
      <c r="F651" s="64"/>
      <c r="G651" s="64"/>
      <c r="H651" s="64"/>
      <c r="I651" s="64"/>
      <c r="J651" s="64"/>
      <c r="K651" s="64"/>
      <c r="L651" s="64"/>
      <c r="M651" s="60"/>
      <c r="N651" s="60"/>
      <c r="O651" s="60"/>
      <c r="P651" s="60"/>
      <c r="Q651" s="64"/>
      <c r="R651" s="64"/>
      <c r="S651" s="64"/>
      <c r="T651" s="64"/>
      <c r="U651" s="64"/>
      <c r="V651" s="64"/>
      <c r="W651" s="64"/>
      <c r="X651" s="64"/>
      <c r="Y651" s="64"/>
      <c r="Z651" s="64"/>
      <c r="AA651" s="64"/>
      <c r="AB651" s="64"/>
      <c r="AC651" s="64"/>
      <c r="AD651" s="64"/>
      <c r="AE651" s="64"/>
      <c r="AF651" s="64"/>
      <c r="AG651" s="64"/>
      <c r="AH651" s="64"/>
      <c r="AI651" s="64"/>
      <c r="AJ651" s="64"/>
    </row>
    <row r="652">
      <c r="A652" s="64"/>
      <c r="B652" s="64"/>
      <c r="C652" s="64"/>
      <c r="D652" s="64"/>
      <c r="E652" s="64"/>
      <c r="F652" s="64"/>
      <c r="G652" s="64"/>
      <c r="H652" s="64"/>
      <c r="I652" s="64"/>
      <c r="J652" s="64"/>
      <c r="K652" s="64"/>
      <c r="L652" s="64"/>
      <c r="M652" s="60"/>
      <c r="N652" s="60"/>
      <c r="O652" s="60"/>
      <c r="P652" s="60"/>
      <c r="Q652" s="64"/>
      <c r="R652" s="64"/>
      <c r="S652" s="64"/>
      <c r="T652" s="64"/>
      <c r="U652" s="64"/>
      <c r="V652" s="64"/>
      <c r="W652" s="64"/>
      <c r="X652" s="64"/>
      <c r="Y652" s="64"/>
      <c r="Z652" s="64"/>
      <c r="AA652" s="64"/>
      <c r="AB652" s="64"/>
      <c r="AC652" s="64"/>
      <c r="AD652" s="64"/>
      <c r="AE652" s="64"/>
      <c r="AF652" s="64"/>
      <c r="AG652" s="64"/>
      <c r="AH652" s="64"/>
      <c r="AI652" s="64"/>
      <c r="AJ652" s="64"/>
    </row>
    <row r="653">
      <c r="A653" s="64"/>
      <c r="B653" s="64"/>
      <c r="C653" s="64"/>
      <c r="D653" s="64"/>
      <c r="E653" s="64"/>
      <c r="F653" s="64"/>
      <c r="G653" s="64"/>
      <c r="H653" s="64"/>
      <c r="I653" s="64"/>
      <c r="J653" s="64"/>
      <c r="K653" s="64"/>
      <c r="L653" s="64"/>
      <c r="M653" s="60"/>
      <c r="N653" s="60"/>
      <c r="O653" s="60"/>
      <c r="P653" s="60"/>
      <c r="Q653" s="64"/>
      <c r="R653" s="64"/>
      <c r="S653" s="64"/>
      <c r="T653" s="64"/>
      <c r="U653" s="64"/>
      <c r="V653" s="64"/>
      <c r="W653" s="64"/>
      <c r="X653" s="64"/>
      <c r="Y653" s="64"/>
      <c r="Z653" s="64"/>
      <c r="AA653" s="64"/>
      <c r="AB653" s="64"/>
      <c r="AC653" s="64"/>
      <c r="AD653" s="64"/>
      <c r="AE653" s="64"/>
      <c r="AF653" s="64"/>
      <c r="AG653" s="64"/>
      <c r="AH653" s="64"/>
      <c r="AI653" s="64"/>
      <c r="AJ653" s="64"/>
    </row>
    <row r="654">
      <c r="A654" s="64"/>
      <c r="B654" s="64"/>
      <c r="C654" s="64"/>
      <c r="D654" s="64"/>
      <c r="E654" s="64"/>
      <c r="F654" s="64"/>
      <c r="G654" s="64"/>
      <c r="H654" s="64"/>
      <c r="I654" s="64"/>
      <c r="J654" s="64"/>
      <c r="K654" s="64"/>
      <c r="L654" s="64"/>
      <c r="M654" s="60"/>
      <c r="N654" s="60"/>
      <c r="O654" s="60"/>
      <c r="P654" s="60"/>
      <c r="Q654" s="64"/>
      <c r="R654" s="64"/>
      <c r="S654" s="64"/>
      <c r="T654" s="64"/>
      <c r="U654" s="64"/>
      <c r="V654" s="64"/>
      <c r="W654" s="64"/>
      <c r="X654" s="64"/>
      <c r="Y654" s="64"/>
      <c r="Z654" s="64"/>
      <c r="AA654" s="64"/>
      <c r="AB654" s="64"/>
      <c r="AC654" s="64"/>
      <c r="AD654" s="64"/>
      <c r="AE654" s="64"/>
      <c r="AF654" s="64"/>
      <c r="AG654" s="64"/>
      <c r="AH654" s="64"/>
      <c r="AI654" s="64"/>
      <c r="AJ654" s="64"/>
    </row>
    <row r="655">
      <c r="A655" s="64"/>
      <c r="B655" s="64"/>
      <c r="C655" s="64"/>
      <c r="D655" s="64"/>
      <c r="E655" s="64"/>
      <c r="F655" s="64"/>
      <c r="G655" s="64"/>
      <c r="H655" s="64"/>
      <c r="I655" s="64"/>
      <c r="J655" s="64"/>
      <c r="K655" s="64"/>
      <c r="L655" s="64"/>
      <c r="M655" s="60"/>
      <c r="N655" s="60"/>
      <c r="O655" s="60"/>
      <c r="P655" s="60"/>
      <c r="Q655" s="64"/>
      <c r="R655" s="64"/>
      <c r="S655" s="64"/>
      <c r="T655" s="64"/>
      <c r="U655" s="64"/>
      <c r="V655" s="64"/>
      <c r="W655" s="64"/>
      <c r="X655" s="64"/>
      <c r="Y655" s="64"/>
      <c r="Z655" s="64"/>
      <c r="AA655" s="64"/>
      <c r="AB655" s="64"/>
      <c r="AC655" s="64"/>
      <c r="AD655" s="64"/>
      <c r="AE655" s="64"/>
      <c r="AF655" s="64"/>
      <c r="AG655" s="64"/>
      <c r="AH655" s="64"/>
      <c r="AI655" s="64"/>
      <c r="AJ655" s="64"/>
    </row>
    <row r="656">
      <c r="A656" s="64"/>
      <c r="B656" s="64"/>
      <c r="C656" s="64"/>
      <c r="D656" s="64"/>
      <c r="E656" s="64"/>
      <c r="F656" s="64"/>
      <c r="G656" s="64"/>
      <c r="H656" s="64"/>
      <c r="I656" s="64"/>
      <c r="J656" s="64"/>
      <c r="K656" s="64"/>
      <c r="L656" s="64"/>
      <c r="M656" s="60"/>
      <c r="N656" s="60"/>
      <c r="O656" s="60"/>
      <c r="P656" s="60"/>
      <c r="Q656" s="64"/>
      <c r="R656" s="64"/>
      <c r="S656" s="64"/>
      <c r="T656" s="64"/>
      <c r="U656" s="64"/>
      <c r="V656" s="64"/>
      <c r="W656" s="64"/>
      <c r="X656" s="64"/>
      <c r="Y656" s="64"/>
      <c r="Z656" s="64"/>
      <c r="AA656" s="64"/>
      <c r="AB656" s="64"/>
      <c r="AC656" s="64"/>
      <c r="AD656" s="64"/>
      <c r="AE656" s="64"/>
      <c r="AF656" s="64"/>
      <c r="AG656" s="64"/>
      <c r="AH656" s="64"/>
      <c r="AI656" s="64"/>
      <c r="AJ656" s="64"/>
    </row>
    <row r="657">
      <c r="A657" s="64"/>
      <c r="B657" s="64"/>
      <c r="C657" s="64"/>
      <c r="D657" s="64"/>
      <c r="E657" s="64"/>
      <c r="F657" s="64"/>
      <c r="G657" s="64"/>
      <c r="H657" s="64"/>
      <c r="I657" s="64"/>
      <c r="J657" s="64"/>
      <c r="K657" s="64"/>
      <c r="L657" s="64"/>
      <c r="M657" s="60"/>
      <c r="N657" s="60"/>
      <c r="O657" s="60"/>
      <c r="P657" s="60"/>
      <c r="Q657" s="64"/>
      <c r="R657" s="64"/>
      <c r="S657" s="64"/>
      <c r="T657" s="64"/>
      <c r="U657" s="64"/>
      <c r="V657" s="64"/>
      <c r="W657" s="64"/>
      <c r="X657" s="64"/>
      <c r="Y657" s="64"/>
      <c r="Z657" s="64"/>
      <c r="AA657" s="64"/>
      <c r="AB657" s="64"/>
      <c r="AC657" s="64"/>
      <c r="AD657" s="64"/>
      <c r="AE657" s="64"/>
      <c r="AF657" s="64"/>
      <c r="AG657" s="64"/>
      <c r="AH657" s="64"/>
      <c r="AI657" s="64"/>
      <c r="AJ657" s="64"/>
    </row>
    <row r="658">
      <c r="A658" s="64"/>
      <c r="B658" s="64"/>
      <c r="C658" s="64"/>
      <c r="D658" s="64"/>
      <c r="E658" s="64"/>
      <c r="F658" s="64"/>
      <c r="G658" s="64"/>
      <c r="H658" s="64"/>
      <c r="I658" s="64"/>
      <c r="J658" s="64"/>
      <c r="K658" s="64"/>
      <c r="L658" s="64"/>
      <c r="M658" s="60"/>
      <c r="N658" s="60"/>
      <c r="O658" s="60"/>
      <c r="P658" s="60"/>
      <c r="Q658" s="64"/>
      <c r="R658" s="64"/>
      <c r="S658" s="64"/>
      <c r="T658" s="64"/>
      <c r="U658" s="64"/>
      <c r="V658" s="64"/>
      <c r="W658" s="64"/>
      <c r="X658" s="64"/>
      <c r="Y658" s="64"/>
      <c r="Z658" s="64"/>
      <c r="AA658" s="64"/>
      <c r="AB658" s="64"/>
      <c r="AC658" s="64"/>
      <c r="AD658" s="64"/>
      <c r="AE658" s="64"/>
      <c r="AF658" s="64"/>
      <c r="AG658" s="64"/>
      <c r="AH658" s="64"/>
      <c r="AI658" s="64"/>
      <c r="AJ658" s="64"/>
    </row>
    <row r="659">
      <c r="A659" s="64"/>
      <c r="B659" s="64"/>
      <c r="C659" s="64"/>
      <c r="D659" s="64"/>
      <c r="E659" s="64"/>
      <c r="F659" s="64"/>
      <c r="G659" s="64"/>
      <c r="H659" s="64"/>
      <c r="I659" s="64"/>
      <c r="J659" s="64"/>
      <c r="K659" s="64"/>
      <c r="L659" s="64"/>
      <c r="M659" s="60"/>
      <c r="N659" s="60"/>
      <c r="O659" s="60"/>
      <c r="P659" s="60"/>
      <c r="Q659" s="64"/>
      <c r="R659" s="64"/>
      <c r="S659" s="64"/>
      <c r="T659" s="64"/>
      <c r="U659" s="64"/>
      <c r="V659" s="64"/>
      <c r="W659" s="64"/>
      <c r="X659" s="64"/>
      <c r="Y659" s="64"/>
      <c r="Z659" s="64"/>
      <c r="AA659" s="64"/>
      <c r="AB659" s="64"/>
      <c r="AC659" s="64"/>
      <c r="AD659" s="64"/>
      <c r="AE659" s="64"/>
      <c r="AF659" s="64"/>
      <c r="AG659" s="64"/>
      <c r="AH659" s="64"/>
      <c r="AI659" s="64"/>
      <c r="AJ659" s="64"/>
    </row>
    <row r="660">
      <c r="A660" s="64"/>
      <c r="B660" s="64"/>
      <c r="C660" s="64"/>
      <c r="D660" s="64"/>
      <c r="E660" s="64"/>
      <c r="F660" s="64"/>
      <c r="G660" s="64"/>
      <c r="H660" s="64"/>
      <c r="I660" s="64"/>
      <c r="J660" s="64"/>
      <c r="K660" s="64"/>
      <c r="L660" s="64"/>
      <c r="M660" s="60"/>
      <c r="N660" s="60"/>
      <c r="O660" s="60"/>
      <c r="P660" s="60"/>
      <c r="Q660" s="64"/>
      <c r="R660" s="64"/>
      <c r="S660" s="64"/>
      <c r="T660" s="64"/>
      <c r="U660" s="64"/>
      <c r="V660" s="64"/>
      <c r="W660" s="64"/>
      <c r="X660" s="64"/>
      <c r="Y660" s="64"/>
      <c r="Z660" s="64"/>
      <c r="AA660" s="64"/>
      <c r="AB660" s="64"/>
      <c r="AC660" s="64"/>
      <c r="AD660" s="64"/>
      <c r="AE660" s="64"/>
      <c r="AF660" s="64"/>
      <c r="AG660" s="64"/>
      <c r="AH660" s="64"/>
      <c r="AI660" s="64"/>
      <c r="AJ660" s="64"/>
    </row>
    <row r="661">
      <c r="A661" s="64"/>
      <c r="B661" s="64"/>
      <c r="C661" s="64"/>
      <c r="D661" s="64"/>
      <c r="E661" s="64"/>
      <c r="F661" s="64"/>
      <c r="G661" s="64"/>
      <c r="H661" s="64"/>
      <c r="I661" s="64"/>
      <c r="J661" s="64"/>
      <c r="K661" s="64"/>
      <c r="L661" s="64"/>
      <c r="M661" s="60"/>
      <c r="N661" s="60"/>
      <c r="O661" s="60"/>
      <c r="P661" s="60"/>
      <c r="Q661" s="64"/>
      <c r="R661" s="64"/>
      <c r="S661" s="64"/>
      <c r="T661" s="64"/>
      <c r="U661" s="64"/>
      <c r="V661" s="64"/>
      <c r="W661" s="64"/>
      <c r="X661" s="64"/>
      <c r="Y661" s="64"/>
      <c r="Z661" s="64"/>
      <c r="AA661" s="64"/>
      <c r="AB661" s="64"/>
      <c r="AC661" s="64"/>
      <c r="AD661" s="64"/>
      <c r="AE661" s="64"/>
      <c r="AF661" s="64"/>
      <c r="AG661" s="64"/>
      <c r="AH661" s="64"/>
      <c r="AI661" s="64"/>
      <c r="AJ661" s="64"/>
    </row>
    <row r="662">
      <c r="A662" s="64"/>
      <c r="B662" s="64"/>
      <c r="C662" s="64"/>
      <c r="D662" s="64"/>
      <c r="E662" s="64"/>
      <c r="F662" s="64"/>
      <c r="G662" s="64"/>
      <c r="H662" s="64"/>
      <c r="I662" s="64"/>
      <c r="J662" s="64"/>
      <c r="K662" s="64"/>
      <c r="L662" s="64"/>
      <c r="M662" s="60"/>
      <c r="N662" s="60"/>
      <c r="O662" s="60"/>
      <c r="P662" s="60"/>
      <c r="Q662" s="64"/>
      <c r="R662" s="64"/>
      <c r="S662" s="64"/>
      <c r="T662" s="64"/>
      <c r="U662" s="64"/>
      <c r="V662" s="64"/>
      <c r="W662" s="64"/>
      <c r="X662" s="64"/>
      <c r="Y662" s="64"/>
      <c r="Z662" s="64"/>
      <c r="AA662" s="64"/>
      <c r="AB662" s="64"/>
      <c r="AC662" s="64"/>
      <c r="AD662" s="64"/>
      <c r="AE662" s="64"/>
      <c r="AF662" s="64"/>
      <c r="AG662" s="64"/>
      <c r="AH662" s="64"/>
      <c r="AI662" s="64"/>
      <c r="AJ662" s="64"/>
    </row>
    <row r="663">
      <c r="A663" s="64"/>
      <c r="B663" s="64"/>
      <c r="C663" s="64"/>
      <c r="D663" s="64"/>
      <c r="E663" s="64"/>
      <c r="F663" s="64"/>
      <c r="G663" s="64"/>
      <c r="H663" s="64"/>
      <c r="I663" s="64"/>
      <c r="J663" s="64"/>
      <c r="K663" s="64"/>
      <c r="L663" s="64"/>
      <c r="M663" s="60"/>
      <c r="N663" s="60"/>
      <c r="O663" s="60"/>
      <c r="P663" s="60"/>
      <c r="Q663" s="64"/>
      <c r="R663" s="64"/>
      <c r="S663" s="64"/>
      <c r="T663" s="64"/>
      <c r="U663" s="64"/>
      <c r="V663" s="64"/>
      <c r="W663" s="64"/>
      <c r="X663" s="64"/>
      <c r="Y663" s="64"/>
      <c r="Z663" s="64"/>
      <c r="AA663" s="64"/>
      <c r="AB663" s="64"/>
      <c r="AC663" s="64"/>
      <c r="AD663" s="64"/>
      <c r="AE663" s="64"/>
      <c r="AF663" s="64"/>
      <c r="AG663" s="64"/>
      <c r="AH663" s="64"/>
      <c r="AI663" s="64"/>
      <c r="AJ663" s="64"/>
    </row>
    <row r="664">
      <c r="A664" s="64"/>
      <c r="B664" s="64"/>
      <c r="C664" s="64"/>
      <c r="D664" s="64"/>
      <c r="E664" s="64"/>
      <c r="F664" s="64"/>
      <c r="G664" s="64"/>
      <c r="H664" s="64"/>
      <c r="I664" s="64"/>
      <c r="J664" s="64"/>
      <c r="K664" s="64"/>
      <c r="L664" s="64"/>
      <c r="M664" s="60"/>
      <c r="N664" s="60"/>
      <c r="O664" s="60"/>
      <c r="P664" s="60"/>
      <c r="Q664" s="64"/>
      <c r="R664" s="64"/>
      <c r="S664" s="64"/>
      <c r="T664" s="64"/>
      <c r="U664" s="64"/>
      <c r="V664" s="64"/>
      <c r="W664" s="64"/>
      <c r="X664" s="64"/>
      <c r="Y664" s="64"/>
      <c r="Z664" s="64"/>
      <c r="AA664" s="64"/>
      <c r="AB664" s="64"/>
      <c r="AC664" s="64"/>
      <c r="AD664" s="64"/>
      <c r="AE664" s="64"/>
      <c r="AF664" s="64"/>
      <c r="AG664" s="64"/>
      <c r="AH664" s="64"/>
      <c r="AI664" s="64"/>
      <c r="AJ664" s="64"/>
    </row>
    <row r="665">
      <c r="A665" s="64"/>
      <c r="B665" s="64"/>
      <c r="C665" s="64"/>
      <c r="D665" s="64"/>
      <c r="E665" s="64"/>
      <c r="F665" s="64"/>
      <c r="G665" s="64"/>
      <c r="H665" s="64"/>
      <c r="I665" s="64"/>
      <c r="J665" s="64"/>
      <c r="K665" s="64"/>
      <c r="L665" s="64"/>
      <c r="M665" s="60"/>
      <c r="N665" s="60"/>
      <c r="O665" s="60"/>
      <c r="P665" s="60"/>
      <c r="Q665" s="64"/>
      <c r="R665" s="64"/>
      <c r="S665" s="64"/>
      <c r="T665" s="64"/>
      <c r="U665" s="64"/>
      <c r="V665" s="64"/>
      <c r="W665" s="64"/>
      <c r="X665" s="64"/>
      <c r="Y665" s="64"/>
      <c r="Z665" s="64"/>
      <c r="AA665" s="64"/>
      <c r="AB665" s="64"/>
      <c r="AC665" s="64"/>
      <c r="AD665" s="64"/>
      <c r="AE665" s="64"/>
      <c r="AF665" s="64"/>
      <c r="AG665" s="64"/>
      <c r="AH665" s="64"/>
      <c r="AI665" s="64"/>
      <c r="AJ665" s="64"/>
    </row>
    <row r="666">
      <c r="A666" s="64"/>
      <c r="B666" s="64"/>
      <c r="C666" s="64"/>
      <c r="D666" s="64"/>
      <c r="E666" s="64"/>
      <c r="F666" s="64"/>
      <c r="G666" s="64"/>
      <c r="H666" s="64"/>
      <c r="I666" s="64"/>
      <c r="J666" s="64"/>
      <c r="K666" s="64"/>
      <c r="L666" s="64"/>
      <c r="M666" s="60"/>
      <c r="N666" s="60"/>
      <c r="O666" s="60"/>
      <c r="P666" s="60"/>
      <c r="Q666" s="64"/>
      <c r="R666" s="64"/>
      <c r="S666" s="64"/>
      <c r="T666" s="64"/>
      <c r="U666" s="64"/>
      <c r="V666" s="64"/>
      <c r="W666" s="64"/>
      <c r="X666" s="64"/>
      <c r="Y666" s="64"/>
      <c r="Z666" s="64"/>
      <c r="AA666" s="64"/>
      <c r="AB666" s="64"/>
      <c r="AC666" s="64"/>
      <c r="AD666" s="64"/>
      <c r="AE666" s="64"/>
      <c r="AF666" s="64"/>
      <c r="AG666" s="64"/>
      <c r="AH666" s="64"/>
      <c r="AI666" s="64"/>
      <c r="AJ666" s="64"/>
    </row>
    <row r="667">
      <c r="A667" s="64"/>
      <c r="B667" s="64"/>
      <c r="C667" s="64"/>
      <c r="D667" s="64"/>
      <c r="E667" s="64"/>
      <c r="F667" s="64"/>
      <c r="G667" s="64"/>
      <c r="H667" s="64"/>
      <c r="I667" s="64"/>
      <c r="J667" s="64"/>
      <c r="K667" s="64"/>
      <c r="L667" s="64"/>
      <c r="M667" s="60"/>
      <c r="N667" s="60"/>
      <c r="O667" s="60"/>
      <c r="P667" s="60"/>
      <c r="Q667" s="64"/>
      <c r="R667" s="64"/>
      <c r="S667" s="64"/>
      <c r="T667" s="64"/>
      <c r="U667" s="64"/>
      <c r="V667" s="64"/>
      <c r="W667" s="64"/>
      <c r="X667" s="64"/>
      <c r="Y667" s="64"/>
      <c r="Z667" s="64"/>
      <c r="AA667" s="64"/>
      <c r="AB667" s="64"/>
      <c r="AC667" s="64"/>
      <c r="AD667" s="64"/>
      <c r="AE667" s="64"/>
      <c r="AF667" s="64"/>
      <c r="AG667" s="64"/>
      <c r="AH667" s="64"/>
      <c r="AI667" s="64"/>
      <c r="AJ667" s="64"/>
    </row>
    <row r="668">
      <c r="A668" s="64"/>
      <c r="B668" s="64"/>
      <c r="C668" s="64"/>
      <c r="D668" s="64"/>
      <c r="E668" s="64"/>
      <c r="F668" s="64"/>
      <c r="G668" s="64"/>
      <c r="H668" s="64"/>
      <c r="I668" s="64"/>
      <c r="J668" s="64"/>
      <c r="K668" s="64"/>
      <c r="L668" s="64"/>
      <c r="M668" s="60"/>
      <c r="N668" s="60"/>
      <c r="O668" s="60"/>
      <c r="P668" s="60"/>
      <c r="Q668" s="64"/>
      <c r="R668" s="64"/>
      <c r="S668" s="64"/>
      <c r="T668" s="64"/>
      <c r="U668" s="64"/>
      <c r="V668" s="64"/>
      <c r="W668" s="64"/>
      <c r="X668" s="64"/>
      <c r="Y668" s="64"/>
      <c r="Z668" s="64"/>
      <c r="AA668" s="64"/>
      <c r="AB668" s="64"/>
      <c r="AC668" s="64"/>
      <c r="AD668" s="64"/>
      <c r="AE668" s="64"/>
      <c r="AF668" s="64"/>
      <c r="AG668" s="64"/>
      <c r="AH668" s="64"/>
      <c r="AI668" s="64"/>
      <c r="AJ668" s="64"/>
    </row>
    <row r="669">
      <c r="A669" s="64"/>
      <c r="B669" s="64"/>
      <c r="C669" s="64"/>
      <c r="D669" s="64"/>
      <c r="E669" s="64"/>
      <c r="F669" s="64"/>
      <c r="G669" s="64"/>
      <c r="H669" s="64"/>
      <c r="I669" s="64"/>
      <c r="J669" s="64"/>
      <c r="K669" s="64"/>
      <c r="L669" s="64"/>
      <c r="M669" s="60"/>
      <c r="N669" s="60"/>
      <c r="O669" s="60"/>
      <c r="P669" s="60"/>
      <c r="Q669" s="64"/>
      <c r="R669" s="64"/>
      <c r="S669" s="64"/>
      <c r="T669" s="64"/>
      <c r="U669" s="64"/>
      <c r="V669" s="64"/>
      <c r="W669" s="64"/>
      <c r="X669" s="64"/>
      <c r="Y669" s="64"/>
      <c r="Z669" s="64"/>
      <c r="AA669" s="64"/>
      <c r="AB669" s="64"/>
      <c r="AC669" s="64"/>
      <c r="AD669" s="64"/>
      <c r="AE669" s="64"/>
      <c r="AF669" s="64"/>
      <c r="AG669" s="64"/>
      <c r="AH669" s="64"/>
      <c r="AI669" s="64"/>
      <c r="AJ669" s="64"/>
    </row>
    <row r="670">
      <c r="A670" s="64"/>
      <c r="B670" s="64"/>
      <c r="C670" s="64"/>
      <c r="D670" s="64"/>
      <c r="E670" s="64"/>
      <c r="F670" s="64"/>
      <c r="G670" s="64"/>
      <c r="H670" s="64"/>
      <c r="I670" s="64"/>
      <c r="J670" s="64"/>
      <c r="K670" s="64"/>
      <c r="L670" s="64"/>
      <c r="M670" s="60"/>
      <c r="N670" s="60"/>
      <c r="O670" s="60"/>
      <c r="P670" s="60"/>
      <c r="Q670" s="64"/>
      <c r="R670" s="64"/>
      <c r="S670" s="64"/>
      <c r="T670" s="64"/>
      <c r="U670" s="64"/>
      <c r="V670" s="64"/>
      <c r="W670" s="64"/>
      <c r="X670" s="64"/>
      <c r="Y670" s="64"/>
      <c r="Z670" s="64"/>
      <c r="AA670" s="64"/>
      <c r="AB670" s="64"/>
      <c r="AC670" s="64"/>
      <c r="AD670" s="64"/>
      <c r="AE670" s="64"/>
      <c r="AF670" s="64"/>
      <c r="AG670" s="64"/>
      <c r="AH670" s="64"/>
      <c r="AI670" s="64"/>
      <c r="AJ670" s="64"/>
    </row>
    <row r="671">
      <c r="A671" s="64"/>
      <c r="B671" s="64"/>
      <c r="C671" s="64"/>
      <c r="D671" s="64"/>
      <c r="E671" s="64"/>
      <c r="F671" s="64"/>
      <c r="G671" s="64"/>
      <c r="H671" s="64"/>
      <c r="I671" s="64"/>
      <c r="J671" s="64"/>
      <c r="K671" s="64"/>
      <c r="L671" s="64"/>
      <c r="M671" s="60"/>
      <c r="N671" s="60"/>
      <c r="O671" s="60"/>
      <c r="P671" s="60"/>
      <c r="Q671" s="64"/>
      <c r="R671" s="64"/>
      <c r="S671" s="64"/>
      <c r="T671" s="64"/>
      <c r="U671" s="64"/>
      <c r="V671" s="64"/>
      <c r="W671" s="64"/>
      <c r="X671" s="64"/>
      <c r="Y671" s="64"/>
      <c r="Z671" s="64"/>
      <c r="AA671" s="64"/>
      <c r="AB671" s="64"/>
      <c r="AC671" s="64"/>
      <c r="AD671" s="64"/>
      <c r="AE671" s="64"/>
      <c r="AF671" s="64"/>
      <c r="AG671" s="64"/>
      <c r="AH671" s="64"/>
      <c r="AI671" s="64"/>
      <c r="AJ671" s="64"/>
    </row>
    <row r="672">
      <c r="A672" s="64"/>
      <c r="B672" s="64"/>
      <c r="C672" s="64"/>
      <c r="D672" s="64"/>
      <c r="E672" s="64"/>
      <c r="F672" s="64"/>
      <c r="G672" s="64"/>
      <c r="H672" s="64"/>
      <c r="I672" s="64"/>
      <c r="J672" s="64"/>
      <c r="K672" s="64"/>
      <c r="L672" s="64"/>
      <c r="M672" s="60"/>
      <c r="N672" s="60"/>
      <c r="O672" s="60"/>
      <c r="P672" s="60"/>
      <c r="Q672" s="64"/>
      <c r="R672" s="64"/>
      <c r="S672" s="64"/>
      <c r="T672" s="64"/>
      <c r="U672" s="64"/>
      <c r="V672" s="64"/>
      <c r="W672" s="64"/>
      <c r="X672" s="64"/>
      <c r="Y672" s="64"/>
      <c r="Z672" s="64"/>
      <c r="AA672" s="64"/>
      <c r="AB672" s="64"/>
      <c r="AC672" s="64"/>
      <c r="AD672" s="64"/>
      <c r="AE672" s="64"/>
      <c r="AF672" s="64"/>
      <c r="AG672" s="64"/>
      <c r="AH672" s="64"/>
      <c r="AI672" s="64"/>
      <c r="AJ672" s="64"/>
    </row>
    <row r="673">
      <c r="A673" s="64"/>
      <c r="B673" s="64"/>
      <c r="C673" s="64"/>
      <c r="D673" s="64"/>
      <c r="E673" s="64"/>
      <c r="F673" s="64"/>
      <c r="G673" s="64"/>
      <c r="H673" s="64"/>
      <c r="I673" s="64"/>
      <c r="J673" s="64"/>
      <c r="K673" s="64"/>
      <c r="L673" s="64"/>
      <c r="M673" s="60"/>
      <c r="N673" s="60"/>
      <c r="O673" s="60"/>
      <c r="P673" s="60"/>
      <c r="Q673" s="64"/>
      <c r="R673" s="64"/>
      <c r="S673" s="64"/>
      <c r="T673" s="64"/>
      <c r="U673" s="64"/>
      <c r="V673" s="64"/>
      <c r="W673" s="64"/>
      <c r="X673" s="64"/>
      <c r="Y673" s="64"/>
      <c r="Z673" s="64"/>
      <c r="AA673" s="64"/>
      <c r="AB673" s="64"/>
      <c r="AC673" s="64"/>
      <c r="AD673" s="64"/>
      <c r="AE673" s="64"/>
      <c r="AF673" s="64"/>
      <c r="AG673" s="64"/>
      <c r="AH673" s="64"/>
      <c r="AI673" s="64"/>
      <c r="AJ673" s="64"/>
    </row>
    <row r="674">
      <c r="A674" s="64"/>
      <c r="B674" s="64"/>
      <c r="C674" s="64"/>
      <c r="D674" s="64"/>
      <c r="E674" s="64"/>
      <c r="F674" s="64"/>
      <c r="G674" s="64"/>
      <c r="H674" s="64"/>
      <c r="I674" s="64"/>
      <c r="J674" s="64"/>
      <c r="K674" s="64"/>
      <c r="L674" s="64"/>
      <c r="M674" s="60"/>
      <c r="N674" s="60"/>
      <c r="O674" s="60"/>
      <c r="P674" s="60"/>
      <c r="Q674" s="64"/>
      <c r="R674" s="64"/>
      <c r="S674" s="64"/>
      <c r="T674" s="64"/>
      <c r="U674" s="64"/>
      <c r="V674" s="64"/>
      <c r="W674" s="64"/>
      <c r="X674" s="64"/>
      <c r="Y674" s="64"/>
      <c r="Z674" s="64"/>
      <c r="AA674" s="64"/>
      <c r="AB674" s="64"/>
      <c r="AC674" s="64"/>
      <c r="AD674" s="64"/>
      <c r="AE674" s="64"/>
      <c r="AF674" s="64"/>
      <c r="AG674" s="64"/>
      <c r="AH674" s="64"/>
      <c r="AI674" s="64"/>
      <c r="AJ674" s="64"/>
    </row>
    <row r="675">
      <c r="A675" s="64"/>
      <c r="B675" s="64"/>
      <c r="C675" s="64"/>
      <c r="D675" s="64"/>
      <c r="E675" s="64"/>
      <c r="F675" s="64"/>
      <c r="G675" s="64"/>
      <c r="H675" s="64"/>
      <c r="I675" s="64"/>
      <c r="J675" s="64"/>
      <c r="K675" s="64"/>
      <c r="L675" s="64"/>
      <c r="M675" s="60"/>
      <c r="N675" s="60"/>
      <c r="O675" s="60"/>
      <c r="P675" s="60"/>
      <c r="Q675" s="64"/>
      <c r="R675" s="64"/>
      <c r="S675" s="64"/>
      <c r="T675" s="64"/>
      <c r="U675" s="64"/>
      <c r="V675" s="64"/>
      <c r="W675" s="64"/>
      <c r="X675" s="64"/>
      <c r="Y675" s="64"/>
      <c r="Z675" s="64"/>
      <c r="AA675" s="64"/>
      <c r="AB675" s="64"/>
      <c r="AC675" s="64"/>
      <c r="AD675" s="64"/>
      <c r="AE675" s="64"/>
      <c r="AF675" s="64"/>
      <c r="AG675" s="64"/>
      <c r="AH675" s="64"/>
      <c r="AI675" s="64"/>
      <c r="AJ675" s="64"/>
    </row>
    <row r="676">
      <c r="A676" s="64"/>
      <c r="B676" s="64"/>
      <c r="C676" s="64"/>
      <c r="D676" s="64"/>
      <c r="E676" s="64"/>
      <c r="F676" s="64"/>
      <c r="G676" s="64"/>
      <c r="H676" s="64"/>
      <c r="I676" s="64"/>
      <c r="J676" s="64"/>
      <c r="K676" s="64"/>
      <c r="L676" s="64"/>
      <c r="M676" s="60"/>
      <c r="N676" s="60"/>
      <c r="O676" s="60"/>
      <c r="P676" s="60"/>
      <c r="Q676" s="64"/>
      <c r="R676" s="64"/>
      <c r="S676" s="64"/>
      <c r="T676" s="64"/>
      <c r="U676" s="64"/>
      <c r="V676" s="64"/>
      <c r="W676" s="64"/>
      <c r="X676" s="64"/>
      <c r="Y676" s="64"/>
      <c r="Z676" s="64"/>
      <c r="AA676" s="64"/>
      <c r="AB676" s="64"/>
      <c r="AC676" s="64"/>
      <c r="AD676" s="64"/>
      <c r="AE676" s="64"/>
      <c r="AF676" s="64"/>
      <c r="AG676" s="64"/>
      <c r="AH676" s="64"/>
      <c r="AI676" s="64"/>
      <c r="AJ676" s="64"/>
    </row>
    <row r="677">
      <c r="A677" s="64"/>
      <c r="B677" s="64"/>
      <c r="C677" s="64"/>
      <c r="D677" s="64"/>
      <c r="E677" s="64"/>
      <c r="F677" s="64"/>
      <c r="G677" s="64"/>
      <c r="H677" s="64"/>
      <c r="I677" s="64"/>
      <c r="J677" s="64"/>
      <c r="K677" s="64"/>
      <c r="L677" s="64"/>
      <c r="M677" s="60"/>
      <c r="N677" s="60"/>
      <c r="O677" s="60"/>
      <c r="P677" s="60"/>
      <c r="Q677" s="64"/>
      <c r="R677" s="64"/>
      <c r="S677" s="64"/>
      <c r="T677" s="64"/>
      <c r="U677" s="64"/>
      <c r="V677" s="64"/>
      <c r="W677" s="64"/>
      <c r="X677" s="64"/>
      <c r="Y677" s="64"/>
      <c r="Z677" s="64"/>
      <c r="AA677" s="64"/>
      <c r="AB677" s="64"/>
      <c r="AC677" s="64"/>
      <c r="AD677" s="64"/>
      <c r="AE677" s="64"/>
      <c r="AF677" s="64"/>
      <c r="AG677" s="64"/>
      <c r="AH677" s="64"/>
      <c r="AI677" s="64"/>
      <c r="AJ677" s="64"/>
    </row>
    <row r="678">
      <c r="A678" s="64"/>
      <c r="B678" s="64"/>
      <c r="C678" s="64"/>
      <c r="D678" s="64"/>
      <c r="E678" s="64"/>
      <c r="F678" s="64"/>
      <c r="G678" s="64"/>
      <c r="H678" s="64"/>
      <c r="I678" s="64"/>
      <c r="J678" s="64"/>
      <c r="K678" s="64"/>
      <c r="L678" s="64"/>
      <c r="M678" s="60"/>
      <c r="N678" s="60"/>
      <c r="O678" s="60"/>
      <c r="P678" s="60"/>
      <c r="Q678" s="64"/>
      <c r="R678" s="64"/>
      <c r="S678" s="64"/>
      <c r="T678" s="64"/>
      <c r="U678" s="64"/>
      <c r="V678" s="64"/>
      <c r="W678" s="64"/>
      <c r="X678" s="64"/>
      <c r="Y678" s="64"/>
      <c r="Z678" s="64"/>
      <c r="AA678" s="64"/>
      <c r="AB678" s="64"/>
      <c r="AC678" s="64"/>
      <c r="AD678" s="64"/>
      <c r="AE678" s="64"/>
      <c r="AF678" s="64"/>
      <c r="AG678" s="64"/>
      <c r="AH678" s="64"/>
      <c r="AI678" s="64"/>
      <c r="AJ678" s="64"/>
    </row>
    <row r="679">
      <c r="A679" s="64"/>
      <c r="B679" s="64"/>
      <c r="C679" s="64"/>
      <c r="D679" s="64"/>
      <c r="E679" s="64"/>
      <c r="F679" s="64"/>
      <c r="G679" s="64"/>
      <c r="H679" s="64"/>
      <c r="I679" s="64"/>
      <c r="J679" s="64"/>
      <c r="K679" s="64"/>
      <c r="L679" s="64"/>
      <c r="M679" s="60"/>
      <c r="N679" s="60"/>
      <c r="O679" s="60"/>
      <c r="P679" s="60"/>
      <c r="Q679" s="64"/>
      <c r="R679" s="64"/>
      <c r="S679" s="64"/>
      <c r="T679" s="64"/>
      <c r="U679" s="64"/>
      <c r="V679" s="64"/>
      <c r="W679" s="64"/>
      <c r="X679" s="64"/>
      <c r="Y679" s="64"/>
      <c r="Z679" s="64"/>
      <c r="AA679" s="64"/>
      <c r="AB679" s="64"/>
      <c r="AC679" s="64"/>
      <c r="AD679" s="64"/>
      <c r="AE679" s="64"/>
      <c r="AF679" s="64"/>
      <c r="AG679" s="64"/>
      <c r="AH679" s="64"/>
      <c r="AI679" s="64"/>
      <c r="AJ679" s="64"/>
    </row>
    <row r="680">
      <c r="A680" s="64"/>
      <c r="B680" s="64"/>
      <c r="C680" s="64"/>
      <c r="D680" s="64"/>
      <c r="E680" s="64"/>
      <c r="F680" s="64"/>
      <c r="G680" s="64"/>
      <c r="H680" s="64"/>
      <c r="I680" s="64"/>
      <c r="J680" s="64"/>
      <c r="K680" s="64"/>
      <c r="L680" s="64"/>
      <c r="M680" s="60"/>
      <c r="N680" s="60"/>
      <c r="O680" s="60"/>
      <c r="P680" s="60"/>
      <c r="Q680" s="64"/>
      <c r="R680" s="64"/>
      <c r="S680" s="64"/>
      <c r="T680" s="64"/>
      <c r="U680" s="64"/>
      <c r="V680" s="64"/>
      <c r="W680" s="64"/>
      <c r="X680" s="64"/>
      <c r="Y680" s="64"/>
      <c r="Z680" s="64"/>
      <c r="AA680" s="64"/>
      <c r="AB680" s="64"/>
      <c r="AC680" s="64"/>
      <c r="AD680" s="64"/>
      <c r="AE680" s="64"/>
      <c r="AF680" s="64"/>
      <c r="AG680" s="64"/>
      <c r="AH680" s="64"/>
      <c r="AI680" s="64"/>
      <c r="AJ680" s="64"/>
    </row>
    <row r="681">
      <c r="A681" s="64"/>
      <c r="B681" s="64"/>
      <c r="C681" s="64"/>
      <c r="D681" s="64"/>
      <c r="E681" s="64"/>
      <c r="F681" s="64"/>
      <c r="G681" s="64"/>
      <c r="H681" s="64"/>
      <c r="I681" s="64"/>
      <c r="J681" s="64"/>
      <c r="K681" s="64"/>
      <c r="L681" s="64"/>
      <c r="M681" s="60"/>
      <c r="N681" s="60"/>
      <c r="O681" s="60"/>
      <c r="P681" s="60"/>
      <c r="Q681" s="64"/>
      <c r="R681" s="64"/>
      <c r="S681" s="64"/>
      <c r="T681" s="64"/>
      <c r="U681" s="64"/>
      <c r="V681" s="64"/>
      <c r="W681" s="64"/>
      <c r="X681" s="64"/>
      <c r="Y681" s="64"/>
      <c r="Z681" s="64"/>
      <c r="AA681" s="64"/>
      <c r="AB681" s="64"/>
      <c r="AC681" s="64"/>
      <c r="AD681" s="64"/>
      <c r="AE681" s="64"/>
      <c r="AF681" s="64"/>
      <c r="AG681" s="64"/>
      <c r="AH681" s="64"/>
      <c r="AI681" s="64"/>
      <c r="AJ681" s="64"/>
    </row>
    <row r="682">
      <c r="A682" s="64"/>
      <c r="B682" s="64"/>
      <c r="C682" s="64"/>
      <c r="D682" s="64"/>
      <c r="E682" s="64"/>
      <c r="F682" s="64"/>
      <c r="G682" s="64"/>
      <c r="H682" s="64"/>
      <c r="I682" s="64"/>
      <c r="J682" s="64"/>
      <c r="K682" s="64"/>
      <c r="L682" s="64"/>
      <c r="M682" s="60"/>
      <c r="N682" s="60"/>
      <c r="O682" s="60"/>
      <c r="P682" s="60"/>
      <c r="Q682" s="64"/>
      <c r="R682" s="64"/>
      <c r="S682" s="64"/>
      <c r="T682" s="64"/>
      <c r="U682" s="64"/>
      <c r="V682" s="64"/>
      <c r="W682" s="64"/>
      <c r="X682" s="64"/>
      <c r="Y682" s="64"/>
      <c r="Z682" s="64"/>
      <c r="AA682" s="64"/>
      <c r="AB682" s="64"/>
      <c r="AC682" s="64"/>
      <c r="AD682" s="64"/>
      <c r="AE682" s="64"/>
      <c r="AF682" s="64"/>
      <c r="AG682" s="64"/>
      <c r="AH682" s="64"/>
      <c r="AI682" s="64"/>
      <c r="AJ682" s="64"/>
    </row>
    <row r="683">
      <c r="A683" s="64"/>
      <c r="B683" s="64"/>
      <c r="C683" s="64"/>
      <c r="D683" s="64"/>
      <c r="E683" s="64"/>
      <c r="F683" s="64"/>
      <c r="G683" s="64"/>
      <c r="H683" s="64"/>
      <c r="I683" s="64"/>
      <c r="J683" s="64"/>
      <c r="K683" s="64"/>
      <c r="L683" s="64"/>
      <c r="M683" s="60"/>
      <c r="N683" s="60"/>
      <c r="O683" s="60"/>
      <c r="P683" s="60"/>
      <c r="Q683" s="64"/>
      <c r="R683" s="64"/>
      <c r="S683" s="64"/>
      <c r="T683" s="64"/>
      <c r="U683" s="64"/>
      <c r="V683" s="64"/>
      <c r="W683" s="64"/>
      <c r="X683" s="64"/>
      <c r="Y683" s="64"/>
      <c r="Z683" s="64"/>
      <c r="AA683" s="64"/>
      <c r="AB683" s="64"/>
      <c r="AC683" s="64"/>
      <c r="AD683" s="64"/>
      <c r="AE683" s="64"/>
      <c r="AF683" s="64"/>
      <c r="AG683" s="64"/>
      <c r="AH683" s="64"/>
      <c r="AI683" s="64"/>
      <c r="AJ683" s="64"/>
    </row>
    <row r="684">
      <c r="A684" s="64"/>
      <c r="B684" s="64"/>
      <c r="C684" s="64"/>
      <c r="D684" s="64"/>
      <c r="E684" s="64"/>
      <c r="F684" s="64"/>
      <c r="G684" s="64"/>
      <c r="H684" s="64"/>
      <c r="I684" s="64"/>
      <c r="J684" s="64"/>
      <c r="K684" s="64"/>
      <c r="L684" s="64"/>
      <c r="M684" s="60"/>
      <c r="N684" s="60"/>
      <c r="O684" s="60"/>
      <c r="P684" s="60"/>
      <c r="Q684" s="64"/>
      <c r="R684" s="64"/>
      <c r="S684" s="64"/>
      <c r="T684" s="64"/>
      <c r="U684" s="64"/>
      <c r="V684" s="64"/>
      <c r="W684" s="64"/>
      <c r="X684" s="64"/>
      <c r="Y684" s="64"/>
      <c r="Z684" s="64"/>
      <c r="AA684" s="64"/>
      <c r="AB684" s="64"/>
      <c r="AC684" s="64"/>
      <c r="AD684" s="64"/>
      <c r="AE684" s="64"/>
      <c r="AF684" s="64"/>
      <c r="AG684" s="64"/>
      <c r="AH684" s="64"/>
      <c r="AI684" s="64"/>
      <c r="AJ684" s="64"/>
    </row>
    <row r="685">
      <c r="A685" s="64"/>
      <c r="B685" s="64"/>
      <c r="C685" s="64"/>
      <c r="D685" s="64"/>
      <c r="E685" s="64"/>
      <c r="F685" s="64"/>
      <c r="G685" s="64"/>
      <c r="H685" s="64"/>
      <c r="I685" s="64"/>
      <c r="J685" s="64"/>
      <c r="K685" s="64"/>
      <c r="L685" s="64"/>
      <c r="M685" s="60"/>
      <c r="N685" s="60"/>
      <c r="O685" s="60"/>
      <c r="P685" s="60"/>
      <c r="Q685" s="64"/>
      <c r="R685" s="64"/>
      <c r="S685" s="64"/>
      <c r="T685" s="64"/>
      <c r="U685" s="64"/>
      <c r="V685" s="64"/>
      <c r="W685" s="64"/>
      <c r="X685" s="64"/>
      <c r="Y685" s="64"/>
      <c r="Z685" s="64"/>
      <c r="AA685" s="64"/>
      <c r="AB685" s="64"/>
      <c r="AC685" s="64"/>
      <c r="AD685" s="64"/>
      <c r="AE685" s="64"/>
      <c r="AF685" s="64"/>
      <c r="AG685" s="64"/>
      <c r="AH685" s="64"/>
      <c r="AI685" s="64"/>
      <c r="AJ685" s="64"/>
    </row>
    <row r="686">
      <c r="A686" s="64"/>
      <c r="B686" s="64"/>
      <c r="C686" s="64"/>
      <c r="D686" s="64"/>
      <c r="E686" s="64"/>
      <c r="F686" s="64"/>
      <c r="G686" s="64"/>
      <c r="H686" s="64"/>
      <c r="I686" s="64"/>
      <c r="J686" s="64"/>
      <c r="K686" s="64"/>
      <c r="L686" s="64"/>
      <c r="M686" s="60"/>
      <c r="N686" s="60"/>
      <c r="O686" s="60"/>
      <c r="P686" s="60"/>
      <c r="Q686" s="64"/>
      <c r="R686" s="64"/>
      <c r="S686" s="64"/>
      <c r="T686" s="64"/>
      <c r="U686" s="64"/>
      <c r="V686" s="64"/>
      <c r="W686" s="64"/>
      <c r="X686" s="64"/>
      <c r="Y686" s="64"/>
      <c r="Z686" s="64"/>
      <c r="AA686" s="64"/>
      <c r="AB686" s="64"/>
      <c r="AC686" s="64"/>
      <c r="AD686" s="64"/>
      <c r="AE686" s="64"/>
      <c r="AF686" s="64"/>
      <c r="AG686" s="64"/>
      <c r="AH686" s="64"/>
      <c r="AI686" s="64"/>
      <c r="AJ686" s="64"/>
    </row>
    <row r="687">
      <c r="A687" s="64"/>
      <c r="B687" s="64"/>
      <c r="C687" s="64"/>
      <c r="D687" s="64"/>
      <c r="E687" s="64"/>
      <c r="F687" s="64"/>
      <c r="G687" s="64"/>
      <c r="H687" s="64"/>
      <c r="I687" s="64"/>
      <c r="J687" s="64"/>
      <c r="K687" s="64"/>
      <c r="L687" s="64"/>
      <c r="M687" s="60"/>
      <c r="N687" s="60"/>
      <c r="O687" s="60"/>
      <c r="P687" s="60"/>
      <c r="Q687" s="64"/>
      <c r="R687" s="64"/>
      <c r="S687" s="64"/>
      <c r="T687" s="64"/>
      <c r="U687" s="64"/>
      <c r="V687" s="64"/>
      <c r="W687" s="64"/>
      <c r="X687" s="64"/>
      <c r="Y687" s="64"/>
      <c r="Z687" s="64"/>
      <c r="AA687" s="64"/>
      <c r="AB687" s="64"/>
      <c r="AC687" s="64"/>
      <c r="AD687" s="64"/>
      <c r="AE687" s="64"/>
      <c r="AF687" s="64"/>
      <c r="AG687" s="64"/>
      <c r="AH687" s="64"/>
      <c r="AI687" s="64"/>
      <c r="AJ687" s="64"/>
    </row>
    <row r="688">
      <c r="A688" s="64"/>
      <c r="B688" s="64"/>
      <c r="C688" s="64"/>
      <c r="D688" s="64"/>
      <c r="E688" s="64"/>
      <c r="F688" s="64"/>
      <c r="G688" s="64"/>
      <c r="H688" s="64"/>
      <c r="I688" s="64"/>
      <c r="J688" s="64"/>
      <c r="K688" s="64"/>
      <c r="L688" s="64"/>
      <c r="M688" s="60"/>
      <c r="N688" s="60"/>
      <c r="O688" s="60"/>
      <c r="P688" s="60"/>
      <c r="Q688" s="64"/>
      <c r="R688" s="64"/>
      <c r="S688" s="64"/>
      <c r="T688" s="64"/>
      <c r="U688" s="64"/>
      <c r="V688" s="64"/>
      <c r="W688" s="64"/>
      <c r="X688" s="64"/>
      <c r="Y688" s="64"/>
      <c r="Z688" s="64"/>
      <c r="AA688" s="64"/>
      <c r="AB688" s="64"/>
      <c r="AC688" s="64"/>
      <c r="AD688" s="64"/>
      <c r="AE688" s="64"/>
      <c r="AF688" s="64"/>
      <c r="AG688" s="64"/>
      <c r="AH688" s="64"/>
      <c r="AI688" s="64"/>
      <c r="AJ688" s="64"/>
    </row>
    <row r="689">
      <c r="A689" s="64"/>
      <c r="B689" s="64"/>
      <c r="C689" s="64"/>
      <c r="D689" s="64"/>
      <c r="E689" s="64"/>
      <c r="F689" s="64"/>
      <c r="G689" s="64"/>
      <c r="H689" s="64"/>
      <c r="I689" s="64"/>
      <c r="J689" s="64"/>
      <c r="K689" s="64"/>
      <c r="L689" s="64"/>
      <c r="M689" s="60"/>
      <c r="N689" s="60"/>
      <c r="O689" s="60"/>
      <c r="P689" s="60"/>
      <c r="Q689" s="64"/>
      <c r="R689" s="64"/>
      <c r="S689" s="64"/>
      <c r="T689" s="64"/>
      <c r="U689" s="64"/>
      <c r="V689" s="64"/>
      <c r="W689" s="64"/>
      <c r="X689" s="64"/>
      <c r="Y689" s="64"/>
      <c r="Z689" s="64"/>
      <c r="AA689" s="64"/>
      <c r="AB689" s="64"/>
      <c r="AC689" s="64"/>
      <c r="AD689" s="64"/>
      <c r="AE689" s="64"/>
      <c r="AF689" s="64"/>
      <c r="AG689" s="64"/>
      <c r="AH689" s="64"/>
      <c r="AI689" s="64"/>
      <c r="AJ689" s="64"/>
    </row>
    <row r="690">
      <c r="A690" s="64"/>
      <c r="B690" s="64"/>
      <c r="C690" s="64"/>
      <c r="D690" s="64"/>
      <c r="E690" s="64"/>
      <c r="F690" s="64"/>
      <c r="G690" s="64"/>
      <c r="H690" s="64"/>
      <c r="I690" s="64"/>
      <c r="J690" s="64"/>
      <c r="K690" s="64"/>
      <c r="L690" s="64"/>
      <c r="M690" s="60"/>
      <c r="N690" s="60"/>
      <c r="O690" s="60"/>
      <c r="P690" s="60"/>
      <c r="Q690" s="64"/>
      <c r="R690" s="64"/>
      <c r="S690" s="64"/>
      <c r="T690" s="64"/>
      <c r="U690" s="64"/>
      <c r="V690" s="64"/>
      <c r="W690" s="64"/>
      <c r="X690" s="64"/>
      <c r="Y690" s="64"/>
      <c r="Z690" s="64"/>
      <c r="AA690" s="64"/>
      <c r="AB690" s="64"/>
      <c r="AC690" s="64"/>
      <c r="AD690" s="64"/>
      <c r="AE690" s="64"/>
      <c r="AF690" s="64"/>
      <c r="AG690" s="64"/>
      <c r="AH690" s="64"/>
      <c r="AI690" s="64"/>
      <c r="AJ690" s="64"/>
    </row>
    <row r="691">
      <c r="A691" s="64"/>
      <c r="B691" s="64"/>
      <c r="C691" s="64"/>
      <c r="D691" s="64"/>
      <c r="E691" s="64"/>
      <c r="F691" s="64"/>
      <c r="G691" s="64"/>
      <c r="H691" s="64"/>
      <c r="I691" s="64"/>
      <c r="J691" s="64"/>
      <c r="K691" s="64"/>
      <c r="L691" s="64"/>
      <c r="M691" s="60"/>
      <c r="N691" s="60"/>
      <c r="O691" s="60"/>
      <c r="P691" s="60"/>
      <c r="Q691" s="64"/>
      <c r="R691" s="64"/>
      <c r="S691" s="64"/>
      <c r="T691" s="64"/>
      <c r="U691" s="64"/>
      <c r="V691" s="64"/>
      <c r="W691" s="64"/>
      <c r="X691" s="64"/>
      <c r="Y691" s="64"/>
      <c r="Z691" s="64"/>
      <c r="AA691" s="64"/>
      <c r="AB691" s="64"/>
      <c r="AC691" s="64"/>
      <c r="AD691" s="64"/>
      <c r="AE691" s="64"/>
      <c r="AF691" s="64"/>
      <c r="AG691" s="64"/>
      <c r="AH691" s="64"/>
      <c r="AI691" s="64"/>
      <c r="AJ691" s="64"/>
    </row>
    <row r="692">
      <c r="A692" s="64"/>
      <c r="B692" s="64"/>
      <c r="C692" s="64"/>
      <c r="D692" s="64"/>
      <c r="E692" s="64"/>
      <c r="F692" s="64"/>
      <c r="G692" s="64"/>
      <c r="H692" s="64"/>
      <c r="I692" s="64"/>
      <c r="J692" s="64"/>
      <c r="K692" s="64"/>
      <c r="L692" s="64"/>
      <c r="M692" s="60"/>
      <c r="N692" s="60"/>
      <c r="O692" s="60"/>
      <c r="P692" s="60"/>
      <c r="Q692" s="64"/>
      <c r="R692" s="64"/>
      <c r="S692" s="64"/>
      <c r="T692" s="64"/>
      <c r="U692" s="64"/>
      <c r="V692" s="64"/>
      <c r="W692" s="64"/>
      <c r="X692" s="64"/>
      <c r="Y692" s="64"/>
      <c r="Z692" s="64"/>
      <c r="AA692" s="64"/>
      <c r="AB692" s="64"/>
      <c r="AC692" s="64"/>
      <c r="AD692" s="64"/>
      <c r="AE692" s="64"/>
      <c r="AF692" s="64"/>
      <c r="AG692" s="64"/>
      <c r="AH692" s="64"/>
      <c r="AI692" s="64"/>
      <c r="AJ692" s="64"/>
    </row>
    <row r="693">
      <c r="A693" s="64"/>
      <c r="B693" s="64"/>
      <c r="C693" s="64"/>
      <c r="D693" s="64"/>
      <c r="E693" s="64"/>
      <c r="F693" s="64"/>
      <c r="G693" s="64"/>
      <c r="H693" s="64"/>
      <c r="I693" s="64"/>
      <c r="J693" s="64"/>
      <c r="K693" s="64"/>
      <c r="L693" s="64"/>
      <c r="M693" s="60"/>
      <c r="N693" s="60"/>
      <c r="O693" s="60"/>
      <c r="P693" s="60"/>
      <c r="Q693" s="64"/>
      <c r="R693" s="64"/>
      <c r="S693" s="64"/>
      <c r="T693" s="64"/>
      <c r="U693" s="64"/>
      <c r="V693" s="64"/>
      <c r="W693" s="64"/>
      <c r="X693" s="64"/>
      <c r="Y693" s="64"/>
      <c r="Z693" s="64"/>
      <c r="AA693" s="64"/>
      <c r="AB693" s="64"/>
      <c r="AC693" s="64"/>
      <c r="AD693" s="64"/>
      <c r="AE693" s="64"/>
      <c r="AF693" s="64"/>
      <c r="AG693" s="64"/>
      <c r="AH693" s="64"/>
      <c r="AI693" s="64"/>
      <c r="AJ693" s="64"/>
    </row>
    <row r="694">
      <c r="A694" s="64"/>
      <c r="B694" s="64"/>
      <c r="C694" s="64"/>
      <c r="D694" s="64"/>
      <c r="E694" s="64"/>
      <c r="F694" s="64"/>
      <c r="G694" s="64"/>
      <c r="H694" s="64"/>
      <c r="I694" s="64"/>
      <c r="J694" s="64"/>
      <c r="K694" s="64"/>
      <c r="L694" s="64"/>
      <c r="M694" s="60"/>
      <c r="N694" s="60"/>
      <c r="O694" s="60"/>
      <c r="P694" s="60"/>
      <c r="Q694" s="64"/>
      <c r="R694" s="64"/>
      <c r="S694" s="64"/>
      <c r="T694" s="64"/>
      <c r="U694" s="64"/>
      <c r="V694" s="64"/>
      <c r="W694" s="64"/>
      <c r="X694" s="64"/>
      <c r="Y694" s="64"/>
      <c r="Z694" s="64"/>
      <c r="AA694" s="64"/>
      <c r="AB694" s="64"/>
      <c r="AC694" s="64"/>
      <c r="AD694" s="64"/>
      <c r="AE694" s="64"/>
      <c r="AF694" s="64"/>
      <c r="AG694" s="64"/>
      <c r="AH694" s="64"/>
      <c r="AI694" s="64"/>
      <c r="AJ694" s="64"/>
    </row>
    <row r="695">
      <c r="A695" s="64"/>
      <c r="B695" s="64"/>
      <c r="C695" s="64"/>
      <c r="D695" s="64"/>
      <c r="E695" s="64"/>
      <c r="F695" s="64"/>
      <c r="G695" s="64"/>
      <c r="H695" s="64"/>
      <c r="I695" s="64"/>
      <c r="J695" s="64"/>
      <c r="K695" s="64"/>
      <c r="L695" s="64"/>
      <c r="M695" s="60"/>
      <c r="N695" s="60"/>
      <c r="O695" s="60"/>
      <c r="P695" s="60"/>
      <c r="Q695" s="64"/>
      <c r="R695" s="64"/>
      <c r="S695" s="64"/>
      <c r="T695" s="64"/>
      <c r="U695" s="64"/>
      <c r="V695" s="64"/>
      <c r="W695" s="64"/>
      <c r="X695" s="64"/>
      <c r="Y695" s="64"/>
      <c r="Z695" s="64"/>
      <c r="AA695" s="64"/>
      <c r="AB695" s="64"/>
      <c r="AC695" s="64"/>
      <c r="AD695" s="64"/>
      <c r="AE695" s="64"/>
      <c r="AF695" s="64"/>
      <c r="AG695" s="64"/>
      <c r="AH695" s="64"/>
      <c r="AI695" s="64"/>
      <c r="AJ695" s="64"/>
    </row>
    <row r="696">
      <c r="A696" s="64"/>
      <c r="B696" s="64"/>
      <c r="C696" s="64"/>
      <c r="D696" s="64"/>
      <c r="E696" s="64"/>
      <c r="F696" s="64"/>
      <c r="G696" s="64"/>
      <c r="H696" s="64"/>
      <c r="I696" s="64"/>
      <c r="J696" s="64"/>
      <c r="K696" s="64"/>
      <c r="L696" s="64"/>
      <c r="M696" s="60"/>
      <c r="N696" s="60"/>
      <c r="O696" s="60"/>
      <c r="P696" s="60"/>
      <c r="Q696" s="64"/>
      <c r="R696" s="64"/>
      <c r="S696" s="64"/>
      <c r="T696" s="64"/>
      <c r="U696" s="64"/>
      <c r="V696" s="64"/>
      <c r="W696" s="64"/>
      <c r="X696" s="64"/>
      <c r="Y696" s="64"/>
      <c r="Z696" s="64"/>
      <c r="AA696" s="64"/>
      <c r="AB696" s="64"/>
      <c r="AC696" s="64"/>
      <c r="AD696" s="64"/>
      <c r="AE696" s="64"/>
      <c r="AF696" s="64"/>
      <c r="AG696" s="64"/>
      <c r="AH696" s="64"/>
      <c r="AI696" s="64"/>
      <c r="AJ696" s="64"/>
    </row>
    <row r="697">
      <c r="A697" s="64"/>
      <c r="B697" s="64"/>
      <c r="C697" s="64"/>
      <c r="D697" s="64"/>
      <c r="E697" s="64"/>
      <c r="F697" s="64"/>
      <c r="G697" s="64"/>
      <c r="H697" s="64"/>
      <c r="I697" s="64"/>
      <c r="J697" s="64"/>
      <c r="K697" s="64"/>
      <c r="L697" s="64"/>
      <c r="M697" s="60"/>
      <c r="N697" s="60"/>
      <c r="O697" s="60"/>
      <c r="P697" s="60"/>
      <c r="Q697" s="64"/>
      <c r="R697" s="64"/>
      <c r="S697" s="64"/>
      <c r="T697" s="64"/>
      <c r="U697" s="64"/>
      <c r="V697" s="64"/>
      <c r="W697" s="64"/>
      <c r="X697" s="64"/>
      <c r="Y697" s="64"/>
      <c r="Z697" s="64"/>
      <c r="AA697" s="64"/>
      <c r="AB697" s="64"/>
      <c r="AC697" s="64"/>
      <c r="AD697" s="64"/>
      <c r="AE697" s="64"/>
      <c r="AF697" s="64"/>
      <c r="AG697" s="64"/>
      <c r="AH697" s="64"/>
      <c r="AI697" s="64"/>
      <c r="AJ697" s="64"/>
    </row>
    <row r="698">
      <c r="A698" s="64"/>
      <c r="B698" s="64"/>
      <c r="C698" s="64"/>
      <c r="D698" s="64"/>
      <c r="E698" s="64"/>
      <c r="F698" s="64"/>
      <c r="G698" s="64"/>
      <c r="H698" s="64"/>
      <c r="I698" s="64"/>
      <c r="J698" s="64"/>
      <c r="K698" s="64"/>
      <c r="L698" s="64"/>
      <c r="M698" s="60"/>
      <c r="N698" s="60"/>
      <c r="O698" s="60"/>
      <c r="P698" s="60"/>
      <c r="Q698" s="64"/>
      <c r="R698" s="64"/>
      <c r="S698" s="64"/>
      <c r="T698" s="64"/>
      <c r="U698" s="64"/>
      <c r="V698" s="64"/>
      <c r="W698" s="64"/>
      <c r="X698" s="64"/>
      <c r="Y698" s="64"/>
      <c r="Z698" s="64"/>
      <c r="AA698" s="64"/>
      <c r="AB698" s="64"/>
      <c r="AC698" s="64"/>
      <c r="AD698" s="64"/>
      <c r="AE698" s="64"/>
      <c r="AF698" s="64"/>
      <c r="AG698" s="64"/>
      <c r="AH698" s="64"/>
      <c r="AI698" s="64"/>
      <c r="AJ698" s="64"/>
    </row>
    <row r="699">
      <c r="A699" s="64"/>
      <c r="B699" s="64"/>
      <c r="C699" s="64"/>
      <c r="D699" s="64"/>
      <c r="E699" s="64"/>
      <c r="F699" s="64"/>
      <c r="G699" s="64"/>
      <c r="H699" s="64"/>
      <c r="I699" s="64"/>
      <c r="J699" s="64"/>
      <c r="K699" s="64"/>
      <c r="L699" s="64"/>
      <c r="M699" s="60"/>
      <c r="N699" s="60"/>
      <c r="O699" s="60"/>
      <c r="P699" s="60"/>
      <c r="Q699" s="64"/>
      <c r="R699" s="64"/>
      <c r="S699" s="64"/>
      <c r="T699" s="64"/>
      <c r="U699" s="64"/>
      <c r="V699" s="64"/>
      <c r="W699" s="64"/>
      <c r="X699" s="64"/>
      <c r="Y699" s="64"/>
      <c r="Z699" s="64"/>
      <c r="AA699" s="64"/>
      <c r="AB699" s="64"/>
      <c r="AC699" s="64"/>
      <c r="AD699" s="64"/>
      <c r="AE699" s="64"/>
      <c r="AF699" s="64"/>
      <c r="AG699" s="64"/>
      <c r="AH699" s="64"/>
      <c r="AI699" s="64"/>
      <c r="AJ699" s="64"/>
    </row>
    <row r="700">
      <c r="A700" s="64"/>
      <c r="B700" s="64"/>
      <c r="C700" s="64"/>
      <c r="D700" s="64"/>
      <c r="E700" s="64"/>
      <c r="F700" s="64"/>
      <c r="G700" s="64"/>
      <c r="H700" s="64"/>
      <c r="I700" s="64"/>
      <c r="J700" s="64"/>
      <c r="K700" s="64"/>
      <c r="L700" s="64"/>
      <c r="M700" s="60"/>
      <c r="N700" s="60"/>
      <c r="O700" s="60"/>
      <c r="P700" s="60"/>
      <c r="Q700" s="64"/>
      <c r="R700" s="64"/>
      <c r="S700" s="64"/>
      <c r="T700" s="64"/>
      <c r="U700" s="64"/>
      <c r="V700" s="64"/>
      <c r="W700" s="64"/>
      <c r="X700" s="64"/>
      <c r="Y700" s="64"/>
      <c r="Z700" s="64"/>
      <c r="AA700" s="64"/>
      <c r="AB700" s="64"/>
      <c r="AC700" s="64"/>
      <c r="AD700" s="64"/>
      <c r="AE700" s="64"/>
      <c r="AF700" s="64"/>
      <c r="AG700" s="64"/>
      <c r="AH700" s="64"/>
      <c r="AI700" s="64"/>
      <c r="AJ700" s="64"/>
    </row>
    <row r="701">
      <c r="A701" s="64"/>
      <c r="B701" s="64"/>
      <c r="C701" s="64"/>
      <c r="D701" s="64"/>
      <c r="E701" s="64"/>
      <c r="F701" s="64"/>
      <c r="G701" s="64"/>
      <c r="H701" s="64"/>
      <c r="I701" s="64"/>
      <c r="J701" s="64"/>
      <c r="K701" s="64"/>
      <c r="L701" s="64"/>
      <c r="M701" s="60"/>
      <c r="N701" s="60"/>
      <c r="O701" s="60"/>
      <c r="P701" s="60"/>
      <c r="Q701" s="64"/>
      <c r="R701" s="64"/>
      <c r="S701" s="64"/>
      <c r="T701" s="64"/>
      <c r="U701" s="64"/>
      <c r="V701" s="64"/>
      <c r="W701" s="64"/>
      <c r="X701" s="64"/>
      <c r="Y701" s="64"/>
      <c r="Z701" s="64"/>
      <c r="AA701" s="64"/>
      <c r="AB701" s="64"/>
      <c r="AC701" s="64"/>
      <c r="AD701" s="64"/>
      <c r="AE701" s="64"/>
      <c r="AF701" s="64"/>
      <c r="AG701" s="64"/>
      <c r="AH701" s="64"/>
      <c r="AI701" s="64"/>
      <c r="AJ701" s="64"/>
    </row>
    <row r="702">
      <c r="A702" s="64"/>
      <c r="B702" s="64"/>
      <c r="C702" s="64"/>
      <c r="D702" s="64"/>
      <c r="E702" s="64"/>
      <c r="F702" s="64"/>
      <c r="G702" s="64"/>
      <c r="H702" s="64"/>
      <c r="I702" s="64"/>
      <c r="J702" s="64"/>
      <c r="K702" s="64"/>
      <c r="L702" s="64"/>
      <c r="M702" s="60"/>
      <c r="N702" s="60"/>
      <c r="O702" s="60"/>
      <c r="P702" s="60"/>
      <c r="Q702" s="64"/>
      <c r="R702" s="64"/>
      <c r="S702" s="64"/>
      <c r="T702" s="64"/>
      <c r="U702" s="64"/>
      <c r="V702" s="64"/>
      <c r="W702" s="64"/>
      <c r="X702" s="64"/>
      <c r="Y702" s="64"/>
      <c r="Z702" s="64"/>
      <c r="AA702" s="64"/>
      <c r="AB702" s="64"/>
      <c r="AC702" s="64"/>
      <c r="AD702" s="64"/>
      <c r="AE702" s="64"/>
      <c r="AF702" s="64"/>
      <c r="AG702" s="64"/>
      <c r="AH702" s="64"/>
      <c r="AI702" s="64"/>
      <c r="AJ702" s="64"/>
    </row>
    <row r="703">
      <c r="A703" s="64"/>
      <c r="B703" s="64"/>
      <c r="C703" s="64"/>
      <c r="D703" s="64"/>
      <c r="E703" s="64"/>
      <c r="F703" s="64"/>
      <c r="G703" s="64"/>
      <c r="H703" s="64"/>
      <c r="I703" s="64"/>
      <c r="J703" s="64"/>
      <c r="K703" s="64"/>
      <c r="L703" s="64"/>
      <c r="M703" s="60"/>
      <c r="N703" s="60"/>
      <c r="O703" s="60"/>
      <c r="P703" s="60"/>
      <c r="Q703" s="64"/>
      <c r="R703" s="64"/>
      <c r="S703" s="64"/>
      <c r="T703" s="64"/>
      <c r="U703" s="64"/>
      <c r="V703" s="64"/>
      <c r="W703" s="64"/>
      <c r="X703" s="64"/>
      <c r="Y703" s="64"/>
      <c r="Z703" s="64"/>
      <c r="AA703" s="64"/>
      <c r="AB703" s="64"/>
      <c r="AC703" s="64"/>
      <c r="AD703" s="64"/>
      <c r="AE703" s="64"/>
      <c r="AF703" s="64"/>
      <c r="AG703" s="64"/>
      <c r="AH703" s="64"/>
      <c r="AI703" s="64"/>
      <c r="AJ703" s="64"/>
    </row>
    <row r="704">
      <c r="A704" s="64"/>
      <c r="B704" s="64"/>
      <c r="C704" s="64"/>
      <c r="D704" s="64"/>
      <c r="E704" s="64"/>
      <c r="F704" s="64"/>
      <c r="G704" s="64"/>
      <c r="H704" s="64"/>
      <c r="I704" s="64"/>
      <c r="J704" s="64"/>
      <c r="K704" s="64"/>
      <c r="L704" s="64"/>
      <c r="M704" s="60"/>
      <c r="N704" s="60"/>
      <c r="O704" s="60"/>
      <c r="P704" s="60"/>
      <c r="Q704" s="64"/>
      <c r="R704" s="64"/>
      <c r="S704" s="64"/>
      <c r="T704" s="64"/>
      <c r="U704" s="64"/>
      <c r="V704" s="64"/>
      <c r="W704" s="64"/>
      <c r="X704" s="64"/>
      <c r="Y704" s="64"/>
      <c r="Z704" s="64"/>
      <c r="AA704" s="64"/>
      <c r="AB704" s="64"/>
      <c r="AC704" s="64"/>
      <c r="AD704" s="64"/>
      <c r="AE704" s="64"/>
      <c r="AF704" s="64"/>
      <c r="AG704" s="64"/>
      <c r="AH704" s="64"/>
      <c r="AI704" s="64"/>
      <c r="AJ704" s="64"/>
    </row>
    <row r="705">
      <c r="A705" s="64"/>
      <c r="B705" s="64"/>
      <c r="C705" s="64"/>
      <c r="D705" s="64"/>
      <c r="E705" s="64"/>
      <c r="F705" s="64"/>
      <c r="G705" s="64"/>
      <c r="H705" s="64"/>
      <c r="I705" s="64"/>
      <c r="J705" s="64"/>
      <c r="K705" s="64"/>
      <c r="L705" s="64"/>
      <c r="M705" s="60"/>
      <c r="N705" s="60"/>
      <c r="O705" s="60"/>
      <c r="P705" s="60"/>
      <c r="Q705" s="64"/>
      <c r="R705" s="64"/>
      <c r="S705" s="64"/>
      <c r="T705" s="64"/>
      <c r="U705" s="64"/>
      <c r="V705" s="64"/>
      <c r="W705" s="64"/>
      <c r="X705" s="64"/>
      <c r="Y705" s="64"/>
      <c r="Z705" s="64"/>
      <c r="AA705" s="64"/>
      <c r="AB705" s="64"/>
      <c r="AC705" s="64"/>
      <c r="AD705" s="64"/>
      <c r="AE705" s="64"/>
      <c r="AF705" s="64"/>
      <c r="AG705" s="64"/>
      <c r="AH705" s="64"/>
      <c r="AI705" s="64"/>
      <c r="AJ705" s="64"/>
    </row>
    <row r="706">
      <c r="A706" s="64"/>
      <c r="B706" s="64"/>
      <c r="C706" s="64"/>
      <c r="D706" s="64"/>
      <c r="E706" s="64"/>
      <c r="F706" s="64"/>
      <c r="G706" s="64"/>
      <c r="H706" s="64"/>
      <c r="I706" s="64"/>
      <c r="J706" s="64"/>
      <c r="K706" s="64"/>
      <c r="L706" s="64"/>
      <c r="M706" s="60"/>
      <c r="N706" s="60"/>
      <c r="O706" s="60"/>
      <c r="P706" s="60"/>
      <c r="Q706" s="64"/>
      <c r="R706" s="64"/>
      <c r="S706" s="64"/>
      <c r="T706" s="64"/>
      <c r="U706" s="64"/>
      <c r="V706" s="64"/>
      <c r="W706" s="64"/>
      <c r="X706" s="64"/>
      <c r="Y706" s="64"/>
      <c r="Z706" s="64"/>
      <c r="AA706" s="64"/>
      <c r="AB706" s="64"/>
      <c r="AC706" s="64"/>
      <c r="AD706" s="64"/>
      <c r="AE706" s="64"/>
      <c r="AF706" s="64"/>
      <c r="AG706" s="64"/>
      <c r="AH706" s="64"/>
      <c r="AI706" s="64"/>
      <c r="AJ706" s="64"/>
    </row>
    <row r="707">
      <c r="A707" s="64"/>
      <c r="B707" s="64"/>
      <c r="C707" s="64"/>
      <c r="D707" s="64"/>
      <c r="E707" s="64"/>
      <c r="F707" s="64"/>
      <c r="G707" s="64"/>
      <c r="H707" s="64"/>
      <c r="I707" s="64"/>
      <c r="J707" s="64"/>
      <c r="K707" s="64"/>
      <c r="L707" s="64"/>
      <c r="M707" s="60"/>
      <c r="N707" s="60"/>
      <c r="O707" s="60"/>
      <c r="P707" s="60"/>
      <c r="Q707" s="64"/>
      <c r="R707" s="64"/>
      <c r="S707" s="64"/>
      <c r="T707" s="64"/>
      <c r="U707" s="64"/>
      <c r="V707" s="64"/>
      <c r="W707" s="64"/>
      <c r="X707" s="64"/>
      <c r="Y707" s="64"/>
      <c r="Z707" s="64"/>
      <c r="AA707" s="64"/>
      <c r="AB707" s="64"/>
      <c r="AC707" s="64"/>
      <c r="AD707" s="64"/>
      <c r="AE707" s="64"/>
      <c r="AF707" s="64"/>
      <c r="AG707" s="64"/>
      <c r="AH707" s="64"/>
      <c r="AI707" s="64"/>
      <c r="AJ707" s="64"/>
    </row>
    <row r="708">
      <c r="A708" s="64"/>
      <c r="B708" s="64"/>
      <c r="C708" s="64"/>
      <c r="D708" s="64"/>
      <c r="E708" s="64"/>
      <c r="F708" s="64"/>
      <c r="G708" s="64"/>
      <c r="H708" s="64"/>
      <c r="I708" s="64"/>
      <c r="J708" s="64"/>
      <c r="K708" s="64"/>
      <c r="L708" s="64"/>
      <c r="M708" s="60"/>
      <c r="N708" s="60"/>
      <c r="O708" s="60"/>
      <c r="P708" s="60"/>
      <c r="Q708" s="64"/>
      <c r="R708" s="64"/>
      <c r="S708" s="64"/>
      <c r="T708" s="64"/>
      <c r="U708" s="64"/>
      <c r="V708" s="64"/>
      <c r="W708" s="64"/>
      <c r="X708" s="64"/>
      <c r="Y708" s="64"/>
      <c r="Z708" s="64"/>
      <c r="AA708" s="64"/>
      <c r="AB708" s="64"/>
      <c r="AC708" s="64"/>
      <c r="AD708" s="64"/>
      <c r="AE708" s="64"/>
      <c r="AF708" s="64"/>
      <c r="AG708" s="64"/>
      <c r="AH708" s="64"/>
      <c r="AI708" s="64"/>
      <c r="AJ708" s="64"/>
    </row>
    <row r="709">
      <c r="A709" s="64"/>
      <c r="B709" s="64"/>
      <c r="C709" s="64"/>
      <c r="D709" s="64"/>
      <c r="E709" s="64"/>
      <c r="F709" s="64"/>
      <c r="G709" s="64"/>
      <c r="H709" s="64"/>
      <c r="I709" s="64"/>
      <c r="J709" s="64"/>
      <c r="K709" s="64"/>
      <c r="L709" s="64"/>
      <c r="M709" s="60"/>
      <c r="N709" s="60"/>
      <c r="O709" s="60"/>
      <c r="P709" s="60"/>
      <c r="Q709" s="64"/>
      <c r="R709" s="64"/>
      <c r="S709" s="64"/>
      <c r="T709" s="64"/>
      <c r="U709" s="64"/>
      <c r="V709" s="64"/>
      <c r="W709" s="64"/>
      <c r="X709" s="64"/>
      <c r="Y709" s="64"/>
      <c r="Z709" s="64"/>
      <c r="AA709" s="64"/>
      <c r="AB709" s="64"/>
      <c r="AC709" s="64"/>
      <c r="AD709" s="64"/>
      <c r="AE709" s="64"/>
      <c r="AF709" s="64"/>
      <c r="AG709" s="64"/>
      <c r="AH709" s="64"/>
      <c r="AI709" s="64"/>
      <c r="AJ709" s="64"/>
    </row>
    <row r="710">
      <c r="A710" s="64"/>
      <c r="B710" s="64"/>
      <c r="C710" s="64"/>
      <c r="D710" s="64"/>
      <c r="E710" s="64"/>
      <c r="F710" s="64"/>
      <c r="G710" s="64"/>
      <c r="H710" s="64"/>
      <c r="I710" s="64"/>
      <c r="J710" s="64"/>
      <c r="K710" s="64"/>
      <c r="L710" s="64"/>
      <c r="M710" s="60"/>
      <c r="N710" s="60"/>
      <c r="O710" s="60"/>
      <c r="P710" s="60"/>
      <c r="Q710" s="64"/>
      <c r="R710" s="64"/>
      <c r="S710" s="64"/>
      <c r="T710" s="64"/>
      <c r="U710" s="64"/>
      <c r="V710" s="64"/>
      <c r="W710" s="64"/>
      <c r="X710" s="64"/>
      <c r="Y710" s="64"/>
      <c r="Z710" s="64"/>
      <c r="AA710" s="64"/>
      <c r="AB710" s="64"/>
      <c r="AC710" s="64"/>
      <c r="AD710" s="64"/>
      <c r="AE710" s="64"/>
      <c r="AF710" s="64"/>
      <c r="AG710" s="64"/>
      <c r="AH710" s="64"/>
      <c r="AI710" s="64"/>
      <c r="AJ710" s="64"/>
    </row>
    <row r="711">
      <c r="A711" s="64"/>
      <c r="B711" s="64"/>
      <c r="C711" s="64"/>
      <c r="D711" s="64"/>
      <c r="E711" s="64"/>
      <c r="F711" s="64"/>
      <c r="G711" s="64"/>
      <c r="H711" s="64"/>
      <c r="I711" s="64"/>
      <c r="J711" s="64"/>
      <c r="K711" s="64"/>
      <c r="L711" s="64"/>
      <c r="M711" s="60"/>
      <c r="N711" s="60"/>
      <c r="O711" s="60"/>
      <c r="P711" s="60"/>
      <c r="Q711" s="64"/>
      <c r="R711" s="64"/>
      <c r="S711" s="64"/>
      <c r="T711" s="64"/>
      <c r="U711" s="64"/>
      <c r="V711" s="64"/>
      <c r="W711" s="64"/>
      <c r="X711" s="64"/>
      <c r="Y711" s="64"/>
      <c r="Z711" s="64"/>
      <c r="AA711" s="64"/>
      <c r="AB711" s="64"/>
      <c r="AC711" s="64"/>
      <c r="AD711" s="64"/>
      <c r="AE711" s="64"/>
      <c r="AF711" s="64"/>
      <c r="AG711" s="64"/>
      <c r="AH711" s="64"/>
      <c r="AI711" s="64"/>
      <c r="AJ711" s="64"/>
    </row>
    <row r="712">
      <c r="A712" s="64"/>
      <c r="B712" s="64"/>
      <c r="C712" s="64"/>
      <c r="D712" s="64"/>
      <c r="E712" s="64"/>
      <c r="F712" s="64"/>
      <c r="G712" s="64"/>
      <c r="H712" s="64"/>
      <c r="I712" s="64"/>
      <c r="J712" s="64"/>
      <c r="K712" s="64"/>
      <c r="L712" s="64"/>
      <c r="M712" s="60"/>
      <c r="N712" s="60"/>
      <c r="O712" s="60"/>
      <c r="P712" s="60"/>
      <c r="Q712" s="64"/>
      <c r="R712" s="64"/>
      <c r="S712" s="64"/>
      <c r="T712" s="64"/>
      <c r="U712" s="64"/>
      <c r="V712" s="64"/>
      <c r="W712" s="64"/>
      <c r="X712" s="64"/>
      <c r="Y712" s="64"/>
      <c r="Z712" s="64"/>
      <c r="AA712" s="64"/>
      <c r="AB712" s="64"/>
      <c r="AC712" s="64"/>
      <c r="AD712" s="64"/>
      <c r="AE712" s="64"/>
      <c r="AF712" s="64"/>
      <c r="AG712" s="64"/>
      <c r="AH712" s="64"/>
      <c r="AI712" s="64"/>
      <c r="AJ712" s="64"/>
    </row>
    <row r="713">
      <c r="A713" s="64"/>
      <c r="B713" s="64"/>
      <c r="C713" s="64"/>
      <c r="D713" s="64"/>
      <c r="E713" s="64"/>
      <c r="F713" s="64"/>
      <c r="G713" s="64"/>
      <c r="H713" s="64"/>
      <c r="I713" s="64"/>
      <c r="J713" s="64"/>
      <c r="K713" s="64"/>
      <c r="L713" s="64"/>
      <c r="M713" s="60"/>
      <c r="N713" s="60"/>
      <c r="O713" s="60"/>
      <c r="P713" s="60"/>
      <c r="Q713" s="64"/>
      <c r="R713" s="64"/>
      <c r="S713" s="64"/>
      <c r="T713" s="64"/>
      <c r="U713" s="64"/>
      <c r="V713" s="64"/>
      <c r="W713" s="64"/>
      <c r="X713" s="64"/>
      <c r="Y713" s="64"/>
      <c r="Z713" s="64"/>
      <c r="AA713" s="64"/>
      <c r="AB713" s="64"/>
      <c r="AC713" s="64"/>
      <c r="AD713" s="64"/>
      <c r="AE713" s="64"/>
      <c r="AF713" s="64"/>
      <c r="AG713" s="64"/>
      <c r="AH713" s="64"/>
      <c r="AI713" s="64"/>
      <c r="AJ713" s="64"/>
    </row>
    <row r="714">
      <c r="A714" s="64"/>
      <c r="B714" s="64"/>
      <c r="C714" s="64"/>
      <c r="D714" s="64"/>
      <c r="E714" s="64"/>
      <c r="F714" s="64"/>
      <c r="G714" s="64"/>
      <c r="H714" s="64"/>
      <c r="I714" s="64"/>
      <c r="J714" s="64"/>
      <c r="K714" s="64"/>
      <c r="L714" s="64"/>
      <c r="M714" s="60"/>
      <c r="N714" s="60"/>
      <c r="O714" s="60"/>
      <c r="P714" s="60"/>
      <c r="Q714" s="64"/>
      <c r="R714" s="64"/>
      <c r="S714" s="64"/>
      <c r="T714" s="64"/>
      <c r="U714" s="64"/>
      <c r="V714" s="64"/>
      <c r="W714" s="64"/>
      <c r="X714" s="64"/>
      <c r="Y714" s="64"/>
      <c r="Z714" s="64"/>
      <c r="AA714" s="64"/>
      <c r="AB714" s="64"/>
      <c r="AC714" s="64"/>
      <c r="AD714" s="64"/>
      <c r="AE714" s="64"/>
      <c r="AF714" s="64"/>
      <c r="AG714" s="64"/>
      <c r="AH714" s="64"/>
      <c r="AI714" s="64"/>
      <c r="AJ714" s="64"/>
    </row>
    <row r="715">
      <c r="A715" s="64"/>
      <c r="B715" s="64"/>
      <c r="C715" s="64"/>
      <c r="D715" s="64"/>
      <c r="E715" s="64"/>
      <c r="F715" s="64"/>
      <c r="G715" s="64"/>
      <c r="H715" s="64"/>
      <c r="I715" s="64"/>
      <c r="J715" s="64"/>
      <c r="K715" s="64"/>
      <c r="L715" s="64"/>
      <c r="M715" s="60"/>
      <c r="N715" s="60"/>
      <c r="O715" s="60"/>
      <c r="P715" s="60"/>
      <c r="Q715" s="64"/>
      <c r="R715" s="64"/>
      <c r="S715" s="64"/>
      <c r="T715" s="64"/>
      <c r="U715" s="64"/>
      <c r="V715" s="64"/>
      <c r="W715" s="64"/>
      <c r="X715" s="64"/>
      <c r="Y715" s="64"/>
      <c r="Z715" s="64"/>
      <c r="AA715" s="64"/>
      <c r="AB715" s="64"/>
      <c r="AC715" s="64"/>
      <c r="AD715" s="64"/>
      <c r="AE715" s="64"/>
      <c r="AF715" s="64"/>
      <c r="AG715" s="64"/>
      <c r="AH715" s="64"/>
      <c r="AI715" s="64"/>
      <c r="AJ715" s="64"/>
    </row>
    <row r="716">
      <c r="A716" s="64"/>
      <c r="B716" s="64"/>
      <c r="C716" s="64"/>
      <c r="D716" s="64"/>
      <c r="E716" s="64"/>
      <c r="F716" s="64"/>
      <c r="G716" s="64"/>
      <c r="H716" s="64"/>
      <c r="I716" s="64"/>
      <c r="J716" s="64"/>
      <c r="K716" s="64"/>
      <c r="L716" s="64"/>
      <c r="M716" s="60"/>
      <c r="N716" s="60"/>
      <c r="O716" s="60"/>
      <c r="P716" s="60"/>
      <c r="Q716" s="64"/>
      <c r="R716" s="64"/>
      <c r="S716" s="64"/>
      <c r="T716" s="64"/>
      <c r="U716" s="64"/>
      <c r="V716" s="64"/>
      <c r="W716" s="64"/>
      <c r="X716" s="64"/>
      <c r="Y716" s="64"/>
      <c r="Z716" s="64"/>
      <c r="AA716" s="64"/>
      <c r="AB716" s="64"/>
      <c r="AC716" s="64"/>
      <c r="AD716" s="64"/>
      <c r="AE716" s="64"/>
      <c r="AF716" s="64"/>
      <c r="AG716" s="64"/>
      <c r="AH716" s="64"/>
      <c r="AI716" s="64"/>
      <c r="AJ716" s="64"/>
    </row>
    <row r="717">
      <c r="A717" s="64"/>
      <c r="B717" s="64"/>
      <c r="C717" s="64"/>
      <c r="D717" s="64"/>
      <c r="E717" s="64"/>
      <c r="F717" s="64"/>
      <c r="G717" s="64"/>
      <c r="H717" s="64"/>
      <c r="I717" s="64"/>
      <c r="J717" s="64"/>
      <c r="K717" s="64"/>
      <c r="L717" s="64"/>
      <c r="M717" s="60"/>
      <c r="N717" s="60"/>
      <c r="O717" s="60"/>
      <c r="P717" s="60"/>
      <c r="Q717" s="64"/>
      <c r="R717" s="64"/>
      <c r="S717" s="64"/>
      <c r="T717" s="64"/>
      <c r="U717" s="64"/>
      <c r="V717" s="64"/>
      <c r="W717" s="64"/>
      <c r="X717" s="64"/>
      <c r="Y717" s="64"/>
      <c r="Z717" s="64"/>
      <c r="AA717" s="64"/>
      <c r="AB717" s="64"/>
      <c r="AC717" s="64"/>
      <c r="AD717" s="64"/>
      <c r="AE717" s="64"/>
      <c r="AF717" s="64"/>
      <c r="AG717" s="64"/>
      <c r="AH717" s="64"/>
      <c r="AI717" s="64"/>
      <c r="AJ717" s="64"/>
    </row>
    <row r="718">
      <c r="A718" s="64"/>
      <c r="B718" s="64"/>
      <c r="C718" s="64"/>
      <c r="D718" s="64"/>
      <c r="E718" s="64"/>
      <c r="F718" s="64"/>
      <c r="G718" s="64"/>
      <c r="H718" s="64"/>
      <c r="I718" s="64"/>
      <c r="J718" s="64"/>
      <c r="K718" s="64"/>
      <c r="L718" s="64"/>
      <c r="M718" s="60"/>
      <c r="N718" s="60"/>
      <c r="O718" s="60"/>
      <c r="P718" s="60"/>
      <c r="Q718" s="64"/>
      <c r="R718" s="64"/>
      <c r="S718" s="64"/>
      <c r="T718" s="64"/>
      <c r="U718" s="64"/>
      <c r="V718" s="64"/>
      <c r="W718" s="64"/>
      <c r="X718" s="64"/>
      <c r="Y718" s="64"/>
      <c r="Z718" s="64"/>
      <c r="AA718" s="64"/>
      <c r="AB718" s="64"/>
      <c r="AC718" s="64"/>
      <c r="AD718" s="64"/>
      <c r="AE718" s="64"/>
      <c r="AF718" s="64"/>
      <c r="AG718" s="64"/>
      <c r="AH718" s="64"/>
      <c r="AI718" s="64"/>
      <c r="AJ718" s="64"/>
    </row>
    <row r="719">
      <c r="A719" s="64"/>
      <c r="B719" s="64"/>
      <c r="C719" s="64"/>
      <c r="D719" s="64"/>
      <c r="E719" s="64"/>
      <c r="F719" s="64"/>
      <c r="G719" s="64"/>
      <c r="H719" s="64"/>
      <c r="I719" s="64"/>
      <c r="J719" s="64"/>
      <c r="K719" s="64"/>
      <c r="L719" s="64"/>
      <c r="M719" s="60"/>
      <c r="N719" s="60"/>
      <c r="O719" s="60"/>
      <c r="P719" s="60"/>
      <c r="Q719" s="64"/>
      <c r="R719" s="64"/>
      <c r="S719" s="64"/>
      <c r="T719" s="64"/>
      <c r="U719" s="64"/>
      <c r="V719" s="64"/>
      <c r="W719" s="64"/>
      <c r="X719" s="64"/>
      <c r="Y719" s="64"/>
      <c r="Z719" s="64"/>
      <c r="AA719" s="64"/>
      <c r="AB719" s="64"/>
      <c r="AC719" s="64"/>
      <c r="AD719" s="64"/>
      <c r="AE719" s="64"/>
      <c r="AF719" s="64"/>
      <c r="AG719" s="64"/>
      <c r="AH719" s="64"/>
      <c r="AI719" s="64"/>
      <c r="AJ719" s="64"/>
    </row>
    <row r="720">
      <c r="A720" s="64"/>
      <c r="B720" s="64"/>
      <c r="C720" s="64"/>
      <c r="D720" s="64"/>
      <c r="E720" s="64"/>
      <c r="F720" s="64"/>
      <c r="G720" s="64"/>
      <c r="H720" s="64"/>
      <c r="I720" s="64"/>
      <c r="J720" s="64"/>
      <c r="K720" s="64"/>
      <c r="L720" s="64"/>
      <c r="M720" s="60"/>
      <c r="N720" s="60"/>
      <c r="O720" s="60"/>
      <c r="P720" s="60"/>
      <c r="Q720" s="64"/>
      <c r="R720" s="64"/>
      <c r="S720" s="64"/>
      <c r="T720" s="64"/>
      <c r="U720" s="64"/>
      <c r="V720" s="64"/>
      <c r="W720" s="64"/>
      <c r="X720" s="64"/>
      <c r="Y720" s="64"/>
      <c r="Z720" s="64"/>
      <c r="AA720" s="64"/>
      <c r="AB720" s="64"/>
      <c r="AC720" s="64"/>
      <c r="AD720" s="64"/>
      <c r="AE720" s="64"/>
      <c r="AF720" s="64"/>
      <c r="AG720" s="64"/>
      <c r="AH720" s="64"/>
      <c r="AI720" s="64"/>
      <c r="AJ720" s="64"/>
    </row>
    <row r="721">
      <c r="A721" s="64"/>
      <c r="B721" s="64"/>
      <c r="C721" s="64"/>
      <c r="D721" s="64"/>
      <c r="E721" s="64"/>
      <c r="F721" s="64"/>
      <c r="G721" s="64"/>
      <c r="H721" s="64"/>
      <c r="I721" s="64"/>
      <c r="J721" s="64"/>
      <c r="K721" s="64"/>
      <c r="L721" s="64"/>
      <c r="M721" s="60"/>
      <c r="N721" s="60"/>
      <c r="O721" s="60"/>
      <c r="P721" s="60"/>
      <c r="Q721" s="64"/>
      <c r="R721" s="64"/>
      <c r="S721" s="64"/>
      <c r="T721" s="64"/>
      <c r="U721" s="64"/>
      <c r="V721" s="64"/>
      <c r="W721" s="64"/>
      <c r="X721" s="64"/>
      <c r="Y721" s="64"/>
      <c r="Z721" s="64"/>
      <c r="AA721" s="64"/>
      <c r="AB721" s="64"/>
      <c r="AC721" s="64"/>
      <c r="AD721" s="64"/>
      <c r="AE721" s="64"/>
      <c r="AF721" s="64"/>
      <c r="AG721" s="64"/>
      <c r="AH721" s="64"/>
      <c r="AI721" s="64"/>
      <c r="AJ721" s="64"/>
    </row>
    <row r="722">
      <c r="A722" s="64"/>
      <c r="B722" s="64"/>
      <c r="C722" s="64"/>
      <c r="D722" s="64"/>
      <c r="E722" s="64"/>
      <c r="F722" s="64"/>
      <c r="G722" s="64"/>
      <c r="H722" s="64"/>
      <c r="I722" s="64"/>
      <c r="J722" s="64"/>
      <c r="K722" s="64"/>
      <c r="L722" s="64"/>
      <c r="M722" s="60"/>
      <c r="N722" s="60"/>
      <c r="O722" s="60"/>
      <c r="P722" s="60"/>
      <c r="Q722" s="64"/>
      <c r="R722" s="64"/>
      <c r="S722" s="64"/>
      <c r="T722" s="64"/>
      <c r="U722" s="64"/>
      <c r="V722" s="64"/>
      <c r="W722" s="64"/>
      <c r="X722" s="64"/>
      <c r="Y722" s="64"/>
      <c r="Z722" s="64"/>
      <c r="AA722" s="64"/>
      <c r="AB722" s="64"/>
      <c r="AC722" s="64"/>
      <c r="AD722" s="64"/>
      <c r="AE722" s="64"/>
      <c r="AF722" s="64"/>
      <c r="AG722" s="64"/>
      <c r="AH722" s="64"/>
      <c r="AI722" s="64"/>
      <c r="AJ722" s="64"/>
    </row>
    <row r="723">
      <c r="A723" s="64"/>
      <c r="B723" s="64"/>
      <c r="C723" s="64"/>
      <c r="D723" s="64"/>
      <c r="E723" s="64"/>
      <c r="F723" s="64"/>
      <c r="G723" s="64"/>
      <c r="H723" s="64"/>
      <c r="I723" s="64"/>
      <c r="J723" s="64"/>
      <c r="K723" s="64"/>
      <c r="L723" s="64"/>
      <c r="M723" s="60"/>
      <c r="N723" s="60"/>
      <c r="O723" s="60"/>
      <c r="P723" s="60"/>
      <c r="Q723" s="64"/>
      <c r="R723" s="64"/>
      <c r="S723" s="64"/>
      <c r="T723" s="64"/>
      <c r="U723" s="64"/>
      <c r="V723" s="64"/>
      <c r="W723" s="64"/>
      <c r="X723" s="64"/>
      <c r="Y723" s="64"/>
      <c r="Z723" s="64"/>
      <c r="AA723" s="64"/>
      <c r="AB723" s="64"/>
      <c r="AC723" s="64"/>
      <c r="AD723" s="64"/>
      <c r="AE723" s="64"/>
      <c r="AF723" s="64"/>
      <c r="AG723" s="64"/>
      <c r="AH723" s="64"/>
      <c r="AI723" s="64"/>
      <c r="AJ723" s="64"/>
    </row>
    <row r="724">
      <c r="A724" s="64"/>
      <c r="B724" s="64"/>
      <c r="C724" s="64"/>
      <c r="D724" s="64"/>
      <c r="E724" s="64"/>
      <c r="F724" s="64"/>
      <c r="G724" s="64"/>
      <c r="H724" s="64"/>
      <c r="I724" s="64"/>
      <c r="J724" s="64"/>
      <c r="K724" s="64"/>
      <c r="L724" s="64"/>
      <c r="M724" s="60"/>
      <c r="N724" s="60"/>
      <c r="O724" s="60"/>
      <c r="P724" s="60"/>
      <c r="Q724" s="64"/>
      <c r="R724" s="64"/>
      <c r="S724" s="64"/>
      <c r="T724" s="64"/>
      <c r="U724" s="64"/>
      <c r="V724" s="64"/>
      <c r="W724" s="64"/>
      <c r="X724" s="64"/>
      <c r="Y724" s="64"/>
      <c r="Z724" s="64"/>
      <c r="AA724" s="64"/>
      <c r="AB724" s="64"/>
      <c r="AC724" s="64"/>
      <c r="AD724" s="64"/>
      <c r="AE724" s="64"/>
      <c r="AF724" s="64"/>
      <c r="AG724" s="64"/>
      <c r="AH724" s="64"/>
      <c r="AI724" s="64"/>
      <c r="AJ724" s="64"/>
    </row>
    <row r="725">
      <c r="A725" s="64"/>
      <c r="B725" s="64"/>
      <c r="C725" s="64"/>
      <c r="D725" s="64"/>
      <c r="E725" s="64"/>
      <c r="F725" s="64"/>
      <c r="G725" s="64"/>
      <c r="H725" s="64"/>
      <c r="I725" s="64"/>
      <c r="J725" s="64"/>
      <c r="K725" s="64"/>
      <c r="L725" s="64"/>
      <c r="M725" s="60"/>
      <c r="N725" s="60"/>
      <c r="O725" s="60"/>
      <c r="P725" s="60"/>
      <c r="Q725" s="64"/>
      <c r="R725" s="64"/>
      <c r="S725" s="64"/>
      <c r="T725" s="64"/>
      <c r="U725" s="64"/>
      <c r="V725" s="64"/>
      <c r="W725" s="64"/>
      <c r="X725" s="64"/>
      <c r="Y725" s="64"/>
      <c r="Z725" s="64"/>
      <c r="AA725" s="64"/>
      <c r="AB725" s="64"/>
      <c r="AC725" s="64"/>
      <c r="AD725" s="64"/>
      <c r="AE725" s="64"/>
      <c r="AF725" s="64"/>
      <c r="AG725" s="64"/>
      <c r="AH725" s="64"/>
      <c r="AI725" s="64"/>
      <c r="AJ725" s="64"/>
    </row>
    <row r="726">
      <c r="A726" s="64"/>
      <c r="B726" s="64"/>
      <c r="C726" s="64"/>
      <c r="D726" s="64"/>
      <c r="E726" s="64"/>
      <c r="F726" s="64"/>
      <c r="G726" s="64"/>
      <c r="H726" s="64"/>
      <c r="I726" s="64"/>
      <c r="J726" s="64"/>
      <c r="K726" s="64"/>
      <c r="L726" s="64"/>
      <c r="M726" s="60"/>
      <c r="N726" s="60"/>
      <c r="O726" s="60"/>
      <c r="P726" s="60"/>
      <c r="Q726" s="64"/>
      <c r="R726" s="64"/>
      <c r="S726" s="64"/>
      <c r="T726" s="64"/>
      <c r="U726" s="64"/>
      <c r="V726" s="64"/>
      <c r="W726" s="64"/>
      <c r="X726" s="64"/>
      <c r="Y726" s="64"/>
      <c r="Z726" s="64"/>
      <c r="AA726" s="64"/>
      <c r="AB726" s="64"/>
      <c r="AC726" s="64"/>
      <c r="AD726" s="64"/>
      <c r="AE726" s="64"/>
      <c r="AF726" s="64"/>
      <c r="AG726" s="64"/>
      <c r="AH726" s="64"/>
      <c r="AI726" s="64"/>
      <c r="AJ726" s="64"/>
    </row>
    <row r="727">
      <c r="A727" s="64"/>
      <c r="B727" s="64"/>
      <c r="C727" s="64"/>
      <c r="D727" s="64"/>
      <c r="E727" s="64"/>
      <c r="F727" s="64"/>
      <c r="G727" s="64"/>
      <c r="H727" s="64"/>
      <c r="I727" s="64"/>
      <c r="J727" s="64"/>
      <c r="K727" s="64"/>
      <c r="L727" s="64"/>
      <c r="M727" s="60"/>
      <c r="N727" s="60"/>
      <c r="O727" s="60"/>
      <c r="P727" s="60"/>
      <c r="Q727" s="64"/>
      <c r="R727" s="64"/>
      <c r="S727" s="64"/>
      <c r="T727" s="64"/>
      <c r="U727" s="64"/>
      <c r="V727" s="64"/>
      <c r="W727" s="64"/>
      <c r="X727" s="64"/>
      <c r="Y727" s="64"/>
      <c r="Z727" s="64"/>
      <c r="AA727" s="64"/>
      <c r="AB727" s="64"/>
      <c r="AC727" s="64"/>
      <c r="AD727" s="64"/>
      <c r="AE727" s="64"/>
      <c r="AF727" s="64"/>
      <c r="AG727" s="64"/>
      <c r="AH727" s="64"/>
      <c r="AI727" s="64"/>
      <c r="AJ727" s="64"/>
    </row>
    <row r="728">
      <c r="A728" s="64"/>
      <c r="B728" s="64"/>
      <c r="C728" s="64"/>
      <c r="D728" s="64"/>
      <c r="E728" s="64"/>
      <c r="F728" s="64"/>
      <c r="G728" s="64"/>
      <c r="H728" s="64"/>
      <c r="I728" s="64"/>
      <c r="J728" s="64"/>
      <c r="K728" s="64"/>
      <c r="L728" s="64"/>
      <c r="M728" s="60"/>
      <c r="N728" s="60"/>
      <c r="O728" s="60"/>
      <c r="P728" s="60"/>
      <c r="Q728" s="64"/>
      <c r="R728" s="64"/>
      <c r="S728" s="64"/>
      <c r="T728" s="64"/>
      <c r="U728" s="64"/>
      <c r="V728" s="64"/>
      <c r="W728" s="64"/>
      <c r="X728" s="64"/>
      <c r="Y728" s="64"/>
      <c r="Z728" s="64"/>
      <c r="AA728" s="64"/>
      <c r="AB728" s="64"/>
      <c r="AC728" s="64"/>
      <c r="AD728" s="64"/>
      <c r="AE728" s="64"/>
      <c r="AF728" s="64"/>
      <c r="AG728" s="64"/>
      <c r="AH728" s="64"/>
      <c r="AI728" s="64"/>
      <c r="AJ728" s="64"/>
    </row>
    <row r="729">
      <c r="A729" s="64"/>
      <c r="B729" s="64"/>
      <c r="C729" s="64"/>
      <c r="D729" s="64"/>
      <c r="E729" s="64"/>
      <c r="F729" s="64"/>
      <c r="G729" s="64"/>
      <c r="H729" s="64"/>
      <c r="I729" s="64"/>
      <c r="J729" s="64"/>
      <c r="K729" s="64"/>
      <c r="L729" s="64"/>
      <c r="M729" s="60"/>
      <c r="N729" s="60"/>
      <c r="O729" s="60"/>
      <c r="P729" s="60"/>
      <c r="Q729" s="64"/>
      <c r="R729" s="64"/>
      <c r="S729" s="64"/>
      <c r="T729" s="64"/>
      <c r="U729" s="64"/>
      <c r="V729" s="64"/>
      <c r="W729" s="64"/>
      <c r="X729" s="64"/>
      <c r="Y729" s="64"/>
      <c r="Z729" s="64"/>
      <c r="AA729" s="64"/>
      <c r="AB729" s="64"/>
      <c r="AC729" s="64"/>
      <c r="AD729" s="64"/>
      <c r="AE729" s="64"/>
      <c r="AF729" s="64"/>
      <c r="AG729" s="64"/>
      <c r="AH729" s="64"/>
      <c r="AI729" s="64"/>
      <c r="AJ729" s="64"/>
    </row>
    <row r="730">
      <c r="A730" s="64"/>
      <c r="B730" s="64"/>
      <c r="C730" s="64"/>
      <c r="D730" s="64"/>
      <c r="E730" s="64"/>
      <c r="F730" s="64"/>
      <c r="G730" s="64"/>
      <c r="H730" s="64"/>
      <c r="I730" s="64"/>
      <c r="J730" s="64"/>
      <c r="K730" s="64"/>
      <c r="L730" s="64"/>
      <c r="M730" s="60"/>
      <c r="N730" s="60"/>
      <c r="O730" s="60"/>
      <c r="P730" s="60"/>
      <c r="Q730" s="64"/>
      <c r="R730" s="64"/>
      <c r="S730" s="64"/>
      <c r="T730" s="64"/>
      <c r="U730" s="64"/>
      <c r="V730" s="64"/>
      <c r="W730" s="64"/>
      <c r="X730" s="64"/>
      <c r="Y730" s="64"/>
      <c r="Z730" s="64"/>
      <c r="AA730" s="64"/>
      <c r="AB730" s="64"/>
      <c r="AC730" s="64"/>
      <c r="AD730" s="64"/>
      <c r="AE730" s="64"/>
      <c r="AF730" s="64"/>
      <c r="AG730" s="64"/>
      <c r="AH730" s="64"/>
      <c r="AI730" s="64"/>
      <c r="AJ730" s="64"/>
    </row>
    <row r="731">
      <c r="A731" s="64"/>
      <c r="B731" s="64"/>
      <c r="C731" s="64"/>
      <c r="D731" s="64"/>
      <c r="E731" s="64"/>
      <c r="F731" s="64"/>
      <c r="G731" s="64"/>
      <c r="H731" s="64"/>
      <c r="I731" s="64"/>
      <c r="J731" s="64"/>
      <c r="K731" s="64"/>
      <c r="L731" s="64"/>
      <c r="M731" s="60"/>
      <c r="N731" s="60"/>
      <c r="O731" s="60"/>
      <c r="P731" s="60"/>
      <c r="Q731" s="64"/>
      <c r="R731" s="64"/>
      <c r="S731" s="64"/>
      <c r="T731" s="64"/>
      <c r="U731" s="64"/>
      <c r="V731" s="64"/>
      <c r="W731" s="64"/>
      <c r="X731" s="64"/>
      <c r="Y731" s="64"/>
      <c r="Z731" s="64"/>
      <c r="AA731" s="64"/>
      <c r="AB731" s="64"/>
      <c r="AC731" s="64"/>
      <c r="AD731" s="64"/>
      <c r="AE731" s="64"/>
      <c r="AF731" s="64"/>
      <c r="AG731" s="64"/>
      <c r="AH731" s="64"/>
      <c r="AI731" s="64"/>
      <c r="AJ731" s="64"/>
    </row>
    <row r="732">
      <c r="A732" s="64"/>
      <c r="B732" s="64"/>
      <c r="C732" s="64"/>
      <c r="D732" s="64"/>
      <c r="E732" s="64"/>
      <c r="F732" s="64"/>
      <c r="G732" s="64"/>
      <c r="H732" s="64"/>
      <c r="I732" s="64"/>
      <c r="J732" s="64"/>
      <c r="K732" s="64"/>
      <c r="L732" s="64"/>
      <c r="M732" s="60"/>
      <c r="N732" s="60"/>
      <c r="O732" s="60"/>
      <c r="P732" s="60"/>
      <c r="Q732" s="64"/>
      <c r="R732" s="64"/>
      <c r="S732" s="64"/>
      <c r="T732" s="64"/>
      <c r="U732" s="64"/>
      <c r="V732" s="64"/>
      <c r="W732" s="64"/>
      <c r="X732" s="64"/>
      <c r="Y732" s="64"/>
      <c r="Z732" s="64"/>
      <c r="AA732" s="64"/>
      <c r="AB732" s="64"/>
      <c r="AC732" s="64"/>
      <c r="AD732" s="64"/>
      <c r="AE732" s="64"/>
      <c r="AF732" s="64"/>
      <c r="AG732" s="64"/>
      <c r="AH732" s="64"/>
      <c r="AI732" s="64"/>
      <c r="AJ732" s="64"/>
    </row>
    <row r="733">
      <c r="A733" s="64"/>
      <c r="B733" s="64"/>
      <c r="C733" s="64"/>
      <c r="D733" s="64"/>
      <c r="E733" s="64"/>
      <c r="F733" s="64"/>
      <c r="G733" s="64"/>
      <c r="H733" s="64"/>
      <c r="I733" s="64"/>
      <c r="J733" s="64"/>
      <c r="K733" s="64"/>
      <c r="L733" s="64"/>
      <c r="M733" s="60"/>
      <c r="N733" s="60"/>
      <c r="O733" s="60"/>
      <c r="P733" s="60"/>
      <c r="Q733" s="64"/>
      <c r="R733" s="64"/>
      <c r="S733" s="64"/>
      <c r="T733" s="64"/>
      <c r="U733" s="64"/>
      <c r="V733" s="64"/>
      <c r="W733" s="64"/>
      <c r="X733" s="64"/>
      <c r="Y733" s="64"/>
      <c r="Z733" s="64"/>
      <c r="AA733" s="64"/>
      <c r="AB733" s="64"/>
      <c r="AC733" s="64"/>
      <c r="AD733" s="64"/>
      <c r="AE733" s="64"/>
      <c r="AF733" s="64"/>
      <c r="AG733" s="64"/>
      <c r="AH733" s="64"/>
      <c r="AI733" s="64"/>
      <c r="AJ733" s="64"/>
    </row>
    <row r="734">
      <c r="A734" s="64"/>
      <c r="B734" s="64"/>
      <c r="C734" s="64"/>
      <c r="D734" s="64"/>
      <c r="E734" s="64"/>
      <c r="F734" s="64"/>
      <c r="G734" s="64"/>
      <c r="H734" s="64"/>
      <c r="I734" s="64"/>
      <c r="J734" s="64"/>
      <c r="K734" s="64"/>
      <c r="L734" s="64"/>
      <c r="M734" s="60"/>
      <c r="N734" s="60"/>
      <c r="O734" s="60"/>
      <c r="P734" s="60"/>
      <c r="Q734" s="64"/>
      <c r="R734" s="64"/>
      <c r="S734" s="64"/>
      <c r="T734" s="64"/>
      <c r="U734" s="64"/>
      <c r="V734" s="64"/>
      <c r="W734" s="64"/>
      <c r="X734" s="64"/>
      <c r="Y734" s="64"/>
      <c r="Z734" s="64"/>
      <c r="AA734" s="64"/>
      <c r="AB734" s="64"/>
      <c r="AC734" s="64"/>
      <c r="AD734" s="64"/>
      <c r="AE734" s="64"/>
      <c r="AF734" s="64"/>
      <c r="AG734" s="64"/>
      <c r="AH734" s="64"/>
      <c r="AI734" s="64"/>
      <c r="AJ734" s="64"/>
    </row>
    <row r="735">
      <c r="A735" s="64"/>
      <c r="B735" s="64"/>
      <c r="C735" s="64"/>
      <c r="D735" s="64"/>
      <c r="E735" s="64"/>
      <c r="F735" s="64"/>
      <c r="G735" s="64"/>
      <c r="H735" s="64"/>
      <c r="I735" s="64"/>
      <c r="J735" s="64"/>
      <c r="K735" s="64"/>
      <c r="L735" s="64"/>
      <c r="M735" s="60"/>
      <c r="N735" s="60"/>
      <c r="O735" s="60"/>
      <c r="P735" s="60"/>
      <c r="Q735" s="64"/>
      <c r="R735" s="64"/>
      <c r="S735" s="64"/>
      <c r="T735" s="64"/>
      <c r="U735" s="64"/>
      <c r="V735" s="64"/>
      <c r="W735" s="64"/>
      <c r="X735" s="64"/>
      <c r="Y735" s="64"/>
      <c r="Z735" s="64"/>
      <c r="AA735" s="64"/>
      <c r="AB735" s="64"/>
      <c r="AC735" s="64"/>
      <c r="AD735" s="64"/>
      <c r="AE735" s="64"/>
      <c r="AF735" s="64"/>
      <c r="AG735" s="64"/>
      <c r="AH735" s="64"/>
      <c r="AI735" s="64"/>
      <c r="AJ735" s="64"/>
    </row>
    <row r="736">
      <c r="A736" s="64"/>
      <c r="B736" s="64"/>
      <c r="C736" s="64"/>
      <c r="D736" s="64"/>
      <c r="E736" s="64"/>
      <c r="F736" s="64"/>
      <c r="G736" s="64"/>
      <c r="H736" s="64"/>
      <c r="I736" s="64"/>
      <c r="J736" s="64"/>
      <c r="K736" s="64"/>
      <c r="L736" s="64"/>
      <c r="M736" s="60"/>
      <c r="N736" s="60"/>
      <c r="O736" s="60"/>
      <c r="P736" s="60"/>
      <c r="Q736" s="64"/>
      <c r="R736" s="64"/>
      <c r="S736" s="64"/>
      <c r="T736" s="64"/>
      <c r="U736" s="64"/>
      <c r="V736" s="64"/>
      <c r="W736" s="64"/>
      <c r="X736" s="64"/>
      <c r="Y736" s="64"/>
      <c r="Z736" s="64"/>
      <c r="AA736" s="64"/>
      <c r="AB736" s="64"/>
      <c r="AC736" s="64"/>
      <c r="AD736" s="64"/>
      <c r="AE736" s="64"/>
      <c r="AF736" s="64"/>
      <c r="AG736" s="64"/>
      <c r="AH736" s="64"/>
      <c r="AI736" s="64"/>
      <c r="AJ736" s="64"/>
    </row>
    <row r="737">
      <c r="A737" s="64"/>
      <c r="B737" s="64"/>
      <c r="C737" s="64"/>
      <c r="D737" s="64"/>
      <c r="E737" s="64"/>
      <c r="F737" s="64"/>
      <c r="G737" s="64"/>
      <c r="H737" s="64"/>
      <c r="I737" s="64"/>
      <c r="J737" s="64"/>
      <c r="K737" s="64"/>
      <c r="L737" s="64"/>
      <c r="M737" s="60"/>
      <c r="N737" s="60"/>
      <c r="O737" s="60"/>
      <c r="P737" s="60"/>
      <c r="Q737" s="64"/>
      <c r="R737" s="64"/>
      <c r="S737" s="64"/>
      <c r="T737" s="64"/>
      <c r="U737" s="64"/>
      <c r="V737" s="64"/>
      <c r="W737" s="64"/>
      <c r="X737" s="64"/>
      <c r="Y737" s="64"/>
      <c r="Z737" s="64"/>
      <c r="AA737" s="64"/>
      <c r="AB737" s="64"/>
      <c r="AC737" s="64"/>
      <c r="AD737" s="64"/>
      <c r="AE737" s="64"/>
      <c r="AF737" s="64"/>
      <c r="AG737" s="64"/>
      <c r="AH737" s="64"/>
      <c r="AI737" s="64"/>
      <c r="AJ737" s="64"/>
    </row>
    <row r="738">
      <c r="A738" s="64"/>
      <c r="B738" s="64"/>
      <c r="C738" s="64"/>
      <c r="D738" s="64"/>
      <c r="E738" s="64"/>
      <c r="F738" s="64"/>
      <c r="G738" s="64"/>
      <c r="H738" s="64"/>
      <c r="I738" s="64"/>
      <c r="J738" s="64"/>
      <c r="K738" s="64"/>
      <c r="L738" s="64"/>
      <c r="M738" s="60"/>
      <c r="N738" s="60"/>
      <c r="O738" s="60"/>
      <c r="P738" s="60"/>
      <c r="Q738" s="64"/>
      <c r="R738" s="64"/>
      <c r="S738" s="64"/>
      <c r="T738" s="64"/>
      <c r="U738" s="64"/>
      <c r="V738" s="64"/>
      <c r="W738" s="64"/>
      <c r="X738" s="64"/>
      <c r="Y738" s="64"/>
      <c r="Z738" s="64"/>
      <c r="AA738" s="64"/>
      <c r="AB738" s="64"/>
      <c r="AC738" s="64"/>
      <c r="AD738" s="64"/>
      <c r="AE738" s="64"/>
      <c r="AF738" s="64"/>
      <c r="AG738" s="64"/>
      <c r="AH738" s="64"/>
      <c r="AI738" s="64"/>
      <c r="AJ738" s="64"/>
    </row>
    <row r="739">
      <c r="A739" s="64"/>
      <c r="B739" s="64"/>
      <c r="C739" s="64"/>
      <c r="D739" s="64"/>
      <c r="E739" s="64"/>
      <c r="F739" s="64"/>
      <c r="G739" s="64"/>
      <c r="H739" s="64"/>
      <c r="I739" s="64"/>
      <c r="J739" s="64"/>
      <c r="K739" s="64"/>
      <c r="L739" s="64"/>
      <c r="M739" s="60"/>
      <c r="N739" s="60"/>
      <c r="O739" s="60"/>
      <c r="P739" s="60"/>
      <c r="Q739" s="64"/>
      <c r="R739" s="64"/>
      <c r="S739" s="64"/>
      <c r="T739" s="64"/>
      <c r="U739" s="64"/>
      <c r="V739" s="64"/>
      <c r="W739" s="64"/>
      <c r="X739" s="64"/>
      <c r="Y739" s="64"/>
      <c r="Z739" s="64"/>
      <c r="AA739" s="64"/>
      <c r="AB739" s="64"/>
      <c r="AC739" s="64"/>
      <c r="AD739" s="64"/>
      <c r="AE739" s="64"/>
      <c r="AF739" s="64"/>
      <c r="AG739" s="64"/>
      <c r="AH739" s="64"/>
      <c r="AI739" s="64"/>
      <c r="AJ739" s="64"/>
    </row>
    <row r="740">
      <c r="A740" s="64"/>
      <c r="B740" s="64"/>
      <c r="C740" s="64"/>
      <c r="D740" s="64"/>
      <c r="E740" s="64"/>
      <c r="F740" s="64"/>
      <c r="G740" s="64"/>
      <c r="H740" s="64"/>
      <c r="I740" s="64"/>
      <c r="J740" s="64"/>
      <c r="K740" s="64"/>
      <c r="L740" s="64"/>
      <c r="M740" s="60"/>
      <c r="N740" s="60"/>
      <c r="O740" s="60"/>
      <c r="P740" s="60"/>
      <c r="Q740" s="64"/>
      <c r="R740" s="64"/>
      <c r="S740" s="64"/>
      <c r="T740" s="64"/>
      <c r="U740" s="64"/>
      <c r="V740" s="64"/>
      <c r="W740" s="64"/>
      <c r="X740" s="64"/>
      <c r="Y740" s="64"/>
      <c r="Z740" s="64"/>
      <c r="AA740" s="64"/>
      <c r="AB740" s="64"/>
      <c r="AC740" s="64"/>
      <c r="AD740" s="64"/>
      <c r="AE740" s="64"/>
      <c r="AF740" s="64"/>
      <c r="AG740" s="64"/>
      <c r="AH740" s="64"/>
      <c r="AI740" s="64"/>
      <c r="AJ740" s="64"/>
    </row>
    <row r="741">
      <c r="A741" s="64"/>
      <c r="B741" s="64"/>
      <c r="C741" s="64"/>
      <c r="D741" s="64"/>
      <c r="E741" s="64"/>
      <c r="F741" s="64"/>
      <c r="G741" s="64"/>
      <c r="H741" s="64"/>
      <c r="I741" s="64"/>
      <c r="J741" s="64"/>
      <c r="K741" s="64"/>
      <c r="L741" s="64"/>
      <c r="M741" s="60"/>
      <c r="N741" s="60"/>
      <c r="O741" s="60"/>
      <c r="P741" s="60"/>
      <c r="Q741" s="64"/>
      <c r="R741" s="64"/>
      <c r="S741" s="64"/>
      <c r="T741" s="64"/>
      <c r="U741" s="64"/>
      <c r="V741" s="64"/>
      <c r="W741" s="64"/>
      <c r="X741" s="64"/>
      <c r="Y741" s="64"/>
      <c r="Z741" s="64"/>
      <c r="AA741" s="64"/>
      <c r="AB741" s="64"/>
      <c r="AC741" s="64"/>
      <c r="AD741" s="64"/>
      <c r="AE741" s="64"/>
      <c r="AF741" s="64"/>
      <c r="AG741" s="64"/>
      <c r="AH741" s="64"/>
      <c r="AI741" s="64"/>
      <c r="AJ741" s="64"/>
    </row>
    <row r="742">
      <c r="A742" s="64"/>
      <c r="B742" s="64"/>
      <c r="C742" s="64"/>
      <c r="D742" s="64"/>
      <c r="E742" s="64"/>
      <c r="F742" s="64"/>
      <c r="G742" s="64"/>
      <c r="H742" s="64"/>
      <c r="I742" s="64"/>
      <c r="J742" s="64"/>
      <c r="K742" s="64"/>
      <c r="L742" s="64"/>
      <c r="M742" s="60"/>
      <c r="N742" s="60"/>
      <c r="O742" s="60"/>
      <c r="P742" s="60"/>
      <c r="Q742" s="64"/>
      <c r="R742" s="64"/>
      <c r="S742" s="64"/>
      <c r="T742" s="64"/>
      <c r="U742" s="64"/>
      <c r="V742" s="64"/>
      <c r="W742" s="64"/>
      <c r="X742" s="64"/>
      <c r="Y742" s="64"/>
      <c r="Z742" s="64"/>
      <c r="AA742" s="64"/>
      <c r="AB742" s="64"/>
      <c r="AC742" s="64"/>
      <c r="AD742" s="64"/>
      <c r="AE742" s="64"/>
      <c r="AF742" s="64"/>
      <c r="AG742" s="64"/>
      <c r="AH742" s="64"/>
      <c r="AI742" s="64"/>
      <c r="AJ742" s="64"/>
    </row>
    <row r="743">
      <c r="A743" s="64"/>
      <c r="B743" s="64"/>
      <c r="C743" s="64"/>
      <c r="D743" s="64"/>
      <c r="E743" s="64"/>
      <c r="F743" s="64"/>
      <c r="G743" s="64"/>
      <c r="H743" s="64"/>
      <c r="I743" s="64"/>
      <c r="J743" s="64"/>
      <c r="K743" s="64"/>
      <c r="L743" s="64"/>
      <c r="M743" s="60"/>
      <c r="N743" s="60"/>
      <c r="O743" s="60"/>
      <c r="P743" s="60"/>
      <c r="Q743" s="64"/>
      <c r="R743" s="64"/>
      <c r="S743" s="64"/>
      <c r="T743" s="64"/>
      <c r="U743" s="64"/>
      <c r="V743" s="64"/>
      <c r="W743" s="64"/>
      <c r="X743" s="64"/>
      <c r="Y743" s="64"/>
      <c r="Z743" s="64"/>
      <c r="AA743" s="64"/>
      <c r="AB743" s="64"/>
      <c r="AC743" s="64"/>
      <c r="AD743" s="64"/>
      <c r="AE743" s="64"/>
      <c r="AF743" s="64"/>
      <c r="AG743" s="64"/>
      <c r="AH743" s="64"/>
      <c r="AI743" s="64"/>
      <c r="AJ743" s="64"/>
    </row>
    <row r="744">
      <c r="A744" s="64"/>
      <c r="B744" s="64"/>
      <c r="C744" s="64"/>
      <c r="D744" s="64"/>
      <c r="E744" s="64"/>
      <c r="F744" s="64"/>
      <c r="G744" s="64"/>
      <c r="H744" s="64"/>
      <c r="I744" s="64"/>
      <c r="J744" s="64"/>
      <c r="K744" s="64"/>
      <c r="L744" s="64"/>
      <c r="M744" s="60"/>
      <c r="N744" s="60"/>
      <c r="O744" s="60"/>
      <c r="P744" s="60"/>
      <c r="Q744" s="64"/>
      <c r="R744" s="64"/>
      <c r="S744" s="64"/>
      <c r="T744" s="64"/>
      <c r="U744" s="64"/>
      <c r="V744" s="64"/>
      <c r="W744" s="64"/>
      <c r="X744" s="64"/>
      <c r="Y744" s="64"/>
      <c r="Z744" s="64"/>
      <c r="AA744" s="64"/>
      <c r="AB744" s="64"/>
      <c r="AC744" s="64"/>
      <c r="AD744" s="64"/>
      <c r="AE744" s="64"/>
      <c r="AF744" s="64"/>
      <c r="AG744" s="64"/>
      <c r="AH744" s="64"/>
      <c r="AI744" s="64"/>
      <c r="AJ744" s="64"/>
    </row>
    <row r="745">
      <c r="A745" s="64"/>
      <c r="B745" s="64"/>
      <c r="C745" s="64"/>
      <c r="D745" s="64"/>
      <c r="E745" s="64"/>
      <c r="F745" s="64"/>
      <c r="G745" s="64"/>
      <c r="H745" s="64"/>
      <c r="I745" s="64"/>
      <c r="J745" s="64"/>
      <c r="K745" s="64"/>
      <c r="L745" s="64"/>
      <c r="M745" s="60"/>
      <c r="N745" s="60"/>
      <c r="O745" s="60"/>
      <c r="P745" s="60"/>
      <c r="Q745" s="64"/>
      <c r="R745" s="64"/>
      <c r="S745" s="64"/>
      <c r="T745" s="64"/>
      <c r="U745" s="64"/>
      <c r="V745" s="64"/>
      <c r="W745" s="64"/>
      <c r="X745" s="64"/>
      <c r="Y745" s="64"/>
      <c r="Z745" s="64"/>
      <c r="AA745" s="64"/>
      <c r="AB745" s="64"/>
      <c r="AC745" s="64"/>
      <c r="AD745" s="64"/>
      <c r="AE745" s="64"/>
      <c r="AF745" s="64"/>
      <c r="AG745" s="64"/>
      <c r="AH745" s="64"/>
      <c r="AI745" s="64"/>
      <c r="AJ745" s="64"/>
    </row>
    <row r="746">
      <c r="A746" s="64"/>
      <c r="B746" s="64"/>
      <c r="C746" s="64"/>
      <c r="D746" s="64"/>
      <c r="E746" s="64"/>
      <c r="F746" s="64"/>
      <c r="G746" s="64"/>
      <c r="H746" s="64"/>
      <c r="I746" s="64"/>
      <c r="J746" s="64"/>
      <c r="K746" s="64"/>
      <c r="L746" s="64"/>
      <c r="M746" s="60"/>
      <c r="N746" s="60"/>
      <c r="O746" s="60"/>
      <c r="P746" s="60"/>
      <c r="Q746" s="64"/>
      <c r="R746" s="64"/>
      <c r="S746" s="64"/>
      <c r="T746" s="64"/>
      <c r="U746" s="64"/>
      <c r="V746" s="64"/>
      <c r="W746" s="64"/>
      <c r="X746" s="64"/>
      <c r="Y746" s="64"/>
      <c r="Z746" s="64"/>
      <c r="AA746" s="64"/>
      <c r="AB746" s="64"/>
      <c r="AC746" s="64"/>
      <c r="AD746" s="64"/>
      <c r="AE746" s="64"/>
      <c r="AF746" s="64"/>
      <c r="AG746" s="64"/>
      <c r="AH746" s="64"/>
      <c r="AI746" s="64"/>
      <c r="AJ746" s="64"/>
    </row>
    <row r="747">
      <c r="A747" s="64"/>
      <c r="B747" s="64"/>
      <c r="C747" s="64"/>
      <c r="D747" s="64"/>
      <c r="E747" s="64"/>
      <c r="F747" s="64"/>
      <c r="G747" s="64"/>
      <c r="H747" s="64"/>
      <c r="I747" s="64"/>
      <c r="J747" s="64"/>
      <c r="K747" s="64"/>
      <c r="L747" s="64"/>
      <c r="M747" s="60"/>
      <c r="N747" s="60"/>
      <c r="O747" s="60"/>
      <c r="P747" s="60"/>
      <c r="Q747" s="64"/>
      <c r="R747" s="64"/>
      <c r="S747" s="64"/>
      <c r="T747" s="64"/>
      <c r="U747" s="64"/>
      <c r="V747" s="64"/>
      <c r="W747" s="64"/>
      <c r="X747" s="64"/>
      <c r="Y747" s="64"/>
      <c r="Z747" s="64"/>
      <c r="AA747" s="64"/>
      <c r="AB747" s="64"/>
      <c r="AC747" s="64"/>
      <c r="AD747" s="64"/>
      <c r="AE747" s="64"/>
      <c r="AF747" s="64"/>
      <c r="AG747" s="64"/>
      <c r="AH747" s="64"/>
      <c r="AI747" s="64"/>
      <c r="AJ747" s="64"/>
    </row>
    <row r="748">
      <c r="A748" s="64"/>
      <c r="B748" s="64"/>
      <c r="C748" s="64"/>
      <c r="D748" s="64"/>
      <c r="E748" s="64"/>
      <c r="F748" s="64"/>
      <c r="G748" s="64"/>
      <c r="H748" s="64"/>
      <c r="I748" s="64"/>
      <c r="J748" s="64"/>
      <c r="K748" s="64"/>
      <c r="L748" s="64"/>
      <c r="M748" s="60"/>
      <c r="N748" s="60"/>
      <c r="O748" s="60"/>
      <c r="P748" s="60"/>
      <c r="Q748" s="64"/>
      <c r="R748" s="64"/>
      <c r="S748" s="64"/>
      <c r="T748" s="64"/>
      <c r="U748" s="64"/>
      <c r="V748" s="64"/>
      <c r="W748" s="64"/>
      <c r="X748" s="64"/>
      <c r="Y748" s="64"/>
      <c r="Z748" s="64"/>
      <c r="AA748" s="64"/>
      <c r="AB748" s="64"/>
      <c r="AC748" s="64"/>
      <c r="AD748" s="64"/>
      <c r="AE748" s="64"/>
      <c r="AF748" s="64"/>
      <c r="AG748" s="64"/>
      <c r="AH748" s="64"/>
      <c r="AI748" s="64"/>
      <c r="AJ748" s="64"/>
    </row>
    <row r="749">
      <c r="A749" s="64"/>
      <c r="B749" s="64"/>
      <c r="C749" s="64"/>
      <c r="D749" s="64"/>
      <c r="E749" s="64"/>
      <c r="F749" s="64"/>
      <c r="G749" s="64"/>
      <c r="H749" s="64"/>
      <c r="I749" s="64"/>
      <c r="J749" s="64"/>
      <c r="K749" s="64"/>
      <c r="L749" s="64"/>
      <c r="M749" s="60"/>
      <c r="N749" s="60"/>
      <c r="O749" s="60"/>
      <c r="P749" s="60"/>
      <c r="Q749" s="64"/>
      <c r="R749" s="64"/>
      <c r="S749" s="64"/>
      <c r="T749" s="64"/>
      <c r="U749" s="64"/>
      <c r="V749" s="64"/>
      <c r="W749" s="64"/>
      <c r="X749" s="64"/>
      <c r="Y749" s="64"/>
      <c r="Z749" s="64"/>
      <c r="AA749" s="64"/>
      <c r="AB749" s="64"/>
      <c r="AC749" s="64"/>
      <c r="AD749" s="64"/>
      <c r="AE749" s="64"/>
      <c r="AF749" s="64"/>
      <c r="AG749" s="64"/>
      <c r="AH749" s="64"/>
      <c r="AI749" s="64"/>
      <c r="AJ749" s="64"/>
    </row>
    <row r="750">
      <c r="A750" s="64"/>
      <c r="B750" s="64"/>
      <c r="C750" s="64"/>
      <c r="D750" s="64"/>
      <c r="E750" s="64"/>
      <c r="F750" s="64"/>
      <c r="G750" s="64"/>
      <c r="H750" s="64"/>
      <c r="I750" s="64"/>
      <c r="J750" s="64"/>
      <c r="K750" s="64"/>
      <c r="L750" s="64"/>
      <c r="M750" s="60"/>
      <c r="N750" s="60"/>
      <c r="O750" s="60"/>
      <c r="P750" s="60"/>
      <c r="Q750" s="64"/>
      <c r="R750" s="64"/>
      <c r="S750" s="64"/>
      <c r="T750" s="64"/>
      <c r="U750" s="64"/>
      <c r="V750" s="64"/>
      <c r="W750" s="64"/>
      <c r="X750" s="64"/>
      <c r="Y750" s="64"/>
      <c r="Z750" s="64"/>
      <c r="AA750" s="64"/>
      <c r="AB750" s="64"/>
      <c r="AC750" s="64"/>
      <c r="AD750" s="64"/>
      <c r="AE750" s="64"/>
      <c r="AF750" s="64"/>
      <c r="AG750" s="64"/>
      <c r="AH750" s="64"/>
      <c r="AI750" s="64"/>
      <c r="AJ750" s="64"/>
    </row>
    <row r="751">
      <c r="A751" s="64"/>
      <c r="B751" s="64"/>
      <c r="C751" s="64"/>
      <c r="D751" s="64"/>
      <c r="E751" s="64"/>
      <c r="F751" s="64"/>
      <c r="G751" s="64"/>
      <c r="H751" s="64"/>
      <c r="I751" s="64"/>
      <c r="J751" s="64"/>
      <c r="K751" s="64"/>
      <c r="L751" s="64"/>
      <c r="M751" s="60"/>
      <c r="N751" s="60"/>
      <c r="O751" s="60"/>
      <c r="P751" s="60"/>
      <c r="Q751" s="64"/>
      <c r="R751" s="64"/>
      <c r="S751" s="64"/>
      <c r="T751" s="64"/>
      <c r="U751" s="64"/>
      <c r="V751" s="64"/>
      <c r="W751" s="64"/>
      <c r="X751" s="64"/>
      <c r="Y751" s="64"/>
      <c r="Z751" s="64"/>
      <c r="AA751" s="64"/>
      <c r="AB751" s="64"/>
      <c r="AC751" s="64"/>
      <c r="AD751" s="64"/>
      <c r="AE751" s="64"/>
      <c r="AF751" s="64"/>
      <c r="AG751" s="64"/>
      <c r="AH751" s="64"/>
      <c r="AI751" s="64"/>
      <c r="AJ751" s="64"/>
    </row>
    <row r="752">
      <c r="A752" s="64"/>
      <c r="B752" s="64"/>
      <c r="C752" s="64"/>
      <c r="D752" s="64"/>
      <c r="E752" s="64"/>
      <c r="F752" s="64"/>
      <c r="G752" s="64"/>
      <c r="H752" s="64"/>
      <c r="I752" s="64"/>
      <c r="J752" s="64"/>
      <c r="K752" s="64"/>
      <c r="L752" s="64"/>
      <c r="M752" s="60"/>
      <c r="N752" s="60"/>
      <c r="O752" s="60"/>
      <c r="P752" s="60"/>
      <c r="Q752" s="64"/>
      <c r="R752" s="64"/>
      <c r="S752" s="64"/>
      <c r="T752" s="64"/>
      <c r="U752" s="64"/>
      <c r="V752" s="64"/>
      <c r="W752" s="64"/>
      <c r="X752" s="64"/>
      <c r="Y752" s="64"/>
      <c r="Z752" s="64"/>
      <c r="AA752" s="64"/>
      <c r="AB752" s="64"/>
      <c r="AC752" s="64"/>
      <c r="AD752" s="64"/>
      <c r="AE752" s="64"/>
      <c r="AF752" s="64"/>
      <c r="AG752" s="64"/>
      <c r="AH752" s="64"/>
      <c r="AI752" s="64"/>
      <c r="AJ752" s="64"/>
    </row>
    <row r="753">
      <c r="A753" s="64"/>
      <c r="B753" s="64"/>
      <c r="C753" s="64"/>
      <c r="D753" s="64"/>
      <c r="E753" s="64"/>
      <c r="F753" s="64"/>
      <c r="G753" s="64"/>
      <c r="H753" s="64"/>
      <c r="I753" s="64"/>
      <c r="J753" s="64"/>
      <c r="K753" s="64"/>
      <c r="L753" s="64"/>
      <c r="M753" s="60"/>
      <c r="N753" s="60"/>
      <c r="O753" s="60"/>
      <c r="P753" s="60"/>
      <c r="Q753" s="64"/>
      <c r="R753" s="64"/>
      <c r="S753" s="64"/>
      <c r="T753" s="64"/>
      <c r="U753" s="64"/>
      <c r="V753" s="64"/>
      <c r="W753" s="64"/>
      <c r="X753" s="64"/>
      <c r="Y753" s="64"/>
      <c r="Z753" s="64"/>
      <c r="AA753" s="64"/>
      <c r="AB753" s="64"/>
      <c r="AC753" s="64"/>
      <c r="AD753" s="64"/>
      <c r="AE753" s="64"/>
      <c r="AF753" s="64"/>
      <c r="AG753" s="64"/>
      <c r="AH753" s="64"/>
      <c r="AI753" s="64"/>
      <c r="AJ753" s="64"/>
    </row>
    <row r="754">
      <c r="A754" s="64"/>
      <c r="B754" s="64"/>
      <c r="C754" s="64"/>
      <c r="D754" s="64"/>
      <c r="E754" s="64"/>
      <c r="F754" s="64"/>
      <c r="G754" s="64"/>
      <c r="H754" s="64"/>
      <c r="I754" s="64"/>
      <c r="J754" s="64"/>
      <c r="K754" s="64"/>
      <c r="L754" s="64"/>
      <c r="M754" s="60"/>
      <c r="N754" s="60"/>
      <c r="O754" s="60"/>
      <c r="P754" s="60"/>
      <c r="Q754" s="64"/>
      <c r="R754" s="64"/>
      <c r="S754" s="64"/>
      <c r="T754" s="64"/>
      <c r="U754" s="64"/>
      <c r="V754" s="64"/>
      <c r="W754" s="64"/>
      <c r="X754" s="64"/>
      <c r="Y754" s="64"/>
      <c r="Z754" s="64"/>
      <c r="AA754" s="64"/>
      <c r="AB754" s="64"/>
      <c r="AC754" s="64"/>
      <c r="AD754" s="64"/>
      <c r="AE754" s="64"/>
      <c r="AF754" s="64"/>
      <c r="AG754" s="64"/>
      <c r="AH754" s="64"/>
      <c r="AI754" s="64"/>
      <c r="AJ754" s="64"/>
    </row>
    <row r="755">
      <c r="A755" s="64"/>
      <c r="B755" s="64"/>
      <c r="C755" s="64"/>
      <c r="D755" s="64"/>
      <c r="E755" s="64"/>
      <c r="F755" s="64"/>
      <c r="G755" s="64"/>
      <c r="H755" s="64"/>
      <c r="I755" s="64"/>
      <c r="J755" s="64"/>
      <c r="K755" s="64"/>
      <c r="L755" s="64"/>
      <c r="M755" s="60"/>
      <c r="N755" s="60"/>
      <c r="O755" s="60"/>
      <c r="P755" s="60"/>
      <c r="Q755" s="64"/>
      <c r="R755" s="64"/>
      <c r="S755" s="64"/>
      <c r="T755" s="64"/>
      <c r="U755" s="64"/>
      <c r="V755" s="64"/>
      <c r="W755" s="64"/>
      <c r="X755" s="64"/>
      <c r="Y755" s="64"/>
      <c r="Z755" s="64"/>
      <c r="AA755" s="64"/>
      <c r="AB755" s="64"/>
      <c r="AC755" s="64"/>
      <c r="AD755" s="64"/>
      <c r="AE755" s="64"/>
      <c r="AF755" s="64"/>
      <c r="AG755" s="64"/>
      <c r="AH755" s="64"/>
      <c r="AI755" s="64"/>
      <c r="AJ755" s="64"/>
    </row>
    <row r="756">
      <c r="A756" s="64"/>
      <c r="B756" s="64"/>
      <c r="C756" s="64"/>
      <c r="D756" s="64"/>
      <c r="E756" s="64"/>
      <c r="F756" s="64"/>
      <c r="G756" s="64"/>
      <c r="H756" s="64"/>
      <c r="I756" s="64"/>
      <c r="J756" s="64"/>
      <c r="K756" s="64"/>
      <c r="L756" s="64"/>
      <c r="M756" s="60"/>
      <c r="N756" s="60"/>
      <c r="O756" s="60"/>
      <c r="P756" s="60"/>
      <c r="Q756" s="64"/>
      <c r="R756" s="64"/>
      <c r="S756" s="64"/>
      <c r="T756" s="64"/>
      <c r="U756" s="64"/>
      <c r="V756" s="64"/>
      <c r="W756" s="64"/>
      <c r="X756" s="64"/>
      <c r="Y756" s="64"/>
      <c r="Z756" s="64"/>
      <c r="AA756" s="64"/>
      <c r="AB756" s="64"/>
      <c r="AC756" s="64"/>
      <c r="AD756" s="64"/>
      <c r="AE756" s="64"/>
      <c r="AF756" s="64"/>
      <c r="AG756" s="64"/>
      <c r="AH756" s="64"/>
      <c r="AI756" s="64"/>
      <c r="AJ756" s="64"/>
    </row>
    <row r="757">
      <c r="A757" s="64"/>
      <c r="B757" s="64"/>
      <c r="C757" s="64"/>
      <c r="D757" s="64"/>
      <c r="E757" s="64"/>
      <c r="F757" s="64"/>
      <c r="G757" s="64"/>
      <c r="H757" s="64"/>
      <c r="I757" s="64"/>
      <c r="J757" s="64"/>
      <c r="K757" s="64"/>
      <c r="L757" s="64"/>
      <c r="M757" s="60"/>
      <c r="N757" s="60"/>
      <c r="O757" s="60"/>
      <c r="P757" s="60"/>
      <c r="Q757" s="64"/>
      <c r="R757" s="64"/>
      <c r="S757" s="64"/>
      <c r="T757" s="64"/>
      <c r="U757" s="64"/>
      <c r="V757" s="64"/>
      <c r="W757" s="64"/>
      <c r="X757" s="64"/>
      <c r="Y757" s="64"/>
      <c r="Z757" s="64"/>
      <c r="AA757" s="64"/>
      <c r="AB757" s="64"/>
      <c r="AC757" s="64"/>
      <c r="AD757" s="64"/>
      <c r="AE757" s="64"/>
      <c r="AF757" s="64"/>
      <c r="AG757" s="64"/>
      <c r="AH757" s="64"/>
      <c r="AI757" s="64"/>
      <c r="AJ757" s="64"/>
    </row>
    <row r="758">
      <c r="A758" s="64"/>
      <c r="B758" s="64"/>
      <c r="C758" s="64"/>
      <c r="D758" s="64"/>
      <c r="E758" s="64"/>
      <c r="F758" s="64"/>
      <c r="G758" s="64"/>
      <c r="H758" s="64"/>
      <c r="I758" s="64"/>
      <c r="J758" s="64"/>
      <c r="K758" s="64"/>
      <c r="L758" s="64"/>
      <c r="M758" s="60"/>
      <c r="N758" s="60"/>
      <c r="O758" s="60"/>
      <c r="P758" s="60"/>
      <c r="Q758" s="64"/>
      <c r="R758" s="64"/>
      <c r="S758" s="64"/>
      <c r="T758" s="64"/>
      <c r="U758" s="64"/>
      <c r="V758" s="64"/>
      <c r="W758" s="64"/>
      <c r="X758" s="64"/>
      <c r="Y758" s="64"/>
      <c r="Z758" s="64"/>
      <c r="AA758" s="64"/>
      <c r="AB758" s="64"/>
      <c r="AC758" s="64"/>
      <c r="AD758" s="64"/>
      <c r="AE758" s="64"/>
      <c r="AF758" s="64"/>
      <c r="AG758" s="64"/>
      <c r="AH758" s="64"/>
      <c r="AI758" s="64"/>
      <c r="AJ758" s="64"/>
    </row>
    <row r="759">
      <c r="A759" s="64"/>
      <c r="B759" s="64"/>
      <c r="C759" s="64"/>
      <c r="D759" s="64"/>
      <c r="E759" s="64"/>
      <c r="F759" s="64"/>
      <c r="G759" s="64"/>
      <c r="H759" s="64"/>
      <c r="I759" s="64"/>
      <c r="J759" s="64"/>
      <c r="K759" s="64"/>
      <c r="L759" s="64"/>
      <c r="M759" s="60"/>
      <c r="N759" s="60"/>
      <c r="O759" s="60"/>
      <c r="P759" s="60"/>
      <c r="Q759" s="64"/>
      <c r="R759" s="64"/>
      <c r="S759" s="64"/>
      <c r="T759" s="64"/>
      <c r="U759" s="64"/>
      <c r="V759" s="64"/>
      <c r="W759" s="64"/>
      <c r="X759" s="64"/>
      <c r="Y759" s="64"/>
      <c r="Z759" s="64"/>
      <c r="AA759" s="64"/>
      <c r="AB759" s="64"/>
      <c r="AC759" s="64"/>
      <c r="AD759" s="64"/>
      <c r="AE759" s="64"/>
      <c r="AF759" s="64"/>
      <c r="AG759" s="64"/>
      <c r="AH759" s="64"/>
      <c r="AI759" s="64"/>
      <c r="AJ759" s="64"/>
    </row>
    <row r="760">
      <c r="A760" s="64"/>
      <c r="B760" s="64"/>
      <c r="C760" s="64"/>
      <c r="D760" s="64"/>
      <c r="E760" s="64"/>
      <c r="F760" s="64"/>
      <c r="G760" s="64"/>
      <c r="H760" s="64"/>
      <c r="I760" s="64"/>
      <c r="J760" s="64"/>
      <c r="K760" s="64"/>
      <c r="L760" s="64"/>
      <c r="M760" s="60"/>
      <c r="N760" s="60"/>
      <c r="O760" s="60"/>
      <c r="P760" s="60"/>
      <c r="Q760" s="64"/>
      <c r="R760" s="64"/>
      <c r="S760" s="64"/>
      <c r="T760" s="64"/>
      <c r="U760" s="64"/>
      <c r="V760" s="64"/>
      <c r="W760" s="64"/>
      <c r="X760" s="64"/>
      <c r="Y760" s="64"/>
      <c r="Z760" s="64"/>
      <c r="AA760" s="64"/>
      <c r="AB760" s="64"/>
      <c r="AC760" s="64"/>
      <c r="AD760" s="64"/>
      <c r="AE760" s="64"/>
      <c r="AF760" s="64"/>
      <c r="AG760" s="64"/>
      <c r="AH760" s="64"/>
      <c r="AI760" s="64"/>
      <c r="AJ760" s="64"/>
    </row>
    <row r="761">
      <c r="A761" s="64"/>
      <c r="B761" s="64"/>
      <c r="C761" s="64"/>
      <c r="D761" s="64"/>
      <c r="E761" s="64"/>
      <c r="F761" s="64"/>
      <c r="G761" s="64"/>
      <c r="H761" s="64"/>
      <c r="I761" s="64"/>
      <c r="J761" s="64"/>
      <c r="K761" s="64"/>
      <c r="L761" s="64"/>
      <c r="M761" s="60"/>
      <c r="N761" s="60"/>
      <c r="O761" s="60"/>
      <c r="P761" s="60"/>
      <c r="Q761" s="64"/>
      <c r="R761" s="64"/>
      <c r="S761" s="64"/>
      <c r="T761" s="64"/>
      <c r="U761" s="64"/>
      <c r="V761" s="64"/>
      <c r="W761" s="64"/>
      <c r="X761" s="64"/>
      <c r="Y761" s="64"/>
      <c r="Z761" s="64"/>
      <c r="AA761" s="64"/>
      <c r="AB761" s="64"/>
      <c r="AC761" s="64"/>
      <c r="AD761" s="64"/>
      <c r="AE761" s="64"/>
      <c r="AF761" s="64"/>
      <c r="AG761" s="64"/>
      <c r="AH761" s="64"/>
      <c r="AI761" s="64"/>
      <c r="AJ761" s="64"/>
    </row>
    <row r="762">
      <c r="A762" s="64"/>
      <c r="B762" s="64"/>
      <c r="C762" s="64"/>
      <c r="D762" s="64"/>
      <c r="E762" s="64"/>
      <c r="F762" s="64"/>
      <c r="G762" s="64"/>
      <c r="H762" s="64"/>
      <c r="I762" s="64"/>
      <c r="J762" s="64"/>
      <c r="K762" s="64"/>
      <c r="L762" s="64"/>
      <c r="M762" s="60"/>
      <c r="N762" s="60"/>
      <c r="O762" s="60"/>
      <c r="P762" s="60"/>
      <c r="Q762" s="64"/>
      <c r="R762" s="64"/>
      <c r="S762" s="64"/>
      <c r="T762" s="64"/>
      <c r="U762" s="64"/>
      <c r="V762" s="64"/>
      <c r="W762" s="64"/>
      <c r="X762" s="64"/>
      <c r="Y762" s="64"/>
      <c r="Z762" s="64"/>
      <c r="AA762" s="64"/>
      <c r="AB762" s="64"/>
      <c r="AC762" s="64"/>
      <c r="AD762" s="64"/>
      <c r="AE762" s="64"/>
      <c r="AF762" s="64"/>
      <c r="AG762" s="64"/>
      <c r="AH762" s="64"/>
      <c r="AI762" s="64"/>
      <c r="AJ762" s="64"/>
    </row>
    <row r="763">
      <c r="A763" s="64"/>
      <c r="B763" s="64"/>
      <c r="C763" s="64"/>
      <c r="D763" s="64"/>
      <c r="E763" s="64"/>
      <c r="F763" s="64"/>
      <c r="G763" s="64"/>
      <c r="H763" s="64"/>
      <c r="I763" s="64"/>
      <c r="J763" s="64"/>
      <c r="K763" s="64"/>
      <c r="L763" s="64"/>
      <c r="M763" s="60"/>
      <c r="N763" s="60"/>
      <c r="O763" s="60"/>
      <c r="P763" s="60"/>
      <c r="Q763" s="64"/>
      <c r="R763" s="64"/>
      <c r="S763" s="64"/>
      <c r="T763" s="64"/>
      <c r="U763" s="64"/>
      <c r="V763" s="64"/>
      <c r="W763" s="64"/>
      <c r="X763" s="64"/>
      <c r="Y763" s="64"/>
      <c r="Z763" s="64"/>
      <c r="AA763" s="64"/>
      <c r="AB763" s="64"/>
      <c r="AC763" s="64"/>
      <c r="AD763" s="64"/>
      <c r="AE763" s="64"/>
      <c r="AF763" s="64"/>
      <c r="AG763" s="64"/>
      <c r="AH763" s="64"/>
      <c r="AI763" s="64"/>
      <c r="AJ763" s="64"/>
    </row>
    <row r="764">
      <c r="A764" s="64"/>
      <c r="B764" s="64"/>
      <c r="C764" s="64"/>
      <c r="D764" s="64"/>
      <c r="E764" s="64"/>
      <c r="F764" s="64"/>
      <c r="G764" s="64"/>
      <c r="H764" s="64"/>
      <c r="I764" s="64"/>
      <c r="J764" s="64"/>
      <c r="K764" s="64"/>
      <c r="L764" s="64"/>
      <c r="M764" s="60"/>
      <c r="N764" s="60"/>
      <c r="O764" s="60"/>
      <c r="P764" s="60"/>
      <c r="Q764" s="64"/>
      <c r="R764" s="64"/>
      <c r="S764" s="64"/>
      <c r="T764" s="64"/>
      <c r="U764" s="64"/>
      <c r="V764" s="64"/>
      <c r="W764" s="64"/>
      <c r="X764" s="64"/>
      <c r="Y764" s="64"/>
      <c r="Z764" s="64"/>
      <c r="AA764" s="64"/>
      <c r="AB764" s="64"/>
      <c r="AC764" s="64"/>
      <c r="AD764" s="64"/>
      <c r="AE764" s="64"/>
      <c r="AF764" s="64"/>
      <c r="AG764" s="64"/>
      <c r="AH764" s="64"/>
      <c r="AI764" s="64"/>
      <c r="AJ764" s="64"/>
    </row>
    <row r="765">
      <c r="A765" s="64"/>
      <c r="B765" s="64"/>
      <c r="C765" s="64"/>
      <c r="D765" s="64"/>
      <c r="E765" s="64"/>
      <c r="F765" s="64"/>
      <c r="G765" s="64"/>
      <c r="H765" s="64"/>
      <c r="I765" s="64"/>
      <c r="J765" s="64"/>
      <c r="K765" s="64"/>
      <c r="L765" s="64"/>
      <c r="M765" s="60"/>
      <c r="N765" s="60"/>
      <c r="O765" s="60"/>
      <c r="P765" s="60"/>
      <c r="Q765" s="64"/>
      <c r="R765" s="64"/>
      <c r="S765" s="64"/>
      <c r="T765" s="64"/>
      <c r="U765" s="64"/>
      <c r="V765" s="64"/>
      <c r="W765" s="64"/>
      <c r="X765" s="64"/>
      <c r="Y765" s="64"/>
      <c r="Z765" s="64"/>
      <c r="AA765" s="64"/>
      <c r="AB765" s="64"/>
      <c r="AC765" s="64"/>
      <c r="AD765" s="64"/>
      <c r="AE765" s="64"/>
      <c r="AF765" s="64"/>
      <c r="AG765" s="64"/>
      <c r="AH765" s="64"/>
      <c r="AI765" s="64"/>
      <c r="AJ765" s="64"/>
    </row>
    <row r="766">
      <c r="A766" s="64"/>
      <c r="B766" s="64"/>
      <c r="C766" s="64"/>
      <c r="D766" s="64"/>
      <c r="E766" s="64"/>
      <c r="F766" s="64"/>
      <c r="G766" s="64"/>
      <c r="H766" s="64"/>
      <c r="I766" s="64"/>
      <c r="J766" s="64"/>
      <c r="K766" s="64"/>
      <c r="L766" s="64"/>
      <c r="M766" s="60"/>
      <c r="N766" s="60"/>
      <c r="O766" s="60"/>
      <c r="P766" s="60"/>
      <c r="Q766" s="64"/>
      <c r="R766" s="64"/>
      <c r="S766" s="64"/>
      <c r="T766" s="64"/>
      <c r="U766" s="64"/>
      <c r="V766" s="64"/>
      <c r="W766" s="64"/>
      <c r="X766" s="64"/>
      <c r="Y766" s="64"/>
      <c r="Z766" s="64"/>
      <c r="AA766" s="64"/>
      <c r="AB766" s="64"/>
      <c r="AC766" s="64"/>
      <c r="AD766" s="64"/>
      <c r="AE766" s="64"/>
      <c r="AF766" s="64"/>
      <c r="AG766" s="64"/>
      <c r="AH766" s="64"/>
      <c r="AI766" s="64"/>
      <c r="AJ766" s="64"/>
    </row>
    <row r="767">
      <c r="A767" s="64"/>
      <c r="B767" s="64"/>
      <c r="C767" s="64"/>
      <c r="D767" s="64"/>
      <c r="E767" s="64"/>
      <c r="F767" s="64"/>
      <c r="G767" s="64"/>
      <c r="H767" s="64"/>
      <c r="I767" s="64"/>
      <c r="J767" s="64"/>
      <c r="K767" s="64"/>
      <c r="L767" s="64"/>
      <c r="M767" s="60"/>
      <c r="N767" s="60"/>
      <c r="O767" s="60"/>
      <c r="P767" s="60"/>
      <c r="Q767" s="64"/>
      <c r="R767" s="64"/>
      <c r="S767" s="64"/>
      <c r="T767" s="64"/>
      <c r="U767" s="64"/>
      <c r="V767" s="64"/>
      <c r="W767" s="64"/>
      <c r="X767" s="64"/>
      <c r="Y767" s="64"/>
      <c r="Z767" s="64"/>
      <c r="AA767" s="64"/>
      <c r="AB767" s="64"/>
      <c r="AC767" s="64"/>
      <c r="AD767" s="64"/>
      <c r="AE767" s="64"/>
      <c r="AF767" s="64"/>
      <c r="AG767" s="64"/>
      <c r="AH767" s="64"/>
      <c r="AI767" s="64"/>
      <c r="AJ767" s="64"/>
    </row>
    <row r="768">
      <c r="A768" s="64"/>
      <c r="B768" s="64"/>
      <c r="C768" s="64"/>
      <c r="D768" s="64"/>
      <c r="E768" s="64"/>
      <c r="F768" s="64"/>
      <c r="G768" s="64"/>
      <c r="H768" s="64"/>
      <c r="I768" s="64"/>
      <c r="J768" s="64"/>
      <c r="K768" s="64"/>
      <c r="L768" s="64"/>
      <c r="M768" s="60"/>
      <c r="N768" s="60"/>
      <c r="O768" s="60"/>
      <c r="P768" s="60"/>
      <c r="Q768" s="64"/>
      <c r="R768" s="64"/>
      <c r="S768" s="64"/>
      <c r="T768" s="64"/>
      <c r="U768" s="64"/>
      <c r="V768" s="64"/>
      <c r="W768" s="64"/>
      <c r="X768" s="64"/>
      <c r="Y768" s="64"/>
      <c r="Z768" s="64"/>
      <c r="AA768" s="64"/>
      <c r="AB768" s="64"/>
      <c r="AC768" s="64"/>
      <c r="AD768" s="64"/>
      <c r="AE768" s="64"/>
      <c r="AF768" s="64"/>
      <c r="AG768" s="64"/>
      <c r="AH768" s="64"/>
      <c r="AI768" s="64"/>
      <c r="AJ768" s="64"/>
    </row>
    <row r="769">
      <c r="A769" s="64"/>
      <c r="B769" s="64"/>
      <c r="C769" s="64"/>
      <c r="D769" s="64"/>
      <c r="E769" s="64"/>
      <c r="F769" s="64"/>
      <c r="G769" s="64"/>
      <c r="H769" s="64"/>
      <c r="I769" s="64"/>
      <c r="J769" s="64"/>
      <c r="K769" s="64"/>
      <c r="L769" s="64"/>
      <c r="M769" s="60"/>
      <c r="N769" s="60"/>
      <c r="O769" s="60"/>
      <c r="P769" s="60"/>
      <c r="Q769" s="64"/>
      <c r="R769" s="64"/>
      <c r="S769" s="64"/>
      <c r="T769" s="64"/>
      <c r="U769" s="64"/>
      <c r="V769" s="64"/>
      <c r="W769" s="64"/>
      <c r="X769" s="64"/>
      <c r="Y769" s="64"/>
      <c r="Z769" s="64"/>
      <c r="AA769" s="64"/>
      <c r="AB769" s="64"/>
      <c r="AC769" s="64"/>
      <c r="AD769" s="64"/>
      <c r="AE769" s="64"/>
      <c r="AF769" s="64"/>
      <c r="AG769" s="64"/>
      <c r="AH769" s="64"/>
      <c r="AI769" s="64"/>
      <c r="AJ769" s="64"/>
    </row>
    <row r="770">
      <c r="A770" s="64"/>
      <c r="B770" s="64"/>
      <c r="C770" s="64"/>
      <c r="D770" s="64"/>
      <c r="E770" s="64"/>
      <c r="F770" s="64"/>
      <c r="G770" s="64"/>
      <c r="H770" s="64"/>
      <c r="I770" s="64"/>
      <c r="J770" s="64"/>
      <c r="K770" s="64"/>
      <c r="L770" s="64"/>
      <c r="M770" s="60"/>
      <c r="N770" s="60"/>
      <c r="O770" s="60"/>
      <c r="P770" s="60"/>
      <c r="Q770" s="64"/>
      <c r="R770" s="64"/>
      <c r="S770" s="64"/>
      <c r="T770" s="64"/>
      <c r="U770" s="64"/>
      <c r="V770" s="64"/>
      <c r="W770" s="64"/>
      <c r="X770" s="64"/>
      <c r="Y770" s="64"/>
      <c r="Z770" s="64"/>
      <c r="AA770" s="64"/>
      <c r="AB770" s="64"/>
      <c r="AC770" s="64"/>
      <c r="AD770" s="64"/>
      <c r="AE770" s="64"/>
      <c r="AF770" s="64"/>
      <c r="AG770" s="64"/>
      <c r="AH770" s="64"/>
      <c r="AI770" s="64"/>
      <c r="AJ770" s="64"/>
    </row>
    <row r="771">
      <c r="A771" s="64"/>
      <c r="B771" s="64"/>
      <c r="C771" s="64"/>
      <c r="D771" s="64"/>
      <c r="E771" s="64"/>
      <c r="F771" s="64"/>
      <c r="G771" s="64"/>
      <c r="H771" s="64"/>
      <c r="I771" s="64"/>
      <c r="J771" s="64"/>
      <c r="K771" s="64"/>
      <c r="L771" s="64"/>
      <c r="M771" s="60"/>
      <c r="N771" s="60"/>
      <c r="O771" s="60"/>
      <c r="P771" s="60"/>
      <c r="Q771" s="64"/>
      <c r="R771" s="64"/>
      <c r="S771" s="64"/>
      <c r="T771" s="64"/>
      <c r="U771" s="64"/>
      <c r="V771" s="64"/>
      <c r="W771" s="64"/>
      <c r="X771" s="64"/>
      <c r="Y771" s="64"/>
      <c r="Z771" s="64"/>
      <c r="AA771" s="64"/>
      <c r="AB771" s="64"/>
      <c r="AC771" s="64"/>
      <c r="AD771" s="64"/>
      <c r="AE771" s="64"/>
      <c r="AF771" s="64"/>
      <c r="AG771" s="64"/>
      <c r="AH771" s="64"/>
      <c r="AI771" s="64"/>
      <c r="AJ771" s="64"/>
    </row>
    <row r="772">
      <c r="A772" s="64"/>
      <c r="B772" s="64"/>
      <c r="C772" s="64"/>
      <c r="D772" s="64"/>
      <c r="E772" s="64"/>
      <c r="F772" s="64"/>
      <c r="G772" s="64"/>
      <c r="H772" s="64"/>
      <c r="I772" s="64"/>
      <c r="J772" s="64"/>
      <c r="K772" s="64"/>
      <c r="L772" s="64"/>
      <c r="M772" s="60"/>
      <c r="N772" s="60"/>
      <c r="O772" s="60"/>
      <c r="P772" s="60"/>
      <c r="Q772" s="64"/>
      <c r="R772" s="64"/>
      <c r="S772" s="64"/>
      <c r="T772" s="64"/>
      <c r="U772" s="64"/>
      <c r="V772" s="64"/>
      <c r="W772" s="64"/>
      <c r="X772" s="64"/>
      <c r="Y772" s="64"/>
      <c r="Z772" s="64"/>
      <c r="AA772" s="64"/>
      <c r="AB772" s="64"/>
      <c r="AC772" s="64"/>
      <c r="AD772" s="64"/>
      <c r="AE772" s="64"/>
      <c r="AF772" s="64"/>
      <c r="AG772" s="64"/>
      <c r="AH772" s="64"/>
      <c r="AI772" s="64"/>
      <c r="AJ772" s="64"/>
    </row>
    <row r="773">
      <c r="A773" s="64"/>
      <c r="B773" s="64"/>
      <c r="C773" s="64"/>
      <c r="D773" s="64"/>
      <c r="E773" s="64"/>
      <c r="F773" s="64"/>
      <c r="G773" s="64"/>
      <c r="H773" s="64"/>
      <c r="I773" s="64"/>
      <c r="J773" s="64"/>
      <c r="K773" s="64"/>
      <c r="L773" s="64"/>
      <c r="M773" s="60"/>
      <c r="N773" s="60"/>
      <c r="O773" s="60"/>
      <c r="P773" s="60"/>
      <c r="Q773" s="64"/>
      <c r="R773" s="64"/>
      <c r="S773" s="64"/>
      <c r="T773" s="64"/>
      <c r="U773" s="64"/>
      <c r="V773" s="64"/>
      <c r="W773" s="64"/>
      <c r="X773" s="64"/>
      <c r="Y773" s="64"/>
      <c r="Z773" s="64"/>
      <c r="AA773" s="64"/>
      <c r="AB773" s="64"/>
      <c r="AC773" s="64"/>
      <c r="AD773" s="64"/>
      <c r="AE773" s="64"/>
      <c r="AF773" s="64"/>
      <c r="AG773" s="64"/>
      <c r="AH773" s="64"/>
      <c r="AI773" s="64"/>
      <c r="AJ773" s="64"/>
    </row>
    <row r="774">
      <c r="A774" s="64"/>
      <c r="B774" s="64"/>
      <c r="C774" s="64"/>
      <c r="D774" s="64"/>
      <c r="E774" s="64"/>
      <c r="F774" s="64"/>
      <c r="G774" s="64"/>
      <c r="H774" s="64"/>
      <c r="I774" s="64"/>
      <c r="J774" s="64"/>
      <c r="K774" s="64"/>
      <c r="L774" s="64"/>
      <c r="M774" s="60"/>
      <c r="N774" s="60"/>
      <c r="O774" s="60"/>
      <c r="P774" s="60"/>
      <c r="Q774" s="64"/>
      <c r="R774" s="64"/>
      <c r="S774" s="64"/>
      <c r="T774" s="64"/>
      <c r="U774" s="64"/>
      <c r="V774" s="64"/>
      <c r="W774" s="64"/>
      <c r="X774" s="64"/>
      <c r="Y774" s="64"/>
      <c r="Z774" s="64"/>
      <c r="AA774" s="64"/>
      <c r="AB774" s="64"/>
      <c r="AC774" s="64"/>
      <c r="AD774" s="64"/>
      <c r="AE774" s="64"/>
      <c r="AF774" s="64"/>
      <c r="AG774" s="64"/>
      <c r="AH774" s="64"/>
      <c r="AI774" s="64"/>
      <c r="AJ774" s="64"/>
    </row>
    <row r="775">
      <c r="A775" s="64"/>
      <c r="B775" s="64"/>
      <c r="C775" s="64"/>
      <c r="D775" s="64"/>
      <c r="E775" s="64"/>
      <c r="F775" s="64"/>
      <c r="G775" s="64"/>
      <c r="H775" s="64"/>
      <c r="I775" s="64"/>
      <c r="J775" s="64"/>
      <c r="K775" s="64"/>
      <c r="L775" s="64"/>
      <c r="M775" s="60"/>
      <c r="N775" s="60"/>
      <c r="O775" s="60"/>
      <c r="P775" s="60"/>
      <c r="Q775" s="64"/>
      <c r="R775" s="64"/>
      <c r="S775" s="64"/>
      <c r="T775" s="64"/>
      <c r="U775" s="64"/>
      <c r="V775" s="64"/>
      <c r="W775" s="64"/>
      <c r="X775" s="64"/>
      <c r="Y775" s="64"/>
      <c r="Z775" s="64"/>
      <c r="AA775" s="64"/>
      <c r="AB775" s="64"/>
      <c r="AC775" s="64"/>
      <c r="AD775" s="64"/>
      <c r="AE775" s="64"/>
      <c r="AF775" s="64"/>
      <c r="AG775" s="64"/>
      <c r="AH775" s="64"/>
      <c r="AI775" s="64"/>
      <c r="AJ775" s="64"/>
    </row>
    <row r="776">
      <c r="A776" s="64"/>
      <c r="B776" s="64"/>
      <c r="C776" s="64"/>
      <c r="D776" s="64"/>
      <c r="E776" s="64"/>
      <c r="F776" s="64"/>
      <c r="G776" s="64"/>
      <c r="H776" s="64"/>
      <c r="I776" s="64"/>
      <c r="J776" s="64"/>
      <c r="K776" s="64"/>
      <c r="L776" s="64"/>
      <c r="M776" s="60"/>
      <c r="N776" s="60"/>
      <c r="O776" s="60"/>
      <c r="P776" s="60"/>
      <c r="Q776" s="64"/>
      <c r="R776" s="64"/>
      <c r="S776" s="64"/>
      <c r="T776" s="64"/>
      <c r="U776" s="64"/>
      <c r="V776" s="64"/>
      <c r="W776" s="64"/>
      <c r="X776" s="64"/>
      <c r="Y776" s="64"/>
      <c r="Z776" s="64"/>
      <c r="AA776" s="64"/>
      <c r="AB776" s="64"/>
      <c r="AC776" s="64"/>
      <c r="AD776" s="64"/>
      <c r="AE776" s="64"/>
      <c r="AF776" s="64"/>
      <c r="AG776" s="64"/>
      <c r="AH776" s="64"/>
      <c r="AI776" s="64"/>
      <c r="AJ776" s="64"/>
    </row>
    <row r="777">
      <c r="A777" s="64"/>
      <c r="B777" s="64"/>
      <c r="C777" s="64"/>
      <c r="D777" s="64"/>
      <c r="E777" s="64"/>
      <c r="F777" s="64"/>
      <c r="G777" s="64"/>
      <c r="H777" s="64"/>
      <c r="I777" s="64"/>
      <c r="J777" s="64"/>
      <c r="K777" s="64"/>
      <c r="L777" s="64"/>
      <c r="M777" s="60"/>
      <c r="N777" s="60"/>
      <c r="O777" s="60"/>
      <c r="P777" s="60"/>
      <c r="Q777" s="64"/>
      <c r="R777" s="64"/>
      <c r="S777" s="64"/>
      <c r="T777" s="64"/>
      <c r="U777" s="64"/>
      <c r="V777" s="64"/>
      <c r="W777" s="64"/>
      <c r="X777" s="64"/>
      <c r="Y777" s="64"/>
      <c r="Z777" s="64"/>
      <c r="AA777" s="64"/>
      <c r="AB777" s="64"/>
      <c r="AC777" s="64"/>
      <c r="AD777" s="64"/>
      <c r="AE777" s="64"/>
      <c r="AF777" s="64"/>
      <c r="AG777" s="64"/>
      <c r="AH777" s="64"/>
      <c r="AI777" s="64"/>
      <c r="AJ777" s="64"/>
    </row>
    <row r="778">
      <c r="A778" s="64"/>
      <c r="B778" s="64"/>
      <c r="C778" s="64"/>
      <c r="D778" s="64"/>
      <c r="E778" s="64"/>
      <c r="F778" s="64"/>
      <c r="G778" s="64"/>
      <c r="H778" s="64"/>
      <c r="I778" s="64"/>
      <c r="J778" s="64"/>
      <c r="K778" s="64"/>
      <c r="L778" s="64"/>
      <c r="M778" s="60"/>
      <c r="N778" s="60"/>
      <c r="O778" s="60"/>
      <c r="P778" s="60"/>
      <c r="Q778" s="64"/>
      <c r="R778" s="64"/>
      <c r="S778" s="64"/>
      <c r="T778" s="64"/>
      <c r="U778" s="64"/>
      <c r="V778" s="64"/>
      <c r="W778" s="64"/>
      <c r="X778" s="64"/>
      <c r="Y778" s="64"/>
      <c r="Z778" s="64"/>
      <c r="AA778" s="64"/>
      <c r="AB778" s="64"/>
      <c r="AC778" s="64"/>
      <c r="AD778" s="64"/>
      <c r="AE778" s="64"/>
      <c r="AF778" s="64"/>
      <c r="AG778" s="64"/>
      <c r="AH778" s="64"/>
      <c r="AI778" s="64"/>
      <c r="AJ778" s="64"/>
    </row>
    <row r="779">
      <c r="A779" s="64"/>
      <c r="B779" s="64"/>
      <c r="C779" s="64"/>
      <c r="D779" s="64"/>
      <c r="E779" s="64"/>
      <c r="F779" s="64"/>
      <c r="G779" s="64"/>
      <c r="H779" s="64"/>
      <c r="I779" s="64"/>
      <c r="J779" s="64"/>
      <c r="K779" s="64"/>
      <c r="L779" s="64"/>
      <c r="M779" s="60"/>
      <c r="N779" s="60"/>
      <c r="O779" s="60"/>
      <c r="P779" s="60"/>
      <c r="Q779" s="64"/>
      <c r="R779" s="64"/>
      <c r="S779" s="64"/>
      <c r="T779" s="64"/>
      <c r="U779" s="64"/>
      <c r="V779" s="64"/>
      <c r="W779" s="64"/>
      <c r="X779" s="64"/>
      <c r="Y779" s="64"/>
      <c r="Z779" s="64"/>
      <c r="AA779" s="64"/>
      <c r="AB779" s="64"/>
      <c r="AC779" s="64"/>
      <c r="AD779" s="64"/>
      <c r="AE779" s="64"/>
      <c r="AF779" s="64"/>
      <c r="AG779" s="64"/>
      <c r="AH779" s="64"/>
      <c r="AI779" s="64"/>
      <c r="AJ779" s="64"/>
    </row>
    <row r="780">
      <c r="A780" s="64"/>
      <c r="B780" s="64"/>
      <c r="C780" s="64"/>
      <c r="D780" s="64"/>
      <c r="E780" s="64"/>
      <c r="F780" s="64"/>
      <c r="G780" s="64"/>
      <c r="H780" s="64"/>
      <c r="I780" s="64"/>
      <c r="J780" s="64"/>
      <c r="K780" s="64"/>
      <c r="L780" s="64"/>
      <c r="M780" s="60"/>
      <c r="N780" s="60"/>
      <c r="O780" s="60"/>
      <c r="P780" s="60"/>
      <c r="Q780" s="64"/>
      <c r="R780" s="64"/>
      <c r="S780" s="64"/>
      <c r="T780" s="64"/>
      <c r="U780" s="64"/>
      <c r="V780" s="64"/>
      <c r="W780" s="64"/>
      <c r="X780" s="64"/>
      <c r="Y780" s="64"/>
      <c r="Z780" s="64"/>
      <c r="AA780" s="64"/>
      <c r="AB780" s="64"/>
      <c r="AC780" s="64"/>
      <c r="AD780" s="64"/>
      <c r="AE780" s="64"/>
      <c r="AF780" s="64"/>
      <c r="AG780" s="64"/>
      <c r="AH780" s="64"/>
      <c r="AI780" s="64"/>
      <c r="AJ780" s="64"/>
    </row>
    <row r="781">
      <c r="A781" s="64"/>
      <c r="B781" s="64"/>
      <c r="C781" s="64"/>
      <c r="D781" s="64"/>
      <c r="E781" s="64"/>
      <c r="F781" s="64"/>
      <c r="G781" s="64"/>
      <c r="H781" s="64"/>
      <c r="I781" s="64"/>
      <c r="J781" s="64"/>
      <c r="K781" s="64"/>
      <c r="L781" s="64"/>
      <c r="M781" s="60"/>
      <c r="N781" s="60"/>
      <c r="O781" s="60"/>
      <c r="P781" s="60"/>
      <c r="Q781" s="64"/>
      <c r="R781" s="64"/>
      <c r="S781" s="64"/>
      <c r="T781" s="64"/>
      <c r="U781" s="64"/>
      <c r="V781" s="64"/>
      <c r="W781" s="64"/>
      <c r="X781" s="64"/>
      <c r="Y781" s="64"/>
      <c r="Z781" s="64"/>
      <c r="AA781" s="64"/>
      <c r="AB781" s="64"/>
      <c r="AC781" s="64"/>
      <c r="AD781" s="64"/>
      <c r="AE781" s="64"/>
      <c r="AF781" s="64"/>
      <c r="AG781" s="64"/>
      <c r="AH781" s="64"/>
      <c r="AI781" s="64"/>
      <c r="AJ781" s="64"/>
    </row>
    <row r="782">
      <c r="A782" s="64"/>
      <c r="B782" s="64"/>
      <c r="C782" s="64"/>
      <c r="D782" s="64"/>
      <c r="E782" s="64"/>
      <c r="F782" s="64"/>
      <c r="G782" s="64"/>
      <c r="H782" s="64"/>
      <c r="I782" s="64"/>
      <c r="J782" s="64"/>
      <c r="K782" s="64"/>
      <c r="L782" s="64"/>
      <c r="M782" s="60"/>
      <c r="N782" s="60"/>
      <c r="O782" s="60"/>
      <c r="P782" s="60"/>
      <c r="Q782" s="64"/>
      <c r="R782" s="64"/>
      <c r="S782" s="64"/>
      <c r="T782" s="64"/>
      <c r="U782" s="64"/>
      <c r="V782" s="64"/>
      <c r="W782" s="64"/>
      <c r="X782" s="64"/>
      <c r="Y782" s="64"/>
      <c r="Z782" s="64"/>
      <c r="AA782" s="64"/>
      <c r="AB782" s="64"/>
      <c r="AC782" s="64"/>
      <c r="AD782" s="64"/>
      <c r="AE782" s="64"/>
      <c r="AF782" s="64"/>
      <c r="AG782" s="64"/>
      <c r="AH782" s="64"/>
      <c r="AI782" s="64"/>
      <c r="AJ782" s="64"/>
    </row>
    <row r="783">
      <c r="A783" s="64"/>
      <c r="B783" s="64"/>
      <c r="C783" s="64"/>
      <c r="D783" s="64"/>
      <c r="E783" s="64"/>
      <c r="F783" s="64"/>
      <c r="G783" s="64"/>
      <c r="H783" s="64"/>
      <c r="I783" s="64"/>
      <c r="J783" s="64"/>
      <c r="K783" s="64"/>
      <c r="L783" s="64"/>
      <c r="M783" s="60"/>
      <c r="N783" s="60"/>
      <c r="O783" s="60"/>
      <c r="P783" s="60"/>
      <c r="Q783" s="64"/>
      <c r="R783" s="64"/>
      <c r="S783" s="64"/>
      <c r="T783" s="64"/>
      <c r="U783" s="64"/>
      <c r="V783" s="64"/>
      <c r="W783" s="64"/>
      <c r="X783" s="64"/>
      <c r="Y783" s="64"/>
      <c r="Z783" s="64"/>
      <c r="AA783" s="64"/>
      <c r="AB783" s="64"/>
      <c r="AC783" s="64"/>
      <c r="AD783" s="64"/>
      <c r="AE783" s="64"/>
      <c r="AF783" s="64"/>
      <c r="AG783" s="64"/>
      <c r="AH783" s="64"/>
      <c r="AI783" s="64"/>
      <c r="AJ783" s="64"/>
    </row>
    <row r="784">
      <c r="A784" s="64"/>
      <c r="B784" s="64"/>
      <c r="C784" s="64"/>
      <c r="D784" s="64"/>
      <c r="E784" s="64"/>
      <c r="F784" s="64"/>
      <c r="G784" s="64"/>
      <c r="H784" s="64"/>
      <c r="I784" s="64"/>
      <c r="J784" s="64"/>
      <c r="K784" s="64"/>
      <c r="L784" s="64"/>
      <c r="M784" s="60"/>
      <c r="N784" s="60"/>
      <c r="O784" s="60"/>
      <c r="P784" s="60"/>
      <c r="Q784" s="64"/>
      <c r="R784" s="64"/>
      <c r="S784" s="64"/>
      <c r="T784" s="64"/>
      <c r="U784" s="64"/>
      <c r="V784" s="64"/>
      <c r="W784" s="64"/>
      <c r="X784" s="64"/>
      <c r="Y784" s="64"/>
      <c r="Z784" s="64"/>
      <c r="AA784" s="64"/>
      <c r="AB784" s="64"/>
      <c r="AC784" s="64"/>
      <c r="AD784" s="64"/>
      <c r="AE784" s="64"/>
      <c r="AF784" s="64"/>
      <c r="AG784" s="64"/>
      <c r="AH784" s="64"/>
      <c r="AI784" s="64"/>
      <c r="AJ784" s="64"/>
    </row>
    <row r="785">
      <c r="A785" s="64"/>
      <c r="B785" s="64"/>
      <c r="C785" s="64"/>
      <c r="D785" s="64"/>
      <c r="E785" s="64"/>
      <c r="F785" s="64"/>
      <c r="G785" s="64"/>
      <c r="H785" s="64"/>
      <c r="I785" s="64"/>
      <c r="J785" s="64"/>
      <c r="K785" s="64"/>
      <c r="L785" s="64"/>
      <c r="M785" s="60"/>
      <c r="N785" s="60"/>
      <c r="O785" s="60"/>
      <c r="P785" s="60"/>
      <c r="Q785" s="64"/>
      <c r="R785" s="64"/>
      <c r="S785" s="64"/>
      <c r="T785" s="64"/>
      <c r="U785" s="64"/>
      <c r="V785" s="64"/>
      <c r="W785" s="64"/>
      <c r="X785" s="64"/>
      <c r="Y785" s="64"/>
      <c r="Z785" s="64"/>
      <c r="AA785" s="64"/>
      <c r="AB785" s="64"/>
      <c r="AC785" s="64"/>
      <c r="AD785" s="64"/>
      <c r="AE785" s="64"/>
      <c r="AF785" s="64"/>
      <c r="AG785" s="64"/>
      <c r="AH785" s="64"/>
      <c r="AI785" s="64"/>
      <c r="AJ785" s="64"/>
    </row>
    <row r="786">
      <c r="A786" s="64"/>
      <c r="B786" s="64"/>
      <c r="C786" s="64"/>
      <c r="D786" s="64"/>
      <c r="E786" s="64"/>
      <c r="F786" s="64"/>
      <c r="G786" s="64"/>
      <c r="H786" s="64"/>
      <c r="I786" s="64"/>
      <c r="J786" s="64"/>
      <c r="K786" s="64"/>
      <c r="L786" s="64"/>
      <c r="M786" s="60"/>
      <c r="N786" s="60"/>
      <c r="O786" s="60"/>
      <c r="P786" s="60"/>
      <c r="Q786" s="64"/>
      <c r="R786" s="64"/>
      <c r="S786" s="64"/>
      <c r="T786" s="64"/>
      <c r="U786" s="64"/>
      <c r="V786" s="64"/>
      <c r="W786" s="64"/>
      <c r="X786" s="64"/>
      <c r="Y786" s="64"/>
      <c r="Z786" s="64"/>
      <c r="AA786" s="64"/>
      <c r="AB786" s="64"/>
      <c r="AC786" s="64"/>
      <c r="AD786" s="64"/>
      <c r="AE786" s="64"/>
      <c r="AF786" s="64"/>
      <c r="AG786" s="64"/>
      <c r="AH786" s="64"/>
      <c r="AI786" s="64"/>
      <c r="AJ786" s="64"/>
    </row>
    <row r="787">
      <c r="A787" s="64"/>
      <c r="B787" s="64"/>
      <c r="C787" s="64"/>
      <c r="D787" s="64"/>
      <c r="E787" s="64"/>
      <c r="F787" s="64"/>
      <c r="G787" s="64"/>
      <c r="H787" s="64"/>
      <c r="I787" s="64"/>
      <c r="J787" s="64"/>
      <c r="K787" s="64"/>
      <c r="L787" s="64"/>
      <c r="M787" s="60"/>
      <c r="N787" s="60"/>
      <c r="O787" s="60"/>
      <c r="P787" s="60"/>
      <c r="Q787" s="64"/>
      <c r="R787" s="64"/>
      <c r="S787" s="64"/>
      <c r="T787" s="64"/>
      <c r="U787" s="64"/>
      <c r="V787" s="64"/>
      <c r="W787" s="64"/>
      <c r="X787" s="64"/>
      <c r="Y787" s="64"/>
      <c r="Z787" s="64"/>
      <c r="AA787" s="64"/>
      <c r="AB787" s="64"/>
      <c r="AC787" s="64"/>
      <c r="AD787" s="64"/>
      <c r="AE787" s="64"/>
      <c r="AF787" s="64"/>
      <c r="AG787" s="64"/>
      <c r="AH787" s="64"/>
      <c r="AI787" s="64"/>
      <c r="AJ787" s="64"/>
    </row>
    <row r="788">
      <c r="A788" s="64"/>
      <c r="B788" s="64"/>
      <c r="C788" s="64"/>
      <c r="D788" s="64"/>
      <c r="E788" s="64"/>
      <c r="F788" s="64"/>
      <c r="G788" s="64"/>
      <c r="H788" s="64"/>
      <c r="I788" s="64"/>
      <c r="J788" s="64"/>
      <c r="K788" s="64"/>
      <c r="L788" s="64"/>
      <c r="M788" s="60"/>
      <c r="N788" s="60"/>
      <c r="O788" s="60"/>
      <c r="P788" s="60"/>
      <c r="Q788" s="64"/>
      <c r="R788" s="64"/>
      <c r="S788" s="64"/>
      <c r="T788" s="64"/>
      <c r="U788" s="64"/>
      <c r="V788" s="64"/>
      <c r="W788" s="64"/>
      <c r="X788" s="64"/>
      <c r="Y788" s="64"/>
      <c r="Z788" s="64"/>
      <c r="AA788" s="64"/>
      <c r="AB788" s="64"/>
      <c r="AC788" s="64"/>
      <c r="AD788" s="64"/>
      <c r="AE788" s="64"/>
      <c r="AF788" s="64"/>
      <c r="AG788" s="64"/>
      <c r="AH788" s="64"/>
      <c r="AI788" s="64"/>
      <c r="AJ788" s="64"/>
    </row>
    <row r="789">
      <c r="A789" s="64"/>
      <c r="B789" s="64"/>
      <c r="C789" s="64"/>
      <c r="D789" s="64"/>
      <c r="E789" s="64"/>
      <c r="F789" s="64"/>
      <c r="G789" s="64"/>
      <c r="H789" s="64"/>
      <c r="I789" s="64"/>
      <c r="J789" s="64"/>
      <c r="K789" s="64"/>
      <c r="L789" s="64"/>
      <c r="M789" s="60"/>
      <c r="N789" s="60"/>
      <c r="O789" s="60"/>
      <c r="P789" s="60"/>
      <c r="Q789" s="64"/>
      <c r="R789" s="64"/>
      <c r="S789" s="64"/>
      <c r="T789" s="64"/>
      <c r="U789" s="64"/>
      <c r="V789" s="64"/>
      <c r="W789" s="64"/>
      <c r="X789" s="64"/>
      <c r="Y789" s="64"/>
      <c r="Z789" s="64"/>
      <c r="AA789" s="64"/>
      <c r="AB789" s="64"/>
      <c r="AC789" s="64"/>
      <c r="AD789" s="64"/>
      <c r="AE789" s="64"/>
      <c r="AF789" s="64"/>
      <c r="AG789" s="64"/>
      <c r="AH789" s="64"/>
      <c r="AI789" s="64"/>
      <c r="AJ789" s="64"/>
    </row>
    <row r="790">
      <c r="A790" s="64"/>
      <c r="B790" s="64"/>
      <c r="C790" s="64"/>
      <c r="D790" s="64"/>
      <c r="E790" s="64"/>
      <c r="F790" s="64"/>
      <c r="G790" s="64"/>
      <c r="H790" s="64"/>
      <c r="I790" s="64"/>
      <c r="J790" s="64"/>
      <c r="K790" s="64"/>
      <c r="L790" s="64"/>
      <c r="M790" s="60"/>
      <c r="N790" s="60"/>
      <c r="O790" s="60"/>
      <c r="P790" s="60"/>
      <c r="Q790" s="64"/>
      <c r="R790" s="64"/>
      <c r="S790" s="64"/>
      <c r="T790" s="64"/>
      <c r="U790" s="64"/>
      <c r="V790" s="64"/>
      <c r="W790" s="64"/>
      <c r="X790" s="64"/>
      <c r="Y790" s="64"/>
      <c r="Z790" s="64"/>
      <c r="AA790" s="64"/>
      <c r="AB790" s="64"/>
      <c r="AC790" s="64"/>
      <c r="AD790" s="64"/>
      <c r="AE790" s="64"/>
      <c r="AF790" s="64"/>
      <c r="AG790" s="64"/>
      <c r="AH790" s="64"/>
      <c r="AI790" s="64"/>
      <c r="AJ790" s="64"/>
    </row>
    <row r="791">
      <c r="A791" s="64"/>
      <c r="B791" s="64"/>
      <c r="C791" s="64"/>
      <c r="D791" s="64"/>
      <c r="E791" s="64"/>
      <c r="F791" s="64"/>
      <c r="G791" s="64"/>
      <c r="H791" s="64"/>
      <c r="I791" s="64"/>
      <c r="J791" s="64"/>
      <c r="K791" s="64"/>
      <c r="L791" s="64"/>
      <c r="M791" s="60"/>
      <c r="N791" s="60"/>
      <c r="O791" s="60"/>
      <c r="P791" s="60"/>
      <c r="Q791" s="64"/>
      <c r="R791" s="64"/>
      <c r="S791" s="64"/>
      <c r="T791" s="64"/>
      <c r="U791" s="64"/>
      <c r="V791" s="64"/>
      <c r="W791" s="64"/>
      <c r="X791" s="64"/>
      <c r="Y791" s="64"/>
      <c r="Z791" s="64"/>
      <c r="AA791" s="64"/>
      <c r="AB791" s="64"/>
      <c r="AC791" s="64"/>
      <c r="AD791" s="64"/>
      <c r="AE791" s="64"/>
      <c r="AF791" s="64"/>
      <c r="AG791" s="64"/>
      <c r="AH791" s="64"/>
      <c r="AI791" s="64"/>
      <c r="AJ791" s="64"/>
    </row>
    <row r="792">
      <c r="A792" s="64"/>
      <c r="B792" s="64"/>
      <c r="C792" s="64"/>
      <c r="D792" s="64"/>
      <c r="E792" s="64"/>
      <c r="F792" s="64"/>
      <c r="G792" s="64"/>
      <c r="H792" s="64"/>
      <c r="I792" s="64"/>
      <c r="J792" s="64"/>
      <c r="K792" s="64"/>
      <c r="L792" s="64"/>
      <c r="M792" s="60"/>
      <c r="N792" s="60"/>
      <c r="O792" s="60"/>
      <c r="P792" s="60"/>
      <c r="Q792" s="64"/>
      <c r="R792" s="64"/>
      <c r="S792" s="64"/>
      <c r="T792" s="64"/>
      <c r="U792" s="64"/>
      <c r="V792" s="64"/>
      <c r="W792" s="64"/>
      <c r="X792" s="64"/>
      <c r="Y792" s="64"/>
      <c r="Z792" s="64"/>
      <c r="AA792" s="64"/>
      <c r="AB792" s="64"/>
      <c r="AC792" s="64"/>
      <c r="AD792" s="64"/>
      <c r="AE792" s="64"/>
      <c r="AF792" s="64"/>
      <c r="AG792" s="64"/>
      <c r="AH792" s="64"/>
      <c r="AI792" s="64"/>
      <c r="AJ792" s="64"/>
    </row>
    <row r="793">
      <c r="A793" s="64"/>
      <c r="B793" s="64"/>
      <c r="C793" s="64"/>
      <c r="D793" s="64"/>
      <c r="E793" s="64"/>
      <c r="F793" s="64"/>
      <c r="G793" s="64"/>
      <c r="H793" s="64"/>
      <c r="I793" s="64"/>
      <c r="J793" s="64"/>
      <c r="K793" s="64"/>
      <c r="L793" s="64"/>
      <c r="M793" s="60"/>
      <c r="N793" s="60"/>
      <c r="O793" s="60"/>
      <c r="P793" s="60"/>
      <c r="Q793" s="64"/>
      <c r="R793" s="64"/>
      <c r="S793" s="64"/>
      <c r="T793" s="64"/>
      <c r="U793" s="64"/>
      <c r="V793" s="64"/>
      <c r="W793" s="64"/>
      <c r="X793" s="64"/>
      <c r="Y793" s="64"/>
      <c r="Z793" s="64"/>
      <c r="AA793" s="64"/>
      <c r="AB793" s="64"/>
      <c r="AC793" s="64"/>
      <c r="AD793" s="64"/>
      <c r="AE793" s="64"/>
      <c r="AF793" s="64"/>
      <c r="AG793" s="64"/>
      <c r="AH793" s="64"/>
      <c r="AI793" s="64"/>
      <c r="AJ793" s="64"/>
    </row>
    <row r="794">
      <c r="A794" s="64"/>
      <c r="B794" s="64"/>
      <c r="C794" s="64"/>
      <c r="D794" s="64"/>
      <c r="E794" s="64"/>
      <c r="F794" s="64"/>
      <c r="G794" s="64"/>
      <c r="H794" s="64"/>
      <c r="I794" s="64"/>
      <c r="J794" s="64"/>
      <c r="K794" s="64"/>
      <c r="L794" s="64"/>
      <c r="M794" s="60"/>
      <c r="N794" s="60"/>
      <c r="O794" s="60"/>
      <c r="P794" s="60"/>
      <c r="Q794" s="64"/>
      <c r="R794" s="64"/>
      <c r="S794" s="64"/>
      <c r="T794" s="64"/>
      <c r="U794" s="64"/>
      <c r="V794" s="64"/>
      <c r="W794" s="64"/>
      <c r="X794" s="64"/>
      <c r="Y794" s="64"/>
      <c r="Z794" s="64"/>
      <c r="AA794" s="64"/>
      <c r="AB794" s="64"/>
      <c r="AC794" s="64"/>
      <c r="AD794" s="64"/>
      <c r="AE794" s="64"/>
      <c r="AF794" s="64"/>
      <c r="AG794" s="64"/>
      <c r="AH794" s="64"/>
      <c r="AI794" s="64"/>
      <c r="AJ794" s="64"/>
    </row>
    <row r="795">
      <c r="A795" s="64"/>
      <c r="B795" s="64"/>
      <c r="C795" s="64"/>
      <c r="D795" s="64"/>
      <c r="E795" s="64"/>
      <c r="F795" s="64"/>
      <c r="G795" s="64"/>
      <c r="H795" s="64"/>
      <c r="I795" s="64"/>
      <c r="J795" s="64"/>
      <c r="K795" s="64"/>
      <c r="L795" s="64"/>
      <c r="M795" s="60"/>
      <c r="N795" s="60"/>
      <c r="O795" s="60"/>
      <c r="P795" s="60"/>
      <c r="Q795" s="64"/>
      <c r="R795" s="64"/>
      <c r="S795" s="64"/>
      <c r="T795" s="64"/>
      <c r="U795" s="64"/>
      <c r="V795" s="64"/>
      <c r="W795" s="64"/>
      <c r="X795" s="64"/>
      <c r="Y795" s="64"/>
      <c r="Z795" s="64"/>
      <c r="AA795" s="64"/>
      <c r="AB795" s="64"/>
      <c r="AC795" s="64"/>
      <c r="AD795" s="64"/>
      <c r="AE795" s="64"/>
      <c r="AF795" s="64"/>
      <c r="AG795" s="64"/>
      <c r="AH795" s="64"/>
      <c r="AI795" s="64"/>
      <c r="AJ795" s="64"/>
    </row>
    <row r="796">
      <c r="A796" s="64"/>
      <c r="B796" s="64"/>
      <c r="C796" s="64"/>
      <c r="D796" s="64"/>
      <c r="E796" s="64"/>
      <c r="F796" s="64"/>
      <c r="G796" s="64"/>
      <c r="H796" s="64"/>
      <c r="I796" s="64"/>
      <c r="J796" s="64"/>
      <c r="K796" s="64"/>
      <c r="L796" s="64"/>
      <c r="M796" s="60"/>
      <c r="N796" s="60"/>
      <c r="O796" s="60"/>
      <c r="P796" s="60"/>
      <c r="Q796" s="64"/>
      <c r="R796" s="64"/>
      <c r="S796" s="64"/>
      <c r="T796" s="64"/>
      <c r="U796" s="64"/>
      <c r="V796" s="64"/>
      <c r="W796" s="64"/>
      <c r="X796" s="64"/>
      <c r="Y796" s="64"/>
      <c r="Z796" s="64"/>
      <c r="AA796" s="64"/>
      <c r="AB796" s="64"/>
      <c r="AC796" s="64"/>
      <c r="AD796" s="64"/>
      <c r="AE796" s="64"/>
      <c r="AF796" s="64"/>
      <c r="AG796" s="64"/>
      <c r="AH796" s="64"/>
      <c r="AI796" s="64"/>
      <c r="AJ796" s="64"/>
    </row>
    <row r="797">
      <c r="A797" s="64"/>
      <c r="B797" s="64"/>
      <c r="C797" s="64"/>
      <c r="D797" s="64"/>
      <c r="E797" s="64"/>
      <c r="F797" s="64"/>
      <c r="G797" s="64"/>
      <c r="H797" s="64"/>
      <c r="I797" s="64"/>
      <c r="J797" s="64"/>
      <c r="K797" s="64"/>
      <c r="L797" s="64"/>
      <c r="M797" s="60"/>
      <c r="N797" s="60"/>
      <c r="O797" s="60"/>
      <c r="P797" s="60"/>
      <c r="Q797" s="64"/>
      <c r="R797" s="64"/>
      <c r="S797" s="64"/>
      <c r="T797" s="64"/>
      <c r="U797" s="64"/>
      <c r="V797" s="64"/>
      <c r="W797" s="64"/>
      <c r="X797" s="64"/>
      <c r="Y797" s="64"/>
      <c r="Z797" s="64"/>
      <c r="AA797" s="64"/>
      <c r="AB797" s="64"/>
      <c r="AC797" s="64"/>
      <c r="AD797" s="64"/>
      <c r="AE797" s="64"/>
      <c r="AF797" s="64"/>
      <c r="AG797" s="64"/>
      <c r="AH797" s="64"/>
      <c r="AI797" s="64"/>
      <c r="AJ797" s="64"/>
    </row>
    <row r="798">
      <c r="A798" s="64"/>
      <c r="B798" s="64"/>
      <c r="C798" s="64"/>
      <c r="D798" s="64"/>
      <c r="E798" s="64"/>
      <c r="F798" s="64"/>
      <c r="G798" s="64"/>
      <c r="H798" s="64"/>
      <c r="I798" s="64"/>
      <c r="J798" s="64"/>
      <c r="K798" s="64"/>
      <c r="L798" s="64"/>
      <c r="M798" s="60"/>
      <c r="N798" s="60"/>
      <c r="O798" s="60"/>
      <c r="P798" s="60"/>
      <c r="Q798" s="64"/>
      <c r="R798" s="64"/>
      <c r="S798" s="64"/>
      <c r="T798" s="64"/>
      <c r="U798" s="64"/>
      <c r="V798" s="64"/>
      <c r="W798" s="64"/>
      <c r="X798" s="64"/>
      <c r="Y798" s="64"/>
      <c r="Z798" s="64"/>
      <c r="AA798" s="64"/>
      <c r="AB798" s="64"/>
      <c r="AC798" s="64"/>
      <c r="AD798" s="64"/>
      <c r="AE798" s="64"/>
      <c r="AF798" s="64"/>
      <c r="AG798" s="64"/>
      <c r="AH798" s="64"/>
      <c r="AI798" s="64"/>
      <c r="AJ798" s="64"/>
    </row>
    <row r="799">
      <c r="A799" s="64"/>
      <c r="B799" s="64"/>
      <c r="C799" s="64"/>
      <c r="D799" s="64"/>
      <c r="E799" s="64"/>
      <c r="F799" s="64"/>
      <c r="G799" s="64"/>
      <c r="H799" s="64"/>
      <c r="I799" s="64"/>
      <c r="J799" s="64"/>
      <c r="K799" s="64"/>
      <c r="L799" s="64"/>
      <c r="M799" s="60"/>
      <c r="N799" s="60"/>
      <c r="O799" s="60"/>
      <c r="P799" s="60"/>
      <c r="Q799" s="64"/>
      <c r="R799" s="64"/>
      <c r="S799" s="64"/>
      <c r="T799" s="64"/>
      <c r="U799" s="64"/>
      <c r="V799" s="64"/>
      <c r="W799" s="64"/>
      <c r="X799" s="64"/>
      <c r="Y799" s="64"/>
      <c r="Z799" s="64"/>
      <c r="AA799" s="64"/>
      <c r="AB799" s="64"/>
      <c r="AC799" s="64"/>
      <c r="AD799" s="64"/>
      <c r="AE799" s="64"/>
      <c r="AF799" s="64"/>
      <c r="AG799" s="64"/>
      <c r="AH799" s="64"/>
      <c r="AI799" s="64"/>
      <c r="AJ799" s="64"/>
    </row>
    <row r="800">
      <c r="A800" s="64"/>
      <c r="B800" s="64"/>
      <c r="C800" s="64"/>
      <c r="D800" s="64"/>
      <c r="E800" s="64"/>
      <c r="F800" s="64"/>
      <c r="G800" s="64"/>
      <c r="H800" s="64"/>
      <c r="I800" s="64"/>
      <c r="J800" s="64"/>
      <c r="K800" s="64"/>
      <c r="L800" s="64"/>
      <c r="M800" s="60"/>
      <c r="N800" s="60"/>
      <c r="O800" s="60"/>
      <c r="P800" s="60"/>
      <c r="Q800" s="64"/>
      <c r="R800" s="64"/>
      <c r="S800" s="64"/>
      <c r="T800" s="64"/>
      <c r="U800" s="64"/>
      <c r="V800" s="64"/>
      <c r="W800" s="64"/>
      <c r="X800" s="64"/>
      <c r="Y800" s="64"/>
      <c r="Z800" s="64"/>
      <c r="AA800" s="64"/>
      <c r="AB800" s="64"/>
      <c r="AC800" s="64"/>
      <c r="AD800" s="64"/>
      <c r="AE800" s="64"/>
      <c r="AF800" s="64"/>
      <c r="AG800" s="64"/>
      <c r="AH800" s="64"/>
      <c r="AI800" s="64"/>
      <c r="AJ800" s="64"/>
    </row>
    <row r="801">
      <c r="A801" s="64"/>
      <c r="B801" s="64"/>
      <c r="C801" s="64"/>
      <c r="D801" s="64"/>
      <c r="E801" s="64"/>
      <c r="F801" s="64"/>
      <c r="G801" s="64"/>
      <c r="H801" s="64"/>
      <c r="I801" s="64"/>
      <c r="J801" s="64"/>
      <c r="K801" s="64"/>
      <c r="L801" s="64"/>
      <c r="M801" s="60"/>
      <c r="N801" s="60"/>
      <c r="O801" s="60"/>
      <c r="P801" s="60"/>
      <c r="Q801" s="64"/>
      <c r="R801" s="64"/>
      <c r="S801" s="64"/>
      <c r="T801" s="64"/>
      <c r="U801" s="64"/>
      <c r="V801" s="64"/>
      <c r="W801" s="64"/>
      <c r="X801" s="64"/>
      <c r="Y801" s="64"/>
      <c r="Z801" s="64"/>
      <c r="AA801" s="64"/>
      <c r="AB801" s="64"/>
      <c r="AC801" s="64"/>
      <c r="AD801" s="64"/>
      <c r="AE801" s="64"/>
      <c r="AF801" s="64"/>
      <c r="AG801" s="64"/>
      <c r="AH801" s="64"/>
      <c r="AI801" s="64"/>
      <c r="AJ801" s="64"/>
    </row>
    <row r="802">
      <c r="A802" s="64"/>
      <c r="B802" s="64"/>
      <c r="C802" s="64"/>
      <c r="D802" s="64"/>
      <c r="E802" s="64"/>
      <c r="F802" s="64"/>
      <c r="G802" s="64"/>
      <c r="H802" s="64"/>
      <c r="I802" s="64"/>
      <c r="J802" s="64"/>
      <c r="K802" s="64"/>
      <c r="L802" s="64"/>
      <c r="M802" s="60"/>
      <c r="N802" s="60"/>
      <c r="O802" s="60"/>
      <c r="P802" s="60"/>
      <c r="Q802" s="64"/>
      <c r="R802" s="64"/>
      <c r="S802" s="64"/>
      <c r="T802" s="64"/>
      <c r="U802" s="64"/>
      <c r="V802" s="64"/>
      <c r="W802" s="64"/>
      <c r="X802" s="64"/>
      <c r="Y802" s="64"/>
      <c r="Z802" s="64"/>
      <c r="AA802" s="64"/>
      <c r="AB802" s="64"/>
      <c r="AC802" s="64"/>
      <c r="AD802" s="64"/>
      <c r="AE802" s="64"/>
      <c r="AF802" s="64"/>
      <c r="AG802" s="64"/>
      <c r="AH802" s="64"/>
      <c r="AI802" s="64"/>
      <c r="AJ802" s="64"/>
    </row>
    <row r="803">
      <c r="A803" s="64"/>
      <c r="B803" s="64"/>
      <c r="C803" s="64"/>
      <c r="D803" s="64"/>
      <c r="E803" s="64"/>
      <c r="F803" s="64"/>
      <c r="G803" s="64"/>
      <c r="H803" s="64"/>
      <c r="I803" s="64"/>
      <c r="J803" s="64"/>
      <c r="K803" s="64"/>
      <c r="L803" s="64"/>
      <c r="M803" s="60"/>
      <c r="N803" s="60"/>
      <c r="O803" s="60"/>
      <c r="P803" s="60"/>
      <c r="Q803" s="64"/>
      <c r="R803" s="64"/>
      <c r="S803" s="64"/>
      <c r="T803" s="64"/>
      <c r="U803" s="64"/>
      <c r="V803" s="64"/>
      <c r="W803" s="64"/>
      <c r="X803" s="64"/>
      <c r="Y803" s="64"/>
      <c r="Z803" s="64"/>
      <c r="AA803" s="64"/>
      <c r="AB803" s="64"/>
      <c r="AC803" s="64"/>
      <c r="AD803" s="64"/>
      <c r="AE803" s="64"/>
      <c r="AF803" s="64"/>
      <c r="AG803" s="64"/>
      <c r="AH803" s="64"/>
      <c r="AI803" s="64"/>
      <c r="AJ803" s="64"/>
    </row>
    <row r="804">
      <c r="A804" s="64"/>
      <c r="B804" s="64"/>
      <c r="C804" s="64"/>
      <c r="D804" s="64"/>
      <c r="E804" s="64"/>
      <c r="F804" s="64"/>
      <c r="G804" s="64"/>
      <c r="H804" s="64"/>
      <c r="I804" s="64"/>
      <c r="J804" s="64"/>
      <c r="K804" s="64"/>
      <c r="L804" s="64"/>
      <c r="M804" s="60"/>
      <c r="N804" s="60"/>
      <c r="O804" s="60"/>
      <c r="P804" s="60"/>
      <c r="Q804" s="64"/>
      <c r="R804" s="64"/>
      <c r="S804" s="64"/>
      <c r="T804" s="64"/>
      <c r="U804" s="64"/>
      <c r="V804" s="64"/>
      <c r="W804" s="64"/>
      <c r="X804" s="64"/>
      <c r="Y804" s="64"/>
      <c r="Z804" s="64"/>
      <c r="AA804" s="64"/>
      <c r="AB804" s="64"/>
      <c r="AC804" s="64"/>
      <c r="AD804" s="64"/>
      <c r="AE804" s="64"/>
      <c r="AF804" s="64"/>
      <c r="AG804" s="64"/>
      <c r="AH804" s="64"/>
      <c r="AI804" s="64"/>
      <c r="AJ804" s="64"/>
    </row>
    <row r="805">
      <c r="A805" s="64"/>
      <c r="B805" s="64"/>
      <c r="C805" s="64"/>
      <c r="D805" s="64"/>
      <c r="E805" s="64"/>
      <c r="F805" s="64"/>
      <c r="G805" s="64"/>
      <c r="H805" s="64"/>
      <c r="I805" s="64"/>
      <c r="J805" s="64"/>
      <c r="K805" s="64"/>
      <c r="L805" s="64"/>
      <c r="M805" s="60"/>
      <c r="N805" s="60"/>
      <c r="O805" s="60"/>
      <c r="P805" s="60"/>
      <c r="Q805" s="64"/>
      <c r="R805" s="64"/>
      <c r="S805" s="64"/>
      <c r="T805" s="64"/>
      <c r="U805" s="64"/>
      <c r="V805" s="64"/>
      <c r="W805" s="64"/>
      <c r="X805" s="64"/>
      <c r="Y805" s="64"/>
      <c r="Z805" s="64"/>
      <c r="AA805" s="64"/>
      <c r="AB805" s="64"/>
      <c r="AC805" s="64"/>
      <c r="AD805" s="64"/>
      <c r="AE805" s="64"/>
      <c r="AF805" s="64"/>
      <c r="AG805" s="64"/>
      <c r="AH805" s="64"/>
      <c r="AI805" s="64"/>
      <c r="AJ805" s="64"/>
    </row>
    <row r="806">
      <c r="A806" s="64"/>
      <c r="B806" s="64"/>
      <c r="C806" s="64"/>
      <c r="D806" s="64"/>
      <c r="E806" s="64"/>
      <c r="F806" s="64"/>
      <c r="G806" s="64"/>
      <c r="H806" s="64"/>
      <c r="I806" s="64"/>
      <c r="J806" s="64"/>
      <c r="K806" s="64"/>
      <c r="L806" s="64"/>
      <c r="M806" s="60"/>
      <c r="N806" s="60"/>
      <c r="O806" s="60"/>
      <c r="P806" s="60"/>
      <c r="Q806" s="64"/>
      <c r="R806" s="64"/>
      <c r="S806" s="64"/>
      <c r="T806" s="64"/>
      <c r="U806" s="64"/>
      <c r="V806" s="64"/>
      <c r="W806" s="64"/>
      <c r="X806" s="64"/>
      <c r="Y806" s="64"/>
      <c r="Z806" s="64"/>
      <c r="AA806" s="64"/>
      <c r="AB806" s="64"/>
      <c r="AC806" s="64"/>
      <c r="AD806" s="64"/>
      <c r="AE806" s="64"/>
      <c r="AF806" s="64"/>
      <c r="AG806" s="64"/>
      <c r="AH806" s="64"/>
      <c r="AI806" s="64"/>
      <c r="AJ806" s="64"/>
    </row>
    <row r="807">
      <c r="A807" s="64"/>
      <c r="B807" s="64"/>
      <c r="C807" s="64"/>
      <c r="D807" s="64"/>
      <c r="E807" s="64"/>
      <c r="F807" s="64"/>
      <c r="G807" s="64"/>
      <c r="H807" s="64"/>
      <c r="I807" s="64"/>
      <c r="J807" s="64"/>
      <c r="K807" s="64"/>
      <c r="L807" s="64"/>
      <c r="M807" s="60"/>
      <c r="N807" s="60"/>
      <c r="O807" s="60"/>
      <c r="P807" s="60"/>
      <c r="Q807" s="64"/>
      <c r="R807" s="64"/>
      <c r="S807" s="64"/>
      <c r="T807" s="64"/>
      <c r="U807" s="64"/>
      <c r="V807" s="64"/>
      <c r="W807" s="64"/>
      <c r="X807" s="64"/>
      <c r="Y807" s="64"/>
      <c r="Z807" s="64"/>
      <c r="AA807" s="64"/>
      <c r="AB807" s="64"/>
      <c r="AC807" s="64"/>
      <c r="AD807" s="64"/>
      <c r="AE807" s="64"/>
      <c r="AF807" s="64"/>
      <c r="AG807" s="64"/>
      <c r="AH807" s="64"/>
      <c r="AI807" s="64"/>
      <c r="AJ807" s="64"/>
    </row>
    <row r="808">
      <c r="A808" s="64"/>
      <c r="B808" s="64"/>
      <c r="C808" s="64"/>
      <c r="D808" s="64"/>
      <c r="E808" s="64"/>
      <c r="F808" s="64"/>
      <c r="G808" s="64"/>
      <c r="H808" s="64"/>
      <c r="I808" s="64"/>
      <c r="J808" s="64"/>
      <c r="K808" s="64"/>
      <c r="L808" s="64"/>
      <c r="M808" s="60"/>
      <c r="N808" s="60"/>
      <c r="O808" s="60"/>
      <c r="P808" s="60"/>
      <c r="Q808" s="64"/>
      <c r="R808" s="64"/>
      <c r="S808" s="64"/>
      <c r="T808" s="64"/>
      <c r="U808" s="64"/>
      <c r="V808" s="64"/>
      <c r="W808" s="64"/>
      <c r="X808" s="64"/>
      <c r="Y808" s="64"/>
      <c r="Z808" s="64"/>
      <c r="AA808" s="64"/>
      <c r="AB808" s="64"/>
      <c r="AC808" s="64"/>
      <c r="AD808" s="64"/>
      <c r="AE808" s="64"/>
      <c r="AF808" s="64"/>
      <c r="AG808" s="64"/>
      <c r="AH808" s="64"/>
      <c r="AI808" s="64"/>
      <c r="AJ808" s="64"/>
    </row>
    <row r="809">
      <c r="A809" s="64"/>
      <c r="B809" s="64"/>
      <c r="C809" s="64"/>
      <c r="D809" s="64"/>
      <c r="E809" s="64"/>
      <c r="F809" s="64"/>
      <c r="G809" s="64"/>
      <c r="H809" s="64"/>
      <c r="I809" s="64"/>
      <c r="J809" s="64"/>
      <c r="K809" s="64"/>
      <c r="L809" s="64"/>
      <c r="M809" s="60"/>
      <c r="N809" s="60"/>
      <c r="O809" s="60"/>
      <c r="P809" s="60"/>
      <c r="Q809" s="64"/>
      <c r="R809" s="64"/>
      <c r="S809" s="64"/>
      <c r="T809" s="64"/>
      <c r="U809" s="64"/>
      <c r="V809" s="64"/>
      <c r="W809" s="64"/>
      <c r="X809" s="64"/>
      <c r="Y809" s="64"/>
      <c r="Z809" s="64"/>
      <c r="AA809" s="64"/>
      <c r="AB809" s="64"/>
      <c r="AC809" s="64"/>
      <c r="AD809" s="64"/>
      <c r="AE809" s="64"/>
      <c r="AF809" s="64"/>
      <c r="AG809" s="64"/>
      <c r="AH809" s="64"/>
      <c r="AI809" s="64"/>
      <c r="AJ809" s="64"/>
    </row>
    <row r="810">
      <c r="A810" s="64"/>
      <c r="B810" s="64"/>
      <c r="C810" s="64"/>
      <c r="D810" s="64"/>
      <c r="E810" s="64"/>
      <c r="F810" s="64"/>
      <c r="G810" s="64"/>
      <c r="H810" s="64"/>
      <c r="I810" s="64"/>
      <c r="J810" s="64"/>
      <c r="K810" s="64"/>
      <c r="L810" s="64"/>
      <c r="M810" s="60"/>
      <c r="N810" s="60"/>
      <c r="O810" s="60"/>
      <c r="P810" s="60"/>
      <c r="Q810" s="64"/>
      <c r="R810" s="64"/>
      <c r="S810" s="64"/>
      <c r="T810" s="64"/>
      <c r="U810" s="64"/>
      <c r="V810" s="64"/>
      <c r="W810" s="64"/>
      <c r="X810" s="64"/>
      <c r="Y810" s="64"/>
      <c r="Z810" s="64"/>
      <c r="AA810" s="64"/>
      <c r="AB810" s="64"/>
      <c r="AC810" s="64"/>
      <c r="AD810" s="64"/>
      <c r="AE810" s="64"/>
      <c r="AF810" s="64"/>
      <c r="AG810" s="64"/>
      <c r="AH810" s="64"/>
      <c r="AI810" s="64"/>
      <c r="AJ810" s="64"/>
    </row>
    <row r="811">
      <c r="A811" s="64"/>
      <c r="B811" s="64"/>
      <c r="C811" s="64"/>
      <c r="D811" s="64"/>
      <c r="E811" s="64"/>
      <c r="F811" s="64"/>
      <c r="G811" s="64"/>
      <c r="H811" s="64"/>
      <c r="I811" s="64"/>
      <c r="J811" s="64"/>
      <c r="K811" s="64"/>
      <c r="L811" s="64"/>
      <c r="M811" s="60"/>
      <c r="N811" s="60"/>
      <c r="O811" s="60"/>
      <c r="P811" s="60"/>
      <c r="Q811" s="64"/>
      <c r="R811" s="64"/>
      <c r="S811" s="64"/>
      <c r="T811" s="64"/>
      <c r="U811" s="64"/>
      <c r="V811" s="64"/>
      <c r="W811" s="64"/>
      <c r="X811" s="64"/>
      <c r="Y811" s="64"/>
      <c r="Z811" s="64"/>
      <c r="AA811" s="64"/>
      <c r="AB811" s="64"/>
      <c r="AC811" s="64"/>
      <c r="AD811" s="64"/>
      <c r="AE811" s="64"/>
      <c r="AF811" s="64"/>
      <c r="AG811" s="64"/>
      <c r="AH811" s="64"/>
      <c r="AI811" s="64"/>
      <c r="AJ811" s="64"/>
    </row>
    <row r="812">
      <c r="A812" s="64"/>
      <c r="B812" s="64"/>
      <c r="C812" s="64"/>
      <c r="D812" s="64"/>
      <c r="E812" s="64"/>
      <c r="F812" s="64"/>
      <c r="G812" s="64"/>
      <c r="H812" s="64"/>
      <c r="I812" s="64"/>
      <c r="J812" s="64"/>
      <c r="K812" s="64"/>
      <c r="L812" s="64"/>
      <c r="M812" s="60"/>
      <c r="N812" s="60"/>
      <c r="O812" s="60"/>
      <c r="P812" s="60"/>
      <c r="Q812" s="64"/>
      <c r="R812" s="64"/>
      <c r="S812" s="64"/>
      <c r="T812" s="64"/>
      <c r="U812" s="64"/>
      <c r="V812" s="64"/>
      <c r="W812" s="64"/>
      <c r="X812" s="64"/>
      <c r="Y812" s="64"/>
      <c r="Z812" s="64"/>
      <c r="AA812" s="64"/>
      <c r="AB812" s="64"/>
      <c r="AC812" s="64"/>
      <c r="AD812" s="64"/>
      <c r="AE812" s="64"/>
      <c r="AF812" s="64"/>
      <c r="AG812" s="64"/>
      <c r="AH812" s="64"/>
      <c r="AI812" s="64"/>
      <c r="AJ812" s="64"/>
    </row>
    <row r="813">
      <c r="A813" s="64"/>
      <c r="B813" s="64"/>
      <c r="C813" s="64"/>
      <c r="D813" s="64"/>
      <c r="E813" s="64"/>
      <c r="F813" s="64"/>
      <c r="G813" s="64"/>
      <c r="H813" s="64"/>
      <c r="I813" s="64"/>
      <c r="J813" s="64"/>
      <c r="K813" s="64"/>
      <c r="L813" s="64"/>
      <c r="M813" s="60"/>
      <c r="N813" s="60"/>
      <c r="O813" s="60"/>
      <c r="P813" s="60"/>
      <c r="Q813" s="64"/>
      <c r="R813" s="64"/>
      <c r="S813" s="64"/>
      <c r="T813" s="64"/>
      <c r="U813" s="64"/>
      <c r="V813" s="64"/>
      <c r="W813" s="64"/>
      <c r="X813" s="64"/>
      <c r="Y813" s="64"/>
      <c r="Z813" s="64"/>
      <c r="AA813" s="64"/>
      <c r="AB813" s="64"/>
      <c r="AC813" s="64"/>
      <c r="AD813" s="64"/>
      <c r="AE813" s="64"/>
      <c r="AF813" s="64"/>
      <c r="AG813" s="64"/>
      <c r="AH813" s="64"/>
      <c r="AI813" s="64"/>
      <c r="AJ813" s="64"/>
    </row>
    <row r="814">
      <c r="A814" s="64"/>
      <c r="B814" s="64"/>
      <c r="C814" s="64"/>
      <c r="D814" s="64"/>
      <c r="E814" s="64"/>
      <c r="F814" s="64"/>
      <c r="G814" s="64"/>
      <c r="H814" s="64"/>
      <c r="I814" s="64"/>
      <c r="J814" s="64"/>
      <c r="K814" s="64"/>
      <c r="L814" s="64"/>
      <c r="M814" s="60"/>
      <c r="N814" s="60"/>
      <c r="O814" s="60"/>
      <c r="P814" s="60"/>
      <c r="Q814" s="64"/>
      <c r="R814" s="64"/>
      <c r="S814" s="64"/>
      <c r="T814" s="64"/>
      <c r="U814" s="64"/>
      <c r="V814" s="64"/>
      <c r="W814" s="64"/>
      <c r="X814" s="64"/>
      <c r="Y814" s="64"/>
      <c r="Z814" s="64"/>
      <c r="AA814" s="64"/>
      <c r="AB814" s="64"/>
      <c r="AC814" s="64"/>
      <c r="AD814" s="64"/>
      <c r="AE814" s="64"/>
      <c r="AF814" s="64"/>
      <c r="AG814" s="64"/>
      <c r="AH814" s="64"/>
      <c r="AI814" s="64"/>
      <c r="AJ814" s="64"/>
    </row>
    <row r="815">
      <c r="A815" s="64"/>
      <c r="B815" s="64"/>
      <c r="C815" s="64"/>
      <c r="D815" s="64"/>
      <c r="E815" s="64"/>
      <c r="F815" s="64"/>
      <c r="G815" s="64"/>
      <c r="H815" s="64"/>
      <c r="I815" s="64"/>
      <c r="J815" s="64"/>
      <c r="K815" s="64"/>
      <c r="L815" s="64"/>
      <c r="M815" s="60"/>
      <c r="N815" s="60"/>
      <c r="O815" s="60"/>
      <c r="P815" s="60"/>
      <c r="Q815" s="64"/>
      <c r="R815" s="64"/>
      <c r="S815" s="64"/>
      <c r="T815" s="64"/>
      <c r="U815" s="64"/>
      <c r="V815" s="64"/>
      <c r="W815" s="64"/>
      <c r="X815" s="64"/>
      <c r="Y815" s="64"/>
      <c r="Z815" s="64"/>
      <c r="AA815" s="64"/>
      <c r="AB815" s="64"/>
      <c r="AC815" s="64"/>
      <c r="AD815" s="64"/>
      <c r="AE815" s="64"/>
      <c r="AF815" s="64"/>
      <c r="AG815" s="64"/>
      <c r="AH815" s="64"/>
      <c r="AI815" s="64"/>
      <c r="AJ815" s="64"/>
    </row>
    <row r="816">
      <c r="A816" s="64"/>
      <c r="B816" s="64"/>
      <c r="C816" s="64"/>
      <c r="D816" s="64"/>
      <c r="E816" s="64"/>
      <c r="F816" s="64"/>
      <c r="G816" s="64"/>
      <c r="H816" s="64"/>
      <c r="I816" s="64"/>
      <c r="J816" s="64"/>
      <c r="K816" s="64"/>
      <c r="L816" s="64"/>
      <c r="M816" s="60"/>
      <c r="N816" s="60"/>
      <c r="O816" s="60"/>
      <c r="P816" s="60"/>
      <c r="Q816" s="64"/>
      <c r="R816" s="64"/>
      <c r="S816" s="64"/>
      <c r="T816" s="64"/>
      <c r="U816" s="64"/>
      <c r="V816" s="64"/>
      <c r="W816" s="64"/>
      <c r="X816" s="64"/>
      <c r="Y816" s="64"/>
      <c r="Z816" s="64"/>
      <c r="AA816" s="64"/>
      <c r="AB816" s="64"/>
      <c r="AC816" s="64"/>
      <c r="AD816" s="64"/>
      <c r="AE816" s="64"/>
      <c r="AF816" s="64"/>
      <c r="AG816" s="64"/>
      <c r="AH816" s="64"/>
      <c r="AI816" s="64"/>
      <c r="AJ816" s="64"/>
    </row>
    <row r="817">
      <c r="A817" s="64"/>
      <c r="B817" s="64"/>
      <c r="C817" s="64"/>
      <c r="D817" s="64"/>
      <c r="E817" s="64"/>
      <c r="F817" s="64"/>
      <c r="G817" s="64"/>
      <c r="H817" s="64"/>
      <c r="I817" s="64"/>
      <c r="J817" s="64"/>
      <c r="K817" s="64"/>
      <c r="L817" s="64"/>
      <c r="M817" s="60"/>
      <c r="N817" s="60"/>
      <c r="O817" s="60"/>
      <c r="P817" s="60"/>
      <c r="Q817" s="64"/>
      <c r="R817" s="64"/>
      <c r="S817" s="64"/>
      <c r="T817" s="64"/>
      <c r="U817" s="64"/>
      <c r="V817" s="64"/>
      <c r="W817" s="64"/>
      <c r="X817" s="64"/>
      <c r="Y817" s="64"/>
      <c r="Z817" s="64"/>
      <c r="AA817" s="64"/>
      <c r="AB817" s="64"/>
      <c r="AC817" s="64"/>
      <c r="AD817" s="64"/>
      <c r="AE817" s="64"/>
      <c r="AF817" s="64"/>
      <c r="AG817" s="64"/>
      <c r="AH817" s="64"/>
      <c r="AI817" s="64"/>
      <c r="AJ817" s="64"/>
    </row>
    <row r="818">
      <c r="A818" s="64"/>
      <c r="B818" s="64"/>
      <c r="C818" s="64"/>
      <c r="D818" s="64"/>
      <c r="E818" s="64"/>
      <c r="F818" s="64"/>
      <c r="G818" s="64"/>
      <c r="H818" s="64"/>
      <c r="I818" s="64"/>
      <c r="J818" s="64"/>
      <c r="K818" s="64"/>
      <c r="L818" s="64"/>
      <c r="M818" s="60"/>
      <c r="N818" s="60"/>
      <c r="O818" s="60"/>
      <c r="P818" s="60"/>
      <c r="Q818" s="64"/>
      <c r="R818" s="64"/>
      <c r="S818" s="64"/>
      <c r="T818" s="64"/>
      <c r="U818" s="64"/>
      <c r="V818" s="64"/>
      <c r="W818" s="64"/>
      <c r="X818" s="64"/>
      <c r="Y818" s="64"/>
      <c r="Z818" s="64"/>
      <c r="AA818" s="64"/>
      <c r="AB818" s="64"/>
      <c r="AC818" s="64"/>
      <c r="AD818" s="64"/>
      <c r="AE818" s="64"/>
      <c r="AF818" s="64"/>
      <c r="AG818" s="64"/>
      <c r="AH818" s="64"/>
      <c r="AI818" s="64"/>
      <c r="AJ818" s="64"/>
    </row>
    <row r="819">
      <c r="A819" s="64"/>
      <c r="B819" s="64"/>
      <c r="C819" s="64"/>
      <c r="D819" s="64"/>
      <c r="E819" s="64"/>
      <c r="F819" s="64"/>
      <c r="G819" s="64"/>
      <c r="H819" s="64"/>
      <c r="I819" s="64"/>
      <c r="J819" s="64"/>
      <c r="K819" s="64"/>
      <c r="L819" s="64"/>
      <c r="M819" s="60"/>
      <c r="N819" s="60"/>
      <c r="O819" s="60"/>
      <c r="P819" s="60"/>
      <c r="Q819" s="64"/>
      <c r="R819" s="64"/>
      <c r="S819" s="64"/>
      <c r="T819" s="64"/>
      <c r="U819" s="64"/>
      <c r="V819" s="64"/>
      <c r="W819" s="64"/>
      <c r="X819" s="64"/>
      <c r="Y819" s="64"/>
      <c r="Z819" s="64"/>
      <c r="AA819" s="64"/>
      <c r="AB819" s="64"/>
      <c r="AC819" s="64"/>
      <c r="AD819" s="64"/>
      <c r="AE819" s="64"/>
      <c r="AF819" s="64"/>
      <c r="AG819" s="64"/>
      <c r="AH819" s="64"/>
      <c r="AI819" s="64"/>
      <c r="AJ819" s="64"/>
    </row>
    <row r="820">
      <c r="A820" s="64"/>
      <c r="B820" s="64"/>
      <c r="C820" s="64"/>
      <c r="D820" s="64"/>
      <c r="E820" s="64"/>
      <c r="F820" s="64"/>
      <c r="G820" s="64"/>
      <c r="H820" s="64"/>
      <c r="I820" s="64"/>
      <c r="J820" s="64"/>
      <c r="K820" s="64"/>
      <c r="L820" s="64"/>
      <c r="M820" s="60"/>
      <c r="N820" s="60"/>
      <c r="O820" s="60"/>
      <c r="P820" s="60"/>
      <c r="Q820" s="64"/>
      <c r="R820" s="64"/>
      <c r="S820" s="64"/>
      <c r="T820" s="64"/>
      <c r="U820" s="64"/>
      <c r="V820" s="64"/>
      <c r="W820" s="64"/>
      <c r="X820" s="64"/>
      <c r="Y820" s="64"/>
      <c r="Z820" s="64"/>
      <c r="AA820" s="64"/>
      <c r="AB820" s="64"/>
      <c r="AC820" s="64"/>
      <c r="AD820" s="64"/>
      <c r="AE820" s="64"/>
      <c r="AF820" s="64"/>
      <c r="AG820" s="64"/>
      <c r="AH820" s="64"/>
      <c r="AI820" s="64"/>
      <c r="AJ820" s="64"/>
    </row>
    <row r="821">
      <c r="A821" s="64"/>
      <c r="B821" s="64"/>
      <c r="C821" s="64"/>
      <c r="D821" s="64"/>
      <c r="E821" s="64"/>
      <c r="F821" s="64"/>
      <c r="G821" s="64"/>
      <c r="H821" s="64"/>
      <c r="I821" s="64"/>
      <c r="J821" s="64"/>
      <c r="K821" s="64"/>
      <c r="L821" s="64"/>
      <c r="M821" s="60"/>
      <c r="N821" s="60"/>
      <c r="O821" s="60"/>
      <c r="P821" s="60"/>
      <c r="Q821" s="64"/>
      <c r="R821" s="64"/>
      <c r="S821" s="64"/>
      <c r="T821" s="64"/>
      <c r="U821" s="64"/>
      <c r="V821" s="64"/>
      <c r="W821" s="64"/>
      <c r="X821" s="64"/>
      <c r="Y821" s="64"/>
      <c r="Z821" s="64"/>
      <c r="AA821" s="64"/>
      <c r="AB821" s="64"/>
      <c r="AC821" s="64"/>
      <c r="AD821" s="64"/>
      <c r="AE821" s="64"/>
      <c r="AF821" s="64"/>
      <c r="AG821" s="64"/>
      <c r="AH821" s="64"/>
      <c r="AI821" s="64"/>
      <c r="AJ821" s="64"/>
    </row>
    <row r="822">
      <c r="A822" s="64"/>
      <c r="B822" s="64"/>
      <c r="C822" s="64"/>
      <c r="D822" s="64"/>
      <c r="E822" s="64"/>
      <c r="F822" s="64"/>
      <c r="G822" s="64"/>
      <c r="H822" s="64"/>
      <c r="I822" s="64"/>
      <c r="J822" s="64"/>
      <c r="K822" s="64"/>
      <c r="L822" s="64"/>
      <c r="M822" s="60"/>
      <c r="N822" s="60"/>
      <c r="O822" s="60"/>
      <c r="P822" s="60"/>
      <c r="Q822" s="64"/>
      <c r="R822" s="64"/>
      <c r="S822" s="64"/>
      <c r="T822" s="64"/>
      <c r="U822" s="64"/>
      <c r="V822" s="64"/>
      <c r="W822" s="64"/>
      <c r="X822" s="64"/>
      <c r="Y822" s="64"/>
      <c r="Z822" s="64"/>
      <c r="AA822" s="64"/>
      <c r="AB822" s="64"/>
      <c r="AC822" s="64"/>
      <c r="AD822" s="64"/>
      <c r="AE822" s="64"/>
      <c r="AF822" s="64"/>
      <c r="AG822" s="64"/>
      <c r="AH822" s="64"/>
      <c r="AI822" s="64"/>
      <c r="AJ822" s="64"/>
    </row>
    <row r="823">
      <c r="A823" s="64"/>
      <c r="B823" s="64"/>
      <c r="C823" s="64"/>
      <c r="D823" s="64"/>
      <c r="E823" s="64"/>
      <c r="F823" s="64"/>
      <c r="G823" s="64"/>
      <c r="H823" s="64"/>
      <c r="I823" s="64"/>
      <c r="J823" s="64"/>
      <c r="K823" s="64"/>
      <c r="L823" s="64"/>
      <c r="M823" s="60"/>
      <c r="N823" s="60"/>
      <c r="O823" s="60"/>
      <c r="P823" s="60"/>
      <c r="Q823" s="64"/>
      <c r="R823" s="64"/>
      <c r="S823" s="64"/>
      <c r="T823" s="64"/>
      <c r="U823" s="64"/>
      <c r="V823" s="64"/>
      <c r="W823" s="64"/>
      <c r="X823" s="64"/>
      <c r="Y823" s="64"/>
      <c r="Z823" s="64"/>
      <c r="AA823" s="64"/>
      <c r="AB823" s="64"/>
      <c r="AC823" s="64"/>
      <c r="AD823" s="64"/>
      <c r="AE823" s="64"/>
      <c r="AF823" s="64"/>
      <c r="AG823" s="64"/>
      <c r="AH823" s="64"/>
      <c r="AI823" s="64"/>
      <c r="AJ823" s="64"/>
    </row>
    <row r="824">
      <c r="A824" s="64"/>
      <c r="B824" s="64"/>
      <c r="C824" s="64"/>
      <c r="D824" s="64"/>
      <c r="E824" s="64"/>
      <c r="F824" s="64"/>
      <c r="G824" s="64"/>
      <c r="H824" s="64"/>
      <c r="I824" s="64"/>
      <c r="J824" s="64"/>
      <c r="K824" s="64"/>
      <c r="L824" s="64"/>
      <c r="M824" s="60"/>
      <c r="N824" s="60"/>
      <c r="O824" s="60"/>
      <c r="P824" s="60"/>
      <c r="Q824" s="64"/>
      <c r="R824" s="64"/>
      <c r="S824" s="64"/>
      <c r="T824" s="64"/>
      <c r="U824" s="64"/>
      <c r="V824" s="64"/>
      <c r="W824" s="64"/>
      <c r="X824" s="64"/>
      <c r="Y824" s="64"/>
      <c r="Z824" s="64"/>
      <c r="AA824" s="64"/>
      <c r="AB824" s="64"/>
      <c r="AC824" s="64"/>
      <c r="AD824" s="64"/>
      <c r="AE824" s="64"/>
      <c r="AF824" s="64"/>
      <c r="AG824" s="64"/>
      <c r="AH824" s="64"/>
      <c r="AI824" s="64"/>
      <c r="AJ824" s="64"/>
    </row>
    <row r="825">
      <c r="A825" s="64"/>
      <c r="B825" s="64"/>
      <c r="C825" s="64"/>
      <c r="D825" s="64"/>
      <c r="E825" s="64"/>
      <c r="F825" s="64"/>
      <c r="G825" s="64"/>
      <c r="H825" s="64"/>
      <c r="I825" s="64"/>
      <c r="J825" s="64"/>
      <c r="K825" s="64"/>
      <c r="L825" s="64"/>
      <c r="M825" s="60"/>
      <c r="N825" s="60"/>
      <c r="O825" s="60"/>
      <c r="P825" s="60"/>
      <c r="Q825" s="64"/>
      <c r="R825" s="64"/>
      <c r="S825" s="64"/>
      <c r="T825" s="64"/>
      <c r="U825" s="64"/>
      <c r="V825" s="64"/>
      <c r="W825" s="64"/>
      <c r="X825" s="64"/>
      <c r="Y825" s="64"/>
      <c r="Z825" s="64"/>
      <c r="AA825" s="64"/>
      <c r="AB825" s="64"/>
      <c r="AC825" s="64"/>
      <c r="AD825" s="64"/>
      <c r="AE825" s="64"/>
      <c r="AF825" s="64"/>
      <c r="AG825" s="64"/>
      <c r="AH825" s="64"/>
      <c r="AI825" s="64"/>
      <c r="AJ825" s="64"/>
    </row>
    <row r="826">
      <c r="A826" s="64"/>
      <c r="B826" s="64"/>
      <c r="C826" s="64"/>
      <c r="D826" s="64"/>
      <c r="E826" s="64"/>
      <c r="F826" s="64"/>
      <c r="G826" s="64"/>
      <c r="H826" s="64"/>
      <c r="I826" s="64"/>
      <c r="J826" s="64"/>
      <c r="K826" s="64"/>
      <c r="L826" s="64"/>
      <c r="M826" s="60"/>
      <c r="N826" s="60"/>
      <c r="O826" s="60"/>
      <c r="P826" s="60"/>
      <c r="Q826" s="64"/>
      <c r="R826" s="64"/>
      <c r="S826" s="64"/>
      <c r="T826" s="64"/>
      <c r="U826" s="64"/>
      <c r="V826" s="64"/>
      <c r="W826" s="64"/>
      <c r="X826" s="64"/>
      <c r="Y826" s="64"/>
      <c r="Z826" s="64"/>
      <c r="AA826" s="64"/>
      <c r="AB826" s="64"/>
      <c r="AC826" s="64"/>
      <c r="AD826" s="64"/>
      <c r="AE826" s="64"/>
      <c r="AF826" s="64"/>
      <c r="AG826" s="64"/>
      <c r="AH826" s="64"/>
      <c r="AI826" s="64"/>
      <c r="AJ826" s="64"/>
    </row>
    <row r="827">
      <c r="A827" s="64"/>
      <c r="B827" s="64"/>
      <c r="C827" s="64"/>
      <c r="D827" s="64"/>
      <c r="E827" s="64"/>
      <c r="F827" s="64"/>
      <c r="G827" s="64"/>
      <c r="H827" s="64"/>
      <c r="I827" s="64"/>
      <c r="J827" s="64"/>
      <c r="K827" s="64"/>
      <c r="L827" s="64"/>
      <c r="M827" s="60"/>
      <c r="N827" s="60"/>
      <c r="O827" s="60"/>
      <c r="P827" s="60"/>
      <c r="Q827" s="64"/>
      <c r="R827" s="64"/>
      <c r="S827" s="64"/>
      <c r="T827" s="64"/>
      <c r="U827" s="64"/>
      <c r="V827" s="64"/>
      <c r="W827" s="64"/>
      <c r="X827" s="64"/>
      <c r="Y827" s="64"/>
      <c r="Z827" s="64"/>
      <c r="AA827" s="64"/>
      <c r="AB827" s="64"/>
      <c r="AC827" s="64"/>
      <c r="AD827" s="64"/>
      <c r="AE827" s="64"/>
      <c r="AF827" s="64"/>
      <c r="AG827" s="64"/>
      <c r="AH827" s="64"/>
      <c r="AI827" s="64"/>
      <c r="AJ827" s="64"/>
    </row>
    <row r="828">
      <c r="A828" s="64"/>
      <c r="B828" s="64"/>
      <c r="C828" s="64"/>
      <c r="D828" s="64"/>
      <c r="E828" s="64"/>
      <c r="F828" s="64"/>
      <c r="G828" s="64"/>
      <c r="H828" s="64"/>
      <c r="I828" s="64"/>
      <c r="J828" s="64"/>
      <c r="K828" s="64"/>
      <c r="L828" s="64"/>
      <c r="M828" s="60"/>
      <c r="N828" s="60"/>
      <c r="O828" s="60"/>
      <c r="P828" s="60"/>
      <c r="Q828" s="64"/>
      <c r="R828" s="64"/>
      <c r="S828" s="64"/>
      <c r="T828" s="64"/>
      <c r="U828" s="64"/>
      <c r="V828" s="64"/>
      <c r="W828" s="64"/>
      <c r="X828" s="64"/>
      <c r="Y828" s="64"/>
      <c r="Z828" s="64"/>
      <c r="AA828" s="64"/>
      <c r="AB828" s="64"/>
      <c r="AC828" s="64"/>
      <c r="AD828" s="64"/>
      <c r="AE828" s="64"/>
      <c r="AF828" s="64"/>
      <c r="AG828" s="64"/>
      <c r="AH828" s="64"/>
      <c r="AI828" s="64"/>
      <c r="AJ828" s="64"/>
    </row>
    <row r="829">
      <c r="A829" s="64"/>
      <c r="B829" s="64"/>
      <c r="C829" s="64"/>
      <c r="D829" s="64"/>
      <c r="E829" s="64"/>
      <c r="F829" s="64"/>
      <c r="G829" s="64"/>
      <c r="H829" s="64"/>
      <c r="I829" s="64"/>
      <c r="J829" s="64"/>
      <c r="K829" s="64"/>
      <c r="L829" s="64"/>
      <c r="M829" s="60"/>
      <c r="N829" s="60"/>
      <c r="O829" s="60"/>
      <c r="P829" s="60"/>
      <c r="Q829" s="64"/>
      <c r="R829" s="64"/>
      <c r="S829" s="64"/>
      <c r="T829" s="64"/>
      <c r="U829" s="64"/>
      <c r="V829" s="64"/>
      <c r="W829" s="64"/>
      <c r="X829" s="64"/>
      <c r="Y829" s="64"/>
      <c r="Z829" s="64"/>
      <c r="AA829" s="64"/>
      <c r="AB829" s="64"/>
      <c r="AC829" s="64"/>
      <c r="AD829" s="64"/>
      <c r="AE829" s="64"/>
      <c r="AF829" s="64"/>
      <c r="AG829" s="64"/>
      <c r="AH829" s="64"/>
      <c r="AI829" s="64"/>
      <c r="AJ829" s="64"/>
    </row>
    <row r="830">
      <c r="A830" s="64"/>
      <c r="B830" s="64"/>
      <c r="C830" s="64"/>
      <c r="D830" s="64"/>
      <c r="E830" s="64"/>
      <c r="F830" s="64"/>
      <c r="G830" s="64"/>
      <c r="H830" s="64"/>
      <c r="I830" s="64"/>
      <c r="J830" s="64"/>
      <c r="K830" s="64"/>
      <c r="L830" s="64"/>
      <c r="M830" s="60"/>
      <c r="N830" s="60"/>
      <c r="O830" s="60"/>
      <c r="P830" s="60"/>
      <c r="Q830" s="64"/>
      <c r="R830" s="64"/>
      <c r="S830" s="64"/>
      <c r="T830" s="64"/>
      <c r="U830" s="64"/>
      <c r="V830" s="64"/>
      <c r="W830" s="64"/>
      <c r="X830" s="64"/>
      <c r="Y830" s="64"/>
      <c r="Z830" s="64"/>
      <c r="AA830" s="64"/>
      <c r="AB830" s="64"/>
      <c r="AC830" s="64"/>
      <c r="AD830" s="64"/>
      <c r="AE830" s="64"/>
      <c r="AF830" s="64"/>
      <c r="AG830" s="64"/>
      <c r="AH830" s="64"/>
      <c r="AI830" s="64"/>
      <c r="AJ830" s="64"/>
    </row>
    <row r="831">
      <c r="A831" s="64"/>
      <c r="B831" s="64"/>
      <c r="C831" s="64"/>
      <c r="D831" s="64"/>
      <c r="E831" s="64"/>
      <c r="F831" s="64"/>
      <c r="G831" s="64"/>
      <c r="H831" s="64"/>
      <c r="I831" s="64"/>
      <c r="J831" s="64"/>
      <c r="K831" s="64"/>
      <c r="L831" s="64"/>
      <c r="M831" s="60"/>
      <c r="N831" s="60"/>
      <c r="O831" s="60"/>
      <c r="P831" s="60"/>
      <c r="Q831" s="64"/>
      <c r="R831" s="64"/>
      <c r="S831" s="64"/>
      <c r="T831" s="64"/>
      <c r="U831" s="64"/>
      <c r="V831" s="64"/>
      <c r="W831" s="64"/>
      <c r="X831" s="64"/>
      <c r="Y831" s="64"/>
      <c r="Z831" s="64"/>
      <c r="AA831" s="64"/>
      <c r="AB831" s="64"/>
      <c r="AC831" s="64"/>
      <c r="AD831" s="64"/>
      <c r="AE831" s="64"/>
      <c r="AF831" s="64"/>
      <c r="AG831" s="64"/>
      <c r="AH831" s="64"/>
      <c r="AI831" s="64"/>
      <c r="AJ831" s="64"/>
    </row>
    <row r="832">
      <c r="A832" s="64"/>
      <c r="B832" s="64"/>
      <c r="C832" s="64"/>
      <c r="D832" s="64"/>
      <c r="E832" s="64"/>
      <c r="F832" s="64"/>
      <c r="G832" s="64"/>
      <c r="H832" s="64"/>
      <c r="I832" s="64"/>
      <c r="J832" s="64"/>
      <c r="K832" s="64"/>
      <c r="L832" s="64"/>
      <c r="M832" s="60"/>
      <c r="N832" s="60"/>
      <c r="O832" s="60"/>
      <c r="P832" s="60"/>
      <c r="Q832" s="64"/>
      <c r="R832" s="64"/>
      <c r="S832" s="64"/>
      <c r="T832" s="64"/>
      <c r="U832" s="64"/>
      <c r="V832" s="64"/>
      <c r="W832" s="64"/>
      <c r="X832" s="64"/>
      <c r="Y832" s="64"/>
      <c r="Z832" s="64"/>
      <c r="AA832" s="64"/>
      <c r="AB832" s="64"/>
      <c r="AC832" s="64"/>
      <c r="AD832" s="64"/>
      <c r="AE832" s="64"/>
      <c r="AF832" s="64"/>
      <c r="AG832" s="64"/>
      <c r="AH832" s="64"/>
      <c r="AI832" s="64"/>
      <c r="AJ832" s="64"/>
    </row>
    <row r="833">
      <c r="A833" s="64"/>
      <c r="B833" s="64"/>
      <c r="C833" s="64"/>
      <c r="D833" s="64"/>
      <c r="E833" s="64"/>
      <c r="F833" s="64"/>
      <c r="G833" s="64"/>
      <c r="H833" s="64"/>
      <c r="I833" s="64"/>
      <c r="J833" s="64"/>
      <c r="K833" s="64"/>
      <c r="L833" s="64"/>
      <c r="M833" s="60"/>
      <c r="N833" s="60"/>
      <c r="O833" s="60"/>
      <c r="P833" s="60"/>
      <c r="Q833" s="64"/>
      <c r="R833" s="64"/>
      <c r="S833" s="64"/>
      <c r="T833" s="64"/>
      <c r="U833" s="64"/>
      <c r="V833" s="64"/>
      <c r="W833" s="64"/>
      <c r="X833" s="64"/>
      <c r="Y833" s="64"/>
      <c r="Z833" s="64"/>
      <c r="AA833" s="64"/>
      <c r="AB833" s="64"/>
      <c r="AC833" s="64"/>
      <c r="AD833" s="64"/>
      <c r="AE833" s="64"/>
      <c r="AF833" s="64"/>
      <c r="AG833" s="64"/>
      <c r="AH833" s="64"/>
      <c r="AI833" s="64"/>
      <c r="AJ833" s="64"/>
    </row>
    <row r="834">
      <c r="A834" s="64"/>
      <c r="B834" s="64"/>
      <c r="C834" s="64"/>
      <c r="D834" s="64"/>
      <c r="E834" s="64"/>
      <c r="F834" s="64"/>
      <c r="G834" s="64"/>
      <c r="H834" s="64"/>
      <c r="I834" s="64"/>
      <c r="J834" s="64"/>
      <c r="K834" s="64"/>
      <c r="L834" s="64"/>
      <c r="M834" s="60"/>
      <c r="N834" s="60"/>
      <c r="O834" s="60"/>
      <c r="P834" s="60"/>
      <c r="Q834" s="64"/>
      <c r="R834" s="64"/>
      <c r="S834" s="64"/>
      <c r="T834" s="64"/>
      <c r="U834" s="64"/>
      <c r="V834" s="64"/>
      <c r="W834" s="64"/>
      <c r="X834" s="64"/>
      <c r="Y834" s="64"/>
      <c r="Z834" s="64"/>
      <c r="AA834" s="64"/>
      <c r="AB834" s="64"/>
      <c r="AC834" s="64"/>
      <c r="AD834" s="64"/>
      <c r="AE834" s="64"/>
      <c r="AF834" s="64"/>
      <c r="AG834" s="64"/>
      <c r="AH834" s="64"/>
      <c r="AI834" s="64"/>
      <c r="AJ834" s="64"/>
    </row>
    <row r="835">
      <c r="A835" s="64"/>
      <c r="B835" s="64"/>
      <c r="C835" s="64"/>
      <c r="D835" s="64"/>
      <c r="E835" s="64"/>
      <c r="F835" s="64"/>
      <c r="G835" s="64"/>
      <c r="H835" s="64"/>
      <c r="I835" s="64"/>
      <c r="J835" s="64"/>
      <c r="K835" s="64"/>
      <c r="L835" s="64"/>
      <c r="M835" s="60"/>
      <c r="N835" s="60"/>
      <c r="O835" s="60"/>
      <c r="P835" s="60"/>
      <c r="Q835" s="64"/>
      <c r="R835" s="64"/>
      <c r="S835" s="64"/>
      <c r="T835" s="64"/>
      <c r="U835" s="64"/>
      <c r="V835" s="64"/>
      <c r="W835" s="64"/>
      <c r="X835" s="64"/>
      <c r="Y835" s="64"/>
      <c r="Z835" s="64"/>
      <c r="AA835" s="64"/>
      <c r="AB835" s="64"/>
      <c r="AC835" s="64"/>
      <c r="AD835" s="64"/>
      <c r="AE835" s="64"/>
      <c r="AF835" s="64"/>
      <c r="AG835" s="64"/>
      <c r="AH835" s="64"/>
      <c r="AI835" s="64"/>
      <c r="AJ835" s="64"/>
    </row>
    <row r="836">
      <c r="A836" s="64"/>
      <c r="B836" s="64"/>
      <c r="C836" s="64"/>
      <c r="D836" s="64"/>
      <c r="E836" s="64"/>
      <c r="F836" s="64"/>
      <c r="G836" s="64"/>
      <c r="H836" s="64"/>
      <c r="I836" s="64"/>
      <c r="J836" s="64"/>
      <c r="K836" s="64"/>
      <c r="L836" s="64"/>
      <c r="M836" s="60"/>
      <c r="N836" s="60"/>
      <c r="O836" s="60"/>
      <c r="P836" s="60"/>
      <c r="Q836" s="64"/>
      <c r="R836" s="64"/>
      <c r="S836" s="64"/>
      <c r="T836" s="64"/>
      <c r="U836" s="64"/>
      <c r="V836" s="64"/>
      <c r="W836" s="64"/>
      <c r="X836" s="64"/>
      <c r="Y836" s="64"/>
      <c r="Z836" s="64"/>
      <c r="AA836" s="64"/>
      <c r="AB836" s="64"/>
      <c r="AC836" s="64"/>
      <c r="AD836" s="64"/>
      <c r="AE836" s="64"/>
      <c r="AF836" s="64"/>
      <c r="AG836" s="64"/>
      <c r="AH836" s="64"/>
      <c r="AI836" s="64"/>
      <c r="AJ836" s="64"/>
    </row>
    <row r="837">
      <c r="A837" s="64"/>
      <c r="B837" s="64"/>
      <c r="C837" s="64"/>
      <c r="D837" s="64"/>
      <c r="E837" s="64"/>
      <c r="F837" s="64"/>
      <c r="G837" s="64"/>
      <c r="H837" s="64"/>
      <c r="I837" s="64"/>
      <c r="J837" s="64"/>
      <c r="K837" s="64"/>
      <c r="L837" s="64"/>
      <c r="M837" s="60"/>
      <c r="N837" s="60"/>
      <c r="O837" s="60"/>
      <c r="P837" s="60"/>
      <c r="Q837" s="64"/>
      <c r="R837" s="64"/>
      <c r="S837" s="64"/>
      <c r="T837" s="64"/>
      <c r="U837" s="64"/>
      <c r="V837" s="64"/>
      <c r="W837" s="64"/>
      <c r="X837" s="64"/>
      <c r="Y837" s="64"/>
      <c r="Z837" s="64"/>
      <c r="AA837" s="64"/>
      <c r="AB837" s="64"/>
      <c r="AC837" s="64"/>
      <c r="AD837" s="64"/>
      <c r="AE837" s="64"/>
      <c r="AF837" s="64"/>
      <c r="AG837" s="64"/>
      <c r="AH837" s="64"/>
      <c r="AI837" s="64"/>
      <c r="AJ837" s="64"/>
    </row>
    <row r="838">
      <c r="A838" s="64"/>
      <c r="B838" s="64"/>
      <c r="C838" s="64"/>
      <c r="D838" s="64"/>
      <c r="E838" s="64"/>
      <c r="F838" s="64"/>
      <c r="G838" s="64"/>
      <c r="H838" s="64"/>
      <c r="I838" s="64"/>
      <c r="J838" s="64"/>
      <c r="K838" s="64"/>
      <c r="L838" s="64"/>
      <c r="M838" s="60"/>
      <c r="N838" s="60"/>
      <c r="O838" s="60"/>
      <c r="P838" s="60"/>
      <c r="Q838" s="64"/>
      <c r="R838" s="64"/>
      <c r="S838" s="64"/>
      <c r="T838" s="64"/>
      <c r="U838" s="64"/>
      <c r="V838" s="64"/>
      <c r="W838" s="64"/>
      <c r="X838" s="64"/>
      <c r="Y838" s="64"/>
      <c r="Z838" s="64"/>
      <c r="AA838" s="64"/>
      <c r="AB838" s="64"/>
      <c r="AC838" s="64"/>
      <c r="AD838" s="64"/>
      <c r="AE838" s="64"/>
      <c r="AF838" s="64"/>
      <c r="AG838" s="64"/>
      <c r="AH838" s="64"/>
      <c r="AI838" s="64"/>
      <c r="AJ838" s="64"/>
    </row>
    <row r="839">
      <c r="A839" s="64"/>
      <c r="B839" s="64"/>
      <c r="C839" s="64"/>
      <c r="D839" s="64"/>
      <c r="E839" s="64"/>
      <c r="F839" s="64"/>
      <c r="G839" s="64"/>
      <c r="H839" s="64"/>
      <c r="I839" s="64"/>
      <c r="J839" s="64"/>
      <c r="K839" s="64"/>
      <c r="L839" s="64"/>
      <c r="M839" s="60"/>
      <c r="N839" s="60"/>
      <c r="O839" s="60"/>
      <c r="P839" s="60"/>
      <c r="Q839" s="64"/>
      <c r="R839" s="64"/>
      <c r="S839" s="64"/>
      <c r="T839" s="64"/>
      <c r="U839" s="64"/>
      <c r="V839" s="64"/>
      <c r="W839" s="64"/>
      <c r="X839" s="64"/>
      <c r="Y839" s="64"/>
      <c r="Z839" s="64"/>
      <c r="AA839" s="64"/>
      <c r="AB839" s="64"/>
      <c r="AC839" s="64"/>
      <c r="AD839" s="64"/>
      <c r="AE839" s="64"/>
      <c r="AF839" s="64"/>
      <c r="AG839" s="64"/>
      <c r="AH839" s="64"/>
      <c r="AI839" s="64"/>
      <c r="AJ839" s="64"/>
    </row>
    <row r="840">
      <c r="A840" s="64"/>
      <c r="B840" s="64"/>
      <c r="C840" s="64"/>
      <c r="D840" s="64"/>
      <c r="E840" s="64"/>
      <c r="F840" s="64"/>
      <c r="G840" s="64"/>
      <c r="H840" s="64"/>
      <c r="I840" s="64"/>
      <c r="J840" s="64"/>
      <c r="K840" s="64"/>
      <c r="L840" s="64"/>
      <c r="M840" s="60"/>
      <c r="N840" s="60"/>
      <c r="O840" s="60"/>
      <c r="P840" s="60"/>
      <c r="Q840" s="64"/>
      <c r="R840" s="64"/>
      <c r="S840" s="64"/>
      <c r="T840" s="64"/>
      <c r="U840" s="64"/>
      <c r="V840" s="64"/>
      <c r="W840" s="64"/>
      <c r="X840" s="64"/>
      <c r="Y840" s="64"/>
      <c r="Z840" s="64"/>
      <c r="AA840" s="64"/>
      <c r="AB840" s="64"/>
      <c r="AC840" s="64"/>
      <c r="AD840" s="64"/>
      <c r="AE840" s="64"/>
      <c r="AF840" s="64"/>
      <c r="AG840" s="64"/>
      <c r="AH840" s="64"/>
      <c r="AI840" s="64"/>
      <c r="AJ840" s="64"/>
    </row>
    <row r="841">
      <c r="A841" s="64"/>
      <c r="B841" s="64"/>
      <c r="C841" s="64"/>
      <c r="D841" s="64"/>
      <c r="E841" s="64"/>
      <c r="F841" s="64"/>
      <c r="G841" s="64"/>
      <c r="H841" s="64"/>
      <c r="I841" s="64"/>
      <c r="J841" s="64"/>
      <c r="K841" s="64"/>
      <c r="L841" s="64"/>
      <c r="M841" s="60"/>
      <c r="N841" s="60"/>
      <c r="O841" s="60"/>
      <c r="P841" s="60"/>
      <c r="Q841" s="64"/>
      <c r="R841" s="64"/>
      <c r="S841" s="64"/>
      <c r="T841" s="64"/>
      <c r="U841" s="64"/>
      <c r="V841" s="64"/>
      <c r="W841" s="64"/>
      <c r="X841" s="64"/>
      <c r="Y841" s="64"/>
      <c r="Z841" s="64"/>
      <c r="AA841" s="64"/>
      <c r="AB841" s="64"/>
      <c r="AC841" s="64"/>
      <c r="AD841" s="64"/>
      <c r="AE841" s="64"/>
      <c r="AF841" s="64"/>
      <c r="AG841" s="64"/>
      <c r="AH841" s="64"/>
      <c r="AI841" s="64"/>
      <c r="AJ841" s="64"/>
    </row>
    <row r="842">
      <c r="A842" s="64"/>
      <c r="B842" s="64"/>
      <c r="C842" s="64"/>
      <c r="D842" s="64"/>
      <c r="E842" s="64"/>
      <c r="F842" s="64"/>
      <c r="G842" s="64"/>
      <c r="H842" s="64"/>
      <c r="I842" s="64"/>
      <c r="J842" s="64"/>
      <c r="K842" s="64"/>
      <c r="L842" s="64"/>
      <c r="M842" s="60"/>
      <c r="N842" s="60"/>
      <c r="O842" s="60"/>
      <c r="P842" s="60"/>
      <c r="Q842" s="64"/>
      <c r="R842" s="64"/>
      <c r="S842" s="64"/>
      <c r="T842" s="64"/>
      <c r="U842" s="64"/>
      <c r="V842" s="64"/>
      <c r="W842" s="64"/>
      <c r="X842" s="64"/>
      <c r="Y842" s="64"/>
      <c r="Z842" s="64"/>
      <c r="AA842" s="64"/>
      <c r="AB842" s="64"/>
      <c r="AC842" s="64"/>
      <c r="AD842" s="64"/>
      <c r="AE842" s="64"/>
      <c r="AF842" s="64"/>
      <c r="AG842" s="64"/>
      <c r="AH842" s="64"/>
      <c r="AI842" s="64"/>
      <c r="AJ842" s="64"/>
    </row>
    <row r="843">
      <c r="A843" s="64"/>
      <c r="B843" s="64"/>
      <c r="C843" s="64"/>
      <c r="D843" s="64"/>
      <c r="E843" s="64"/>
      <c r="F843" s="64"/>
      <c r="G843" s="64"/>
      <c r="H843" s="64"/>
      <c r="I843" s="64"/>
      <c r="J843" s="64"/>
      <c r="K843" s="64"/>
      <c r="L843" s="64"/>
      <c r="M843" s="60"/>
      <c r="N843" s="60"/>
      <c r="O843" s="60"/>
      <c r="P843" s="60"/>
      <c r="Q843" s="64"/>
      <c r="R843" s="64"/>
      <c r="S843" s="64"/>
      <c r="T843" s="64"/>
      <c r="U843" s="64"/>
      <c r="V843" s="64"/>
      <c r="W843" s="64"/>
      <c r="X843" s="64"/>
      <c r="Y843" s="64"/>
      <c r="Z843" s="64"/>
      <c r="AA843" s="64"/>
      <c r="AB843" s="64"/>
      <c r="AC843" s="64"/>
      <c r="AD843" s="64"/>
      <c r="AE843" s="64"/>
      <c r="AF843" s="64"/>
      <c r="AG843" s="64"/>
      <c r="AH843" s="64"/>
      <c r="AI843" s="64"/>
      <c r="AJ843" s="64"/>
    </row>
    <row r="844">
      <c r="A844" s="64"/>
      <c r="B844" s="64"/>
      <c r="C844" s="64"/>
      <c r="D844" s="64"/>
      <c r="E844" s="64"/>
      <c r="F844" s="64"/>
      <c r="G844" s="64"/>
      <c r="H844" s="64"/>
      <c r="I844" s="64"/>
      <c r="J844" s="64"/>
      <c r="K844" s="64"/>
      <c r="L844" s="64"/>
      <c r="M844" s="60"/>
      <c r="N844" s="60"/>
      <c r="O844" s="60"/>
      <c r="P844" s="60"/>
      <c r="Q844" s="64"/>
      <c r="R844" s="64"/>
      <c r="S844" s="64"/>
      <c r="T844" s="64"/>
      <c r="U844" s="64"/>
      <c r="V844" s="64"/>
      <c r="W844" s="64"/>
      <c r="X844" s="64"/>
      <c r="Y844" s="64"/>
      <c r="Z844" s="64"/>
      <c r="AA844" s="64"/>
      <c r="AB844" s="64"/>
      <c r="AC844" s="64"/>
      <c r="AD844" s="64"/>
      <c r="AE844" s="64"/>
      <c r="AF844" s="64"/>
      <c r="AG844" s="64"/>
      <c r="AH844" s="64"/>
      <c r="AI844" s="64"/>
      <c r="AJ844" s="64"/>
    </row>
    <row r="845">
      <c r="A845" s="64"/>
      <c r="B845" s="64"/>
      <c r="C845" s="64"/>
      <c r="D845" s="64"/>
      <c r="E845" s="64"/>
      <c r="F845" s="64"/>
      <c r="G845" s="64"/>
      <c r="H845" s="64"/>
      <c r="I845" s="64"/>
      <c r="J845" s="64"/>
      <c r="K845" s="64"/>
      <c r="L845" s="64"/>
      <c r="M845" s="60"/>
      <c r="N845" s="60"/>
      <c r="O845" s="60"/>
      <c r="P845" s="60"/>
      <c r="Q845" s="64"/>
      <c r="R845" s="64"/>
      <c r="S845" s="64"/>
      <c r="T845" s="64"/>
      <c r="U845" s="64"/>
      <c r="V845" s="64"/>
      <c r="W845" s="64"/>
      <c r="X845" s="64"/>
      <c r="Y845" s="64"/>
      <c r="Z845" s="64"/>
      <c r="AA845" s="64"/>
      <c r="AB845" s="64"/>
      <c r="AC845" s="64"/>
      <c r="AD845" s="64"/>
      <c r="AE845" s="64"/>
      <c r="AF845" s="64"/>
      <c r="AG845" s="64"/>
      <c r="AH845" s="64"/>
      <c r="AI845" s="64"/>
      <c r="AJ845" s="64"/>
    </row>
    <row r="846">
      <c r="A846" s="64"/>
      <c r="B846" s="64"/>
      <c r="C846" s="64"/>
      <c r="D846" s="64"/>
      <c r="E846" s="64"/>
      <c r="F846" s="64"/>
      <c r="G846" s="64"/>
      <c r="H846" s="64"/>
      <c r="I846" s="64"/>
      <c r="J846" s="64"/>
      <c r="K846" s="64"/>
      <c r="L846" s="64"/>
      <c r="M846" s="60"/>
      <c r="N846" s="60"/>
      <c r="O846" s="60"/>
      <c r="P846" s="60"/>
      <c r="Q846" s="64"/>
      <c r="R846" s="64"/>
      <c r="S846" s="64"/>
      <c r="T846" s="64"/>
      <c r="U846" s="64"/>
      <c r="V846" s="64"/>
      <c r="W846" s="64"/>
      <c r="X846" s="64"/>
      <c r="Y846" s="64"/>
      <c r="Z846" s="64"/>
      <c r="AA846" s="64"/>
      <c r="AB846" s="64"/>
      <c r="AC846" s="64"/>
      <c r="AD846" s="64"/>
      <c r="AE846" s="64"/>
      <c r="AF846" s="64"/>
      <c r="AG846" s="64"/>
      <c r="AH846" s="64"/>
      <c r="AI846" s="64"/>
      <c r="AJ846" s="64"/>
    </row>
    <row r="847">
      <c r="A847" s="64"/>
      <c r="B847" s="64"/>
      <c r="C847" s="64"/>
      <c r="D847" s="64"/>
      <c r="E847" s="64"/>
      <c r="F847" s="64"/>
      <c r="G847" s="64"/>
      <c r="H847" s="64"/>
      <c r="I847" s="64"/>
      <c r="J847" s="64"/>
      <c r="K847" s="64"/>
      <c r="L847" s="64"/>
      <c r="M847" s="60"/>
      <c r="N847" s="60"/>
      <c r="O847" s="60"/>
      <c r="P847" s="60"/>
      <c r="Q847" s="64"/>
      <c r="R847" s="64"/>
      <c r="S847" s="64"/>
      <c r="T847" s="64"/>
      <c r="U847" s="64"/>
      <c r="V847" s="64"/>
      <c r="W847" s="64"/>
      <c r="X847" s="64"/>
      <c r="Y847" s="64"/>
      <c r="Z847" s="64"/>
      <c r="AA847" s="64"/>
      <c r="AB847" s="64"/>
      <c r="AC847" s="64"/>
      <c r="AD847" s="64"/>
      <c r="AE847" s="64"/>
      <c r="AF847" s="64"/>
      <c r="AG847" s="64"/>
      <c r="AH847" s="64"/>
      <c r="AI847" s="64"/>
      <c r="AJ847" s="64"/>
    </row>
    <row r="848">
      <c r="A848" s="64"/>
      <c r="B848" s="64"/>
      <c r="C848" s="64"/>
      <c r="D848" s="64"/>
      <c r="E848" s="64"/>
      <c r="F848" s="64"/>
      <c r="G848" s="64"/>
      <c r="H848" s="64"/>
      <c r="I848" s="64"/>
      <c r="J848" s="64"/>
      <c r="K848" s="64"/>
      <c r="L848" s="64"/>
      <c r="M848" s="60"/>
      <c r="N848" s="60"/>
      <c r="O848" s="60"/>
      <c r="P848" s="60"/>
      <c r="Q848" s="64"/>
      <c r="R848" s="64"/>
      <c r="S848" s="64"/>
      <c r="T848" s="64"/>
      <c r="U848" s="64"/>
      <c r="V848" s="64"/>
      <c r="W848" s="64"/>
      <c r="X848" s="64"/>
      <c r="Y848" s="64"/>
      <c r="Z848" s="64"/>
      <c r="AA848" s="64"/>
      <c r="AB848" s="64"/>
      <c r="AC848" s="64"/>
      <c r="AD848" s="64"/>
      <c r="AE848" s="64"/>
      <c r="AF848" s="64"/>
      <c r="AG848" s="64"/>
      <c r="AH848" s="64"/>
      <c r="AI848" s="64"/>
      <c r="AJ848" s="64"/>
    </row>
    <row r="849">
      <c r="A849" s="64"/>
      <c r="B849" s="64"/>
      <c r="C849" s="64"/>
      <c r="D849" s="64"/>
      <c r="E849" s="64"/>
      <c r="F849" s="64"/>
      <c r="G849" s="64"/>
      <c r="H849" s="64"/>
      <c r="I849" s="64"/>
      <c r="J849" s="64"/>
      <c r="K849" s="64"/>
      <c r="L849" s="64"/>
      <c r="M849" s="60"/>
      <c r="N849" s="60"/>
      <c r="O849" s="60"/>
      <c r="P849" s="60"/>
      <c r="Q849" s="64"/>
      <c r="R849" s="64"/>
      <c r="S849" s="64"/>
      <c r="T849" s="64"/>
      <c r="U849" s="64"/>
      <c r="V849" s="64"/>
      <c r="W849" s="64"/>
      <c r="X849" s="64"/>
      <c r="Y849" s="64"/>
      <c r="Z849" s="64"/>
      <c r="AA849" s="64"/>
      <c r="AB849" s="64"/>
      <c r="AC849" s="64"/>
      <c r="AD849" s="64"/>
      <c r="AE849" s="64"/>
      <c r="AF849" s="64"/>
      <c r="AG849" s="64"/>
      <c r="AH849" s="64"/>
      <c r="AI849" s="64"/>
      <c r="AJ849" s="64"/>
    </row>
    <row r="850">
      <c r="A850" s="64"/>
      <c r="B850" s="64"/>
      <c r="C850" s="64"/>
      <c r="D850" s="64"/>
      <c r="E850" s="64"/>
      <c r="F850" s="64"/>
      <c r="G850" s="64"/>
      <c r="H850" s="64"/>
      <c r="I850" s="64"/>
      <c r="J850" s="64"/>
      <c r="K850" s="64"/>
      <c r="L850" s="64"/>
      <c r="M850" s="60"/>
      <c r="N850" s="60"/>
      <c r="O850" s="60"/>
      <c r="P850" s="60"/>
      <c r="Q850" s="64"/>
      <c r="R850" s="64"/>
      <c r="S850" s="64"/>
      <c r="T850" s="64"/>
      <c r="U850" s="64"/>
      <c r="V850" s="64"/>
      <c r="W850" s="64"/>
      <c r="X850" s="64"/>
      <c r="Y850" s="64"/>
      <c r="Z850" s="64"/>
      <c r="AA850" s="64"/>
      <c r="AB850" s="64"/>
      <c r="AC850" s="64"/>
      <c r="AD850" s="64"/>
      <c r="AE850" s="64"/>
      <c r="AF850" s="64"/>
      <c r="AG850" s="64"/>
      <c r="AH850" s="64"/>
      <c r="AI850" s="64"/>
      <c r="AJ850" s="64"/>
    </row>
    <row r="851">
      <c r="A851" s="64"/>
      <c r="B851" s="64"/>
      <c r="C851" s="64"/>
      <c r="D851" s="64"/>
      <c r="E851" s="64"/>
      <c r="F851" s="64"/>
      <c r="G851" s="64"/>
      <c r="H851" s="64"/>
      <c r="I851" s="64"/>
      <c r="J851" s="64"/>
      <c r="K851" s="64"/>
      <c r="L851" s="64"/>
      <c r="M851" s="60"/>
      <c r="N851" s="60"/>
      <c r="O851" s="60"/>
      <c r="P851" s="60"/>
      <c r="Q851" s="64"/>
      <c r="R851" s="64"/>
      <c r="S851" s="64"/>
      <c r="T851" s="64"/>
      <c r="U851" s="64"/>
      <c r="V851" s="64"/>
      <c r="W851" s="64"/>
      <c r="X851" s="64"/>
      <c r="Y851" s="64"/>
      <c r="Z851" s="64"/>
      <c r="AA851" s="64"/>
      <c r="AB851" s="64"/>
      <c r="AC851" s="64"/>
      <c r="AD851" s="64"/>
      <c r="AE851" s="64"/>
      <c r="AF851" s="64"/>
      <c r="AG851" s="64"/>
      <c r="AH851" s="64"/>
      <c r="AI851" s="64"/>
      <c r="AJ851" s="64"/>
    </row>
    <row r="852">
      <c r="A852" s="64"/>
      <c r="B852" s="64"/>
      <c r="C852" s="64"/>
      <c r="D852" s="64"/>
      <c r="E852" s="64"/>
      <c r="F852" s="64"/>
      <c r="G852" s="64"/>
      <c r="H852" s="64"/>
      <c r="I852" s="64"/>
      <c r="J852" s="64"/>
      <c r="K852" s="64"/>
      <c r="L852" s="64"/>
      <c r="M852" s="60"/>
      <c r="N852" s="60"/>
      <c r="O852" s="60"/>
      <c r="P852" s="60"/>
      <c r="Q852" s="64"/>
      <c r="R852" s="64"/>
      <c r="S852" s="64"/>
      <c r="T852" s="64"/>
      <c r="U852" s="64"/>
      <c r="V852" s="64"/>
      <c r="W852" s="64"/>
      <c r="X852" s="64"/>
      <c r="Y852" s="64"/>
      <c r="Z852" s="64"/>
      <c r="AA852" s="64"/>
      <c r="AB852" s="64"/>
      <c r="AC852" s="64"/>
      <c r="AD852" s="64"/>
      <c r="AE852" s="64"/>
      <c r="AF852" s="64"/>
      <c r="AG852" s="64"/>
      <c r="AH852" s="64"/>
      <c r="AI852" s="64"/>
      <c r="AJ852" s="64"/>
    </row>
    <row r="853">
      <c r="A853" s="64"/>
      <c r="B853" s="64"/>
      <c r="C853" s="64"/>
      <c r="D853" s="64"/>
      <c r="E853" s="64"/>
      <c r="F853" s="64"/>
      <c r="G853" s="64"/>
      <c r="H853" s="64"/>
      <c r="I853" s="64"/>
      <c r="J853" s="64"/>
      <c r="K853" s="64"/>
      <c r="L853" s="64"/>
      <c r="M853" s="60"/>
      <c r="N853" s="60"/>
      <c r="O853" s="60"/>
      <c r="P853" s="60"/>
      <c r="Q853" s="64"/>
      <c r="R853" s="64"/>
      <c r="S853" s="64"/>
      <c r="T853" s="64"/>
      <c r="U853" s="64"/>
      <c r="V853" s="64"/>
      <c r="W853" s="64"/>
      <c r="X853" s="64"/>
      <c r="Y853" s="64"/>
      <c r="Z853" s="64"/>
      <c r="AA853" s="64"/>
      <c r="AB853" s="64"/>
      <c r="AC853" s="64"/>
      <c r="AD853" s="64"/>
      <c r="AE853" s="64"/>
      <c r="AF853" s="64"/>
      <c r="AG853" s="64"/>
      <c r="AH853" s="64"/>
      <c r="AI853" s="64"/>
      <c r="AJ853" s="64"/>
    </row>
    <row r="854">
      <c r="A854" s="64"/>
      <c r="B854" s="64"/>
      <c r="C854" s="64"/>
      <c r="D854" s="64"/>
      <c r="E854" s="64"/>
      <c r="F854" s="64"/>
      <c r="G854" s="64"/>
      <c r="H854" s="64"/>
      <c r="I854" s="64"/>
      <c r="J854" s="64"/>
      <c r="K854" s="64"/>
      <c r="L854" s="64"/>
      <c r="M854" s="60"/>
      <c r="N854" s="60"/>
      <c r="O854" s="60"/>
      <c r="P854" s="60"/>
      <c r="Q854" s="64"/>
      <c r="R854" s="64"/>
      <c r="S854" s="64"/>
      <c r="T854" s="64"/>
      <c r="U854" s="64"/>
      <c r="V854" s="64"/>
      <c r="W854" s="64"/>
      <c r="X854" s="64"/>
      <c r="Y854" s="64"/>
      <c r="Z854" s="64"/>
      <c r="AA854" s="64"/>
      <c r="AB854" s="64"/>
      <c r="AC854" s="64"/>
      <c r="AD854" s="64"/>
      <c r="AE854" s="64"/>
      <c r="AF854" s="64"/>
      <c r="AG854" s="64"/>
      <c r="AH854" s="64"/>
      <c r="AI854" s="64"/>
      <c r="AJ854" s="64"/>
    </row>
    <row r="855">
      <c r="A855" s="64"/>
      <c r="B855" s="64"/>
      <c r="C855" s="64"/>
      <c r="D855" s="64"/>
      <c r="E855" s="64"/>
      <c r="F855" s="64"/>
      <c r="G855" s="64"/>
      <c r="H855" s="64"/>
      <c r="I855" s="64"/>
      <c r="J855" s="64"/>
      <c r="K855" s="64"/>
      <c r="L855" s="64"/>
      <c r="M855" s="60"/>
      <c r="N855" s="60"/>
      <c r="O855" s="60"/>
      <c r="P855" s="60"/>
      <c r="Q855" s="64"/>
      <c r="R855" s="64"/>
      <c r="S855" s="64"/>
      <c r="T855" s="64"/>
      <c r="U855" s="64"/>
      <c r="V855" s="64"/>
      <c r="W855" s="64"/>
      <c r="X855" s="64"/>
      <c r="Y855" s="64"/>
      <c r="Z855" s="64"/>
      <c r="AA855" s="64"/>
      <c r="AB855" s="64"/>
      <c r="AC855" s="64"/>
      <c r="AD855" s="64"/>
      <c r="AE855" s="64"/>
      <c r="AF855" s="64"/>
      <c r="AG855" s="64"/>
      <c r="AH855" s="64"/>
      <c r="AI855" s="64"/>
      <c r="AJ855" s="64"/>
    </row>
    <row r="856">
      <c r="A856" s="64"/>
      <c r="B856" s="64"/>
      <c r="C856" s="64"/>
      <c r="D856" s="64"/>
      <c r="E856" s="64"/>
      <c r="F856" s="64"/>
      <c r="G856" s="64"/>
      <c r="H856" s="64"/>
      <c r="I856" s="64"/>
      <c r="J856" s="64"/>
      <c r="K856" s="64"/>
      <c r="L856" s="64"/>
      <c r="M856" s="60"/>
      <c r="N856" s="60"/>
      <c r="O856" s="60"/>
      <c r="P856" s="60"/>
      <c r="Q856" s="64"/>
      <c r="R856" s="64"/>
      <c r="S856" s="64"/>
      <c r="T856" s="64"/>
      <c r="U856" s="64"/>
      <c r="V856" s="64"/>
      <c r="W856" s="64"/>
      <c r="X856" s="64"/>
      <c r="Y856" s="64"/>
      <c r="Z856" s="64"/>
      <c r="AA856" s="64"/>
      <c r="AB856" s="64"/>
      <c r="AC856" s="64"/>
      <c r="AD856" s="64"/>
      <c r="AE856" s="64"/>
      <c r="AF856" s="64"/>
      <c r="AG856" s="64"/>
      <c r="AH856" s="64"/>
      <c r="AI856" s="64"/>
      <c r="AJ856" s="64"/>
    </row>
    <row r="857">
      <c r="A857" s="64"/>
      <c r="B857" s="64"/>
      <c r="C857" s="64"/>
      <c r="D857" s="64"/>
      <c r="E857" s="64"/>
      <c r="F857" s="64"/>
      <c r="G857" s="64"/>
      <c r="H857" s="64"/>
      <c r="I857" s="64"/>
      <c r="J857" s="64"/>
      <c r="K857" s="64"/>
      <c r="L857" s="64"/>
      <c r="M857" s="60"/>
      <c r="N857" s="60"/>
      <c r="O857" s="60"/>
      <c r="P857" s="60"/>
      <c r="Q857" s="64"/>
      <c r="R857" s="64"/>
      <c r="S857" s="64"/>
      <c r="T857" s="64"/>
      <c r="U857" s="64"/>
      <c r="V857" s="64"/>
      <c r="W857" s="64"/>
      <c r="X857" s="64"/>
      <c r="Y857" s="64"/>
      <c r="Z857" s="64"/>
      <c r="AA857" s="64"/>
      <c r="AB857" s="64"/>
      <c r="AC857" s="64"/>
      <c r="AD857" s="64"/>
      <c r="AE857" s="64"/>
      <c r="AF857" s="64"/>
      <c r="AG857" s="64"/>
      <c r="AH857" s="64"/>
      <c r="AI857" s="64"/>
      <c r="AJ857" s="64"/>
    </row>
    <row r="858">
      <c r="A858" s="64"/>
      <c r="B858" s="64"/>
      <c r="C858" s="64"/>
      <c r="D858" s="64"/>
      <c r="E858" s="64"/>
      <c r="F858" s="64"/>
      <c r="G858" s="64"/>
      <c r="H858" s="64"/>
      <c r="I858" s="64"/>
      <c r="J858" s="64"/>
      <c r="K858" s="64"/>
      <c r="L858" s="64"/>
      <c r="M858" s="60"/>
      <c r="N858" s="60"/>
      <c r="O858" s="60"/>
      <c r="P858" s="60"/>
      <c r="Q858" s="64"/>
      <c r="R858" s="64"/>
      <c r="S858" s="64"/>
      <c r="T858" s="64"/>
      <c r="U858" s="64"/>
      <c r="V858" s="64"/>
      <c r="W858" s="64"/>
      <c r="X858" s="64"/>
      <c r="Y858" s="64"/>
      <c r="Z858" s="64"/>
      <c r="AA858" s="64"/>
      <c r="AB858" s="64"/>
      <c r="AC858" s="64"/>
      <c r="AD858" s="64"/>
      <c r="AE858" s="64"/>
      <c r="AF858" s="64"/>
      <c r="AG858" s="64"/>
      <c r="AH858" s="64"/>
      <c r="AI858" s="64"/>
      <c r="AJ858" s="64"/>
    </row>
    <row r="859">
      <c r="A859" s="64"/>
      <c r="B859" s="64"/>
      <c r="C859" s="64"/>
      <c r="D859" s="64"/>
      <c r="E859" s="64"/>
      <c r="F859" s="64"/>
      <c r="G859" s="64"/>
      <c r="H859" s="64"/>
      <c r="I859" s="64"/>
      <c r="J859" s="64"/>
      <c r="K859" s="64"/>
      <c r="L859" s="64"/>
      <c r="M859" s="60"/>
      <c r="N859" s="60"/>
      <c r="O859" s="60"/>
      <c r="P859" s="60"/>
      <c r="Q859" s="64"/>
      <c r="R859" s="64"/>
      <c r="S859" s="64"/>
      <c r="T859" s="64"/>
      <c r="U859" s="64"/>
      <c r="V859" s="64"/>
      <c r="W859" s="64"/>
      <c r="X859" s="64"/>
      <c r="Y859" s="64"/>
      <c r="Z859" s="64"/>
      <c r="AA859" s="64"/>
      <c r="AB859" s="64"/>
      <c r="AC859" s="64"/>
      <c r="AD859" s="64"/>
      <c r="AE859" s="64"/>
      <c r="AF859" s="64"/>
      <c r="AG859" s="64"/>
      <c r="AH859" s="64"/>
      <c r="AI859" s="64"/>
      <c r="AJ859" s="64"/>
    </row>
    <row r="860">
      <c r="A860" s="64"/>
      <c r="B860" s="64"/>
      <c r="C860" s="64"/>
      <c r="D860" s="64"/>
      <c r="E860" s="64"/>
      <c r="F860" s="64"/>
      <c r="G860" s="64"/>
      <c r="H860" s="64"/>
      <c r="I860" s="64"/>
      <c r="J860" s="64"/>
      <c r="K860" s="64"/>
      <c r="L860" s="64"/>
      <c r="M860" s="60"/>
      <c r="N860" s="60"/>
      <c r="O860" s="60"/>
      <c r="P860" s="60"/>
      <c r="Q860" s="64"/>
      <c r="R860" s="64"/>
      <c r="S860" s="64"/>
      <c r="T860" s="64"/>
      <c r="U860" s="64"/>
      <c r="V860" s="64"/>
      <c r="W860" s="64"/>
      <c r="X860" s="64"/>
      <c r="Y860" s="64"/>
      <c r="Z860" s="64"/>
      <c r="AA860" s="64"/>
      <c r="AB860" s="64"/>
      <c r="AC860" s="64"/>
      <c r="AD860" s="64"/>
      <c r="AE860" s="64"/>
      <c r="AF860" s="64"/>
      <c r="AG860" s="64"/>
      <c r="AH860" s="64"/>
      <c r="AI860" s="64"/>
      <c r="AJ860" s="64"/>
    </row>
    <row r="861">
      <c r="A861" s="64"/>
      <c r="B861" s="64"/>
      <c r="C861" s="64"/>
      <c r="D861" s="64"/>
      <c r="E861" s="64"/>
      <c r="F861" s="64"/>
      <c r="G861" s="64"/>
      <c r="H861" s="64"/>
      <c r="I861" s="64"/>
      <c r="J861" s="64"/>
      <c r="K861" s="64"/>
      <c r="L861" s="64"/>
      <c r="M861" s="60"/>
      <c r="N861" s="60"/>
      <c r="O861" s="60"/>
      <c r="P861" s="60"/>
      <c r="Q861" s="64"/>
      <c r="R861" s="64"/>
      <c r="S861" s="64"/>
      <c r="T861" s="64"/>
      <c r="U861" s="64"/>
      <c r="V861" s="64"/>
      <c r="W861" s="64"/>
      <c r="X861" s="64"/>
      <c r="Y861" s="64"/>
      <c r="Z861" s="64"/>
      <c r="AA861" s="64"/>
      <c r="AB861" s="64"/>
      <c r="AC861" s="64"/>
      <c r="AD861" s="64"/>
      <c r="AE861" s="64"/>
      <c r="AF861" s="64"/>
      <c r="AG861" s="64"/>
      <c r="AH861" s="64"/>
      <c r="AI861" s="64"/>
      <c r="AJ861" s="64"/>
    </row>
    <row r="862">
      <c r="A862" s="64"/>
      <c r="B862" s="64"/>
      <c r="C862" s="64"/>
      <c r="D862" s="64"/>
      <c r="E862" s="64"/>
      <c r="F862" s="64"/>
      <c r="G862" s="64"/>
      <c r="H862" s="64"/>
      <c r="I862" s="64"/>
      <c r="J862" s="64"/>
      <c r="K862" s="64"/>
      <c r="L862" s="64"/>
      <c r="M862" s="60"/>
      <c r="N862" s="60"/>
      <c r="O862" s="60"/>
      <c r="P862" s="60"/>
      <c r="Q862" s="64"/>
      <c r="R862" s="64"/>
      <c r="S862" s="64"/>
      <c r="T862" s="64"/>
      <c r="U862" s="64"/>
      <c r="V862" s="64"/>
      <c r="W862" s="64"/>
      <c r="X862" s="64"/>
      <c r="Y862" s="64"/>
      <c r="Z862" s="64"/>
      <c r="AA862" s="64"/>
      <c r="AB862" s="64"/>
      <c r="AC862" s="64"/>
      <c r="AD862" s="64"/>
      <c r="AE862" s="64"/>
      <c r="AF862" s="64"/>
      <c r="AG862" s="64"/>
      <c r="AH862" s="64"/>
      <c r="AI862" s="64"/>
      <c r="AJ862" s="64"/>
    </row>
    <row r="863">
      <c r="A863" s="64"/>
      <c r="B863" s="64"/>
      <c r="C863" s="64"/>
      <c r="D863" s="64"/>
      <c r="E863" s="64"/>
      <c r="F863" s="64"/>
      <c r="G863" s="64"/>
      <c r="H863" s="64"/>
      <c r="I863" s="64"/>
      <c r="J863" s="64"/>
      <c r="K863" s="64"/>
      <c r="L863" s="64"/>
      <c r="M863" s="60"/>
      <c r="N863" s="60"/>
      <c r="O863" s="60"/>
      <c r="P863" s="60"/>
      <c r="Q863" s="64"/>
      <c r="R863" s="64"/>
      <c r="S863" s="64"/>
      <c r="T863" s="64"/>
      <c r="U863" s="64"/>
      <c r="V863" s="64"/>
      <c r="W863" s="64"/>
      <c r="X863" s="64"/>
      <c r="Y863" s="64"/>
      <c r="Z863" s="64"/>
      <c r="AA863" s="64"/>
      <c r="AB863" s="64"/>
      <c r="AC863" s="64"/>
      <c r="AD863" s="64"/>
      <c r="AE863" s="64"/>
      <c r="AF863" s="64"/>
      <c r="AG863" s="64"/>
      <c r="AH863" s="64"/>
      <c r="AI863" s="64"/>
      <c r="AJ863" s="64"/>
    </row>
    <row r="864">
      <c r="A864" s="64"/>
      <c r="B864" s="64"/>
      <c r="C864" s="64"/>
      <c r="D864" s="64"/>
      <c r="E864" s="64"/>
      <c r="F864" s="64"/>
      <c r="G864" s="64"/>
      <c r="H864" s="64"/>
      <c r="I864" s="64"/>
      <c r="J864" s="64"/>
      <c r="K864" s="64"/>
      <c r="L864" s="64"/>
      <c r="M864" s="60"/>
      <c r="N864" s="60"/>
      <c r="O864" s="60"/>
      <c r="P864" s="60"/>
      <c r="Q864" s="64"/>
      <c r="R864" s="64"/>
      <c r="S864" s="64"/>
      <c r="T864" s="64"/>
      <c r="U864" s="64"/>
      <c r="V864" s="64"/>
      <c r="W864" s="64"/>
      <c r="X864" s="64"/>
      <c r="Y864" s="64"/>
      <c r="Z864" s="64"/>
      <c r="AA864" s="64"/>
      <c r="AB864" s="64"/>
      <c r="AC864" s="64"/>
      <c r="AD864" s="64"/>
      <c r="AE864" s="64"/>
      <c r="AF864" s="64"/>
      <c r="AG864" s="64"/>
      <c r="AH864" s="64"/>
      <c r="AI864" s="64"/>
      <c r="AJ864" s="64"/>
    </row>
    <row r="865">
      <c r="A865" s="64"/>
      <c r="B865" s="64"/>
      <c r="C865" s="64"/>
      <c r="D865" s="64"/>
      <c r="E865" s="64"/>
      <c r="F865" s="64"/>
      <c r="G865" s="64"/>
      <c r="H865" s="64"/>
      <c r="I865" s="64"/>
      <c r="J865" s="64"/>
      <c r="K865" s="64"/>
      <c r="L865" s="64"/>
      <c r="M865" s="60"/>
      <c r="N865" s="60"/>
      <c r="O865" s="60"/>
      <c r="P865" s="60"/>
      <c r="Q865" s="64"/>
      <c r="R865" s="64"/>
      <c r="S865" s="64"/>
      <c r="T865" s="64"/>
      <c r="U865" s="64"/>
      <c r="V865" s="64"/>
      <c r="W865" s="64"/>
      <c r="X865" s="64"/>
      <c r="Y865" s="64"/>
      <c r="Z865" s="64"/>
      <c r="AA865" s="64"/>
      <c r="AB865" s="64"/>
      <c r="AC865" s="64"/>
      <c r="AD865" s="64"/>
      <c r="AE865" s="64"/>
      <c r="AF865" s="64"/>
      <c r="AG865" s="64"/>
      <c r="AH865" s="64"/>
      <c r="AI865" s="64"/>
      <c r="AJ865" s="64"/>
    </row>
    <row r="866">
      <c r="A866" s="64"/>
      <c r="B866" s="64"/>
      <c r="C866" s="64"/>
      <c r="D866" s="64"/>
      <c r="E866" s="64"/>
      <c r="F866" s="64"/>
      <c r="G866" s="64"/>
      <c r="H866" s="64"/>
      <c r="I866" s="64"/>
      <c r="J866" s="64"/>
      <c r="K866" s="64"/>
      <c r="L866" s="64"/>
      <c r="M866" s="60"/>
      <c r="N866" s="60"/>
      <c r="O866" s="60"/>
      <c r="P866" s="60"/>
      <c r="Q866" s="64"/>
      <c r="R866" s="64"/>
      <c r="S866" s="64"/>
      <c r="T866" s="64"/>
      <c r="U866" s="64"/>
      <c r="V866" s="64"/>
      <c r="W866" s="64"/>
      <c r="X866" s="64"/>
      <c r="Y866" s="64"/>
      <c r="Z866" s="64"/>
      <c r="AA866" s="64"/>
      <c r="AB866" s="64"/>
      <c r="AC866" s="64"/>
      <c r="AD866" s="64"/>
      <c r="AE866" s="64"/>
      <c r="AF866" s="64"/>
      <c r="AG866" s="64"/>
      <c r="AH866" s="64"/>
      <c r="AI866" s="64"/>
      <c r="AJ866" s="64"/>
    </row>
    <row r="867">
      <c r="A867" s="64"/>
      <c r="B867" s="64"/>
      <c r="C867" s="64"/>
      <c r="D867" s="64"/>
      <c r="E867" s="64"/>
      <c r="F867" s="64"/>
      <c r="G867" s="64"/>
      <c r="H867" s="64"/>
      <c r="I867" s="64"/>
      <c r="J867" s="64"/>
      <c r="K867" s="64"/>
      <c r="L867" s="64"/>
      <c r="M867" s="60"/>
      <c r="N867" s="60"/>
      <c r="O867" s="60"/>
      <c r="P867" s="60"/>
      <c r="Q867" s="64"/>
      <c r="R867" s="64"/>
      <c r="S867" s="64"/>
      <c r="T867" s="64"/>
      <c r="U867" s="64"/>
      <c r="V867" s="64"/>
      <c r="W867" s="64"/>
      <c r="X867" s="64"/>
      <c r="Y867" s="64"/>
      <c r="Z867" s="64"/>
      <c r="AA867" s="64"/>
      <c r="AB867" s="64"/>
      <c r="AC867" s="64"/>
      <c r="AD867" s="64"/>
      <c r="AE867" s="64"/>
      <c r="AF867" s="64"/>
      <c r="AG867" s="64"/>
      <c r="AH867" s="64"/>
      <c r="AI867" s="64"/>
      <c r="AJ867" s="64"/>
    </row>
    <row r="868">
      <c r="A868" s="64"/>
      <c r="B868" s="64"/>
      <c r="C868" s="64"/>
      <c r="D868" s="64"/>
      <c r="E868" s="64"/>
      <c r="F868" s="64"/>
      <c r="G868" s="64"/>
      <c r="H868" s="64"/>
      <c r="I868" s="64"/>
      <c r="J868" s="64"/>
      <c r="K868" s="64"/>
      <c r="L868" s="64"/>
      <c r="M868" s="60"/>
      <c r="N868" s="60"/>
      <c r="O868" s="60"/>
      <c r="P868" s="60"/>
      <c r="Q868" s="64"/>
      <c r="R868" s="64"/>
      <c r="S868" s="64"/>
      <c r="T868" s="64"/>
      <c r="U868" s="64"/>
      <c r="V868" s="64"/>
      <c r="W868" s="64"/>
      <c r="X868" s="64"/>
      <c r="Y868" s="64"/>
      <c r="Z868" s="64"/>
      <c r="AA868" s="64"/>
      <c r="AB868" s="64"/>
      <c r="AC868" s="64"/>
      <c r="AD868" s="64"/>
      <c r="AE868" s="64"/>
      <c r="AF868" s="64"/>
      <c r="AG868" s="64"/>
      <c r="AH868" s="64"/>
      <c r="AI868" s="64"/>
      <c r="AJ868" s="64"/>
    </row>
    <row r="869">
      <c r="A869" s="64"/>
      <c r="B869" s="64"/>
      <c r="C869" s="64"/>
      <c r="D869" s="64"/>
      <c r="E869" s="64"/>
      <c r="F869" s="64"/>
      <c r="G869" s="64"/>
      <c r="H869" s="64"/>
      <c r="I869" s="64"/>
      <c r="J869" s="64"/>
      <c r="K869" s="64"/>
      <c r="L869" s="64"/>
      <c r="M869" s="60"/>
      <c r="N869" s="60"/>
      <c r="O869" s="60"/>
      <c r="P869" s="60"/>
      <c r="Q869" s="64"/>
      <c r="R869" s="64"/>
      <c r="S869" s="64"/>
      <c r="T869" s="64"/>
      <c r="U869" s="64"/>
      <c r="V869" s="64"/>
      <c r="W869" s="64"/>
      <c r="X869" s="64"/>
      <c r="Y869" s="64"/>
      <c r="Z869" s="64"/>
      <c r="AA869" s="64"/>
      <c r="AB869" s="64"/>
      <c r="AC869" s="64"/>
      <c r="AD869" s="64"/>
      <c r="AE869" s="64"/>
      <c r="AF869" s="64"/>
      <c r="AG869" s="64"/>
      <c r="AH869" s="64"/>
      <c r="AI869" s="64"/>
      <c r="AJ869" s="64"/>
    </row>
    <row r="870">
      <c r="A870" s="64"/>
      <c r="B870" s="64"/>
      <c r="C870" s="64"/>
      <c r="D870" s="64"/>
      <c r="E870" s="64"/>
      <c r="F870" s="64"/>
      <c r="G870" s="64"/>
      <c r="H870" s="64"/>
      <c r="I870" s="64"/>
      <c r="J870" s="64"/>
      <c r="K870" s="64"/>
      <c r="L870" s="64"/>
      <c r="M870" s="60"/>
      <c r="N870" s="60"/>
      <c r="O870" s="60"/>
      <c r="P870" s="60"/>
      <c r="Q870" s="64"/>
      <c r="R870" s="64"/>
      <c r="S870" s="64"/>
      <c r="T870" s="64"/>
      <c r="U870" s="64"/>
      <c r="V870" s="64"/>
      <c r="W870" s="64"/>
      <c r="X870" s="64"/>
      <c r="Y870" s="64"/>
      <c r="Z870" s="64"/>
      <c r="AA870" s="64"/>
      <c r="AB870" s="64"/>
      <c r="AC870" s="64"/>
      <c r="AD870" s="64"/>
      <c r="AE870" s="64"/>
      <c r="AF870" s="64"/>
      <c r="AG870" s="64"/>
      <c r="AH870" s="64"/>
      <c r="AI870" s="64"/>
      <c r="AJ870" s="64"/>
    </row>
    <row r="871">
      <c r="A871" s="64"/>
      <c r="B871" s="64"/>
      <c r="C871" s="64"/>
      <c r="D871" s="64"/>
      <c r="E871" s="64"/>
      <c r="F871" s="64"/>
      <c r="G871" s="64"/>
      <c r="H871" s="64"/>
      <c r="I871" s="64"/>
      <c r="J871" s="64"/>
      <c r="K871" s="64"/>
      <c r="L871" s="64"/>
      <c r="M871" s="60"/>
      <c r="N871" s="60"/>
      <c r="O871" s="60"/>
      <c r="P871" s="60"/>
      <c r="Q871" s="64"/>
      <c r="R871" s="64"/>
      <c r="S871" s="64"/>
      <c r="T871" s="64"/>
      <c r="U871" s="64"/>
      <c r="V871" s="64"/>
      <c r="W871" s="64"/>
      <c r="X871" s="64"/>
      <c r="Y871" s="64"/>
      <c r="Z871" s="64"/>
      <c r="AA871" s="64"/>
      <c r="AB871" s="64"/>
      <c r="AC871" s="64"/>
      <c r="AD871" s="64"/>
      <c r="AE871" s="64"/>
      <c r="AF871" s="64"/>
      <c r="AG871" s="64"/>
      <c r="AH871" s="64"/>
      <c r="AI871" s="64"/>
      <c r="AJ871" s="64"/>
    </row>
    <row r="872">
      <c r="A872" s="64"/>
      <c r="B872" s="64"/>
      <c r="C872" s="64"/>
      <c r="D872" s="64"/>
      <c r="E872" s="64"/>
      <c r="F872" s="64"/>
      <c r="G872" s="64"/>
      <c r="H872" s="64"/>
      <c r="I872" s="64"/>
      <c r="J872" s="64"/>
      <c r="K872" s="64"/>
      <c r="L872" s="64"/>
      <c r="M872" s="60"/>
      <c r="N872" s="60"/>
      <c r="O872" s="60"/>
      <c r="P872" s="60"/>
      <c r="Q872" s="64"/>
      <c r="R872" s="64"/>
      <c r="S872" s="64"/>
      <c r="T872" s="64"/>
      <c r="U872" s="64"/>
      <c r="V872" s="64"/>
      <c r="W872" s="64"/>
      <c r="X872" s="64"/>
      <c r="Y872" s="64"/>
      <c r="Z872" s="64"/>
      <c r="AA872" s="64"/>
      <c r="AB872" s="64"/>
      <c r="AC872" s="64"/>
      <c r="AD872" s="64"/>
      <c r="AE872" s="64"/>
      <c r="AF872" s="64"/>
      <c r="AG872" s="64"/>
      <c r="AH872" s="64"/>
      <c r="AI872" s="64"/>
      <c r="AJ872" s="64"/>
    </row>
    <row r="873">
      <c r="A873" s="64"/>
      <c r="B873" s="64"/>
      <c r="C873" s="64"/>
      <c r="D873" s="64"/>
      <c r="E873" s="64"/>
      <c r="F873" s="64"/>
      <c r="G873" s="64"/>
      <c r="H873" s="64"/>
      <c r="I873" s="64"/>
      <c r="J873" s="64"/>
      <c r="K873" s="64"/>
      <c r="L873" s="64"/>
      <c r="M873" s="60"/>
      <c r="N873" s="60"/>
      <c r="O873" s="60"/>
      <c r="P873" s="60"/>
      <c r="Q873" s="64"/>
      <c r="R873" s="64"/>
      <c r="S873" s="64"/>
      <c r="T873" s="64"/>
      <c r="U873" s="64"/>
      <c r="V873" s="64"/>
      <c r="W873" s="64"/>
      <c r="X873" s="64"/>
      <c r="Y873" s="64"/>
      <c r="Z873" s="64"/>
      <c r="AA873" s="64"/>
      <c r="AB873" s="64"/>
      <c r="AC873" s="64"/>
      <c r="AD873" s="64"/>
      <c r="AE873" s="64"/>
      <c r="AF873" s="64"/>
      <c r="AG873" s="64"/>
      <c r="AH873" s="64"/>
      <c r="AI873" s="64"/>
      <c r="AJ873" s="64"/>
    </row>
    <row r="874">
      <c r="A874" s="64"/>
      <c r="B874" s="64"/>
      <c r="C874" s="64"/>
      <c r="D874" s="64"/>
      <c r="E874" s="64"/>
      <c r="F874" s="64"/>
      <c r="G874" s="64"/>
      <c r="H874" s="64"/>
      <c r="I874" s="64"/>
      <c r="J874" s="64"/>
      <c r="K874" s="64"/>
      <c r="L874" s="64"/>
      <c r="M874" s="60"/>
      <c r="N874" s="60"/>
      <c r="O874" s="60"/>
      <c r="P874" s="60"/>
      <c r="Q874" s="64"/>
      <c r="R874" s="64"/>
      <c r="S874" s="64"/>
      <c r="T874" s="64"/>
      <c r="U874" s="64"/>
      <c r="V874" s="64"/>
      <c r="W874" s="64"/>
      <c r="X874" s="64"/>
      <c r="Y874" s="64"/>
      <c r="Z874" s="64"/>
      <c r="AA874" s="64"/>
      <c r="AB874" s="64"/>
      <c r="AC874" s="64"/>
      <c r="AD874" s="64"/>
      <c r="AE874" s="64"/>
      <c r="AF874" s="64"/>
      <c r="AG874" s="64"/>
      <c r="AH874" s="64"/>
      <c r="AI874" s="64"/>
      <c r="AJ874" s="64"/>
    </row>
    <row r="875">
      <c r="A875" s="64"/>
      <c r="B875" s="64"/>
      <c r="C875" s="64"/>
      <c r="D875" s="64"/>
      <c r="E875" s="64"/>
      <c r="F875" s="64"/>
      <c r="G875" s="64"/>
      <c r="H875" s="64"/>
      <c r="I875" s="64"/>
      <c r="J875" s="64"/>
      <c r="K875" s="64"/>
      <c r="L875" s="64"/>
      <c r="M875" s="60"/>
      <c r="N875" s="60"/>
      <c r="O875" s="60"/>
      <c r="P875" s="60"/>
      <c r="Q875" s="64"/>
      <c r="R875" s="64"/>
      <c r="S875" s="64"/>
      <c r="T875" s="64"/>
      <c r="U875" s="64"/>
      <c r="V875" s="64"/>
      <c r="W875" s="64"/>
      <c r="X875" s="64"/>
      <c r="Y875" s="64"/>
      <c r="Z875" s="64"/>
      <c r="AA875" s="64"/>
      <c r="AB875" s="64"/>
      <c r="AC875" s="64"/>
      <c r="AD875" s="64"/>
      <c r="AE875" s="64"/>
      <c r="AF875" s="64"/>
      <c r="AG875" s="64"/>
      <c r="AH875" s="64"/>
      <c r="AI875" s="64"/>
      <c r="AJ875" s="64"/>
    </row>
    <row r="876">
      <c r="A876" s="64"/>
      <c r="B876" s="64"/>
      <c r="C876" s="64"/>
      <c r="D876" s="64"/>
      <c r="E876" s="64"/>
      <c r="F876" s="64"/>
      <c r="G876" s="64"/>
      <c r="H876" s="64"/>
      <c r="I876" s="64"/>
      <c r="J876" s="64"/>
      <c r="K876" s="64"/>
      <c r="L876" s="64"/>
      <c r="M876" s="60"/>
      <c r="N876" s="60"/>
      <c r="O876" s="60"/>
      <c r="P876" s="60"/>
      <c r="Q876" s="64"/>
      <c r="R876" s="64"/>
      <c r="S876" s="64"/>
      <c r="T876" s="64"/>
      <c r="U876" s="64"/>
      <c r="V876" s="64"/>
      <c r="W876" s="64"/>
      <c r="X876" s="64"/>
      <c r="Y876" s="64"/>
      <c r="Z876" s="64"/>
      <c r="AA876" s="64"/>
      <c r="AB876" s="64"/>
      <c r="AC876" s="64"/>
      <c r="AD876" s="64"/>
      <c r="AE876" s="64"/>
      <c r="AF876" s="64"/>
      <c r="AG876" s="64"/>
      <c r="AH876" s="64"/>
      <c r="AI876" s="64"/>
      <c r="AJ876" s="64"/>
    </row>
    <row r="877">
      <c r="A877" s="64"/>
      <c r="B877" s="64"/>
      <c r="C877" s="64"/>
      <c r="D877" s="64"/>
      <c r="E877" s="64"/>
      <c r="F877" s="64"/>
      <c r="G877" s="64"/>
      <c r="H877" s="64"/>
      <c r="I877" s="64"/>
      <c r="J877" s="64"/>
      <c r="K877" s="64"/>
      <c r="L877" s="64"/>
      <c r="M877" s="60"/>
      <c r="N877" s="60"/>
      <c r="O877" s="60"/>
      <c r="P877" s="60"/>
      <c r="Q877" s="64"/>
      <c r="R877" s="64"/>
      <c r="S877" s="64"/>
      <c r="T877" s="64"/>
      <c r="U877" s="64"/>
      <c r="V877" s="64"/>
      <c r="W877" s="64"/>
      <c r="X877" s="64"/>
      <c r="Y877" s="64"/>
      <c r="Z877" s="64"/>
      <c r="AA877" s="64"/>
      <c r="AB877" s="64"/>
      <c r="AC877" s="64"/>
      <c r="AD877" s="64"/>
      <c r="AE877" s="64"/>
      <c r="AF877" s="64"/>
      <c r="AG877" s="64"/>
      <c r="AH877" s="64"/>
      <c r="AI877" s="64"/>
      <c r="AJ877" s="64"/>
    </row>
    <row r="878">
      <c r="A878" s="64"/>
      <c r="B878" s="64"/>
      <c r="C878" s="64"/>
      <c r="D878" s="64"/>
      <c r="E878" s="64"/>
      <c r="F878" s="64"/>
      <c r="G878" s="64"/>
      <c r="H878" s="64"/>
      <c r="I878" s="64"/>
      <c r="J878" s="64"/>
      <c r="K878" s="64"/>
      <c r="L878" s="64"/>
      <c r="M878" s="60"/>
      <c r="N878" s="60"/>
      <c r="O878" s="60"/>
      <c r="P878" s="60"/>
      <c r="Q878" s="64"/>
      <c r="R878" s="64"/>
      <c r="S878" s="64"/>
      <c r="T878" s="64"/>
      <c r="U878" s="64"/>
      <c r="V878" s="64"/>
      <c r="W878" s="64"/>
      <c r="X878" s="64"/>
      <c r="Y878" s="64"/>
      <c r="Z878" s="64"/>
      <c r="AA878" s="64"/>
      <c r="AB878" s="64"/>
      <c r="AC878" s="64"/>
      <c r="AD878" s="64"/>
      <c r="AE878" s="64"/>
      <c r="AF878" s="64"/>
      <c r="AG878" s="64"/>
      <c r="AH878" s="64"/>
      <c r="AI878" s="64"/>
      <c r="AJ878" s="64"/>
    </row>
    <row r="879">
      <c r="A879" s="64"/>
      <c r="B879" s="64"/>
      <c r="C879" s="64"/>
      <c r="D879" s="64"/>
      <c r="E879" s="64"/>
      <c r="F879" s="64"/>
      <c r="G879" s="64"/>
      <c r="H879" s="64"/>
      <c r="I879" s="64"/>
      <c r="J879" s="64"/>
      <c r="K879" s="64"/>
      <c r="L879" s="64"/>
      <c r="M879" s="60"/>
      <c r="N879" s="60"/>
      <c r="O879" s="60"/>
      <c r="P879" s="60"/>
      <c r="Q879" s="64"/>
      <c r="R879" s="64"/>
      <c r="S879" s="64"/>
      <c r="T879" s="64"/>
      <c r="U879" s="64"/>
      <c r="V879" s="64"/>
      <c r="W879" s="64"/>
      <c r="X879" s="64"/>
      <c r="Y879" s="64"/>
      <c r="Z879" s="64"/>
      <c r="AA879" s="64"/>
      <c r="AB879" s="64"/>
      <c r="AC879" s="64"/>
      <c r="AD879" s="64"/>
      <c r="AE879" s="64"/>
      <c r="AF879" s="64"/>
      <c r="AG879" s="64"/>
      <c r="AH879" s="64"/>
      <c r="AI879" s="64"/>
      <c r="AJ879" s="64"/>
    </row>
    <row r="880">
      <c r="A880" s="64"/>
      <c r="B880" s="64"/>
      <c r="C880" s="64"/>
      <c r="D880" s="64"/>
      <c r="E880" s="64"/>
      <c r="F880" s="64"/>
      <c r="G880" s="64"/>
      <c r="H880" s="64"/>
      <c r="I880" s="64"/>
      <c r="J880" s="64"/>
      <c r="K880" s="64"/>
      <c r="L880" s="64"/>
      <c r="M880" s="60"/>
      <c r="N880" s="60"/>
      <c r="O880" s="60"/>
      <c r="P880" s="60"/>
      <c r="Q880" s="64"/>
      <c r="R880" s="64"/>
      <c r="S880" s="64"/>
      <c r="T880" s="64"/>
      <c r="U880" s="64"/>
      <c r="V880" s="64"/>
      <c r="W880" s="64"/>
      <c r="X880" s="64"/>
      <c r="Y880" s="64"/>
      <c r="Z880" s="64"/>
      <c r="AA880" s="64"/>
      <c r="AB880" s="64"/>
      <c r="AC880" s="64"/>
      <c r="AD880" s="64"/>
      <c r="AE880" s="64"/>
      <c r="AF880" s="64"/>
      <c r="AG880" s="64"/>
      <c r="AH880" s="64"/>
      <c r="AI880" s="64"/>
      <c r="AJ880" s="64"/>
    </row>
    <row r="881">
      <c r="A881" s="64"/>
      <c r="B881" s="64"/>
      <c r="C881" s="64"/>
      <c r="D881" s="64"/>
      <c r="E881" s="64"/>
      <c r="F881" s="64"/>
      <c r="G881" s="64"/>
      <c r="H881" s="64"/>
      <c r="I881" s="64"/>
      <c r="J881" s="64"/>
      <c r="K881" s="64"/>
      <c r="L881" s="64"/>
      <c r="M881" s="60"/>
      <c r="N881" s="60"/>
      <c r="O881" s="60"/>
      <c r="P881" s="60"/>
      <c r="Q881" s="64"/>
      <c r="R881" s="64"/>
      <c r="S881" s="64"/>
      <c r="T881" s="64"/>
      <c r="U881" s="64"/>
      <c r="V881" s="64"/>
      <c r="W881" s="64"/>
      <c r="X881" s="64"/>
      <c r="Y881" s="64"/>
      <c r="Z881" s="64"/>
      <c r="AA881" s="64"/>
      <c r="AB881" s="64"/>
      <c r="AC881" s="64"/>
      <c r="AD881" s="64"/>
      <c r="AE881" s="64"/>
      <c r="AF881" s="64"/>
      <c r="AG881" s="64"/>
      <c r="AH881" s="64"/>
      <c r="AI881" s="64"/>
      <c r="AJ881" s="64"/>
    </row>
    <row r="882">
      <c r="A882" s="64"/>
      <c r="B882" s="64"/>
      <c r="C882" s="64"/>
      <c r="D882" s="64"/>
      <c r="E882" s="64"/>
      <c r="F882" s="64"/>
      <c r="G882" s="64"/>
      <c r="H882" s="64"/>
      <c r="I882" s="64"/>
      <c r="J882" s="64"/>
      <c r="K882" s="64"/>
      <c r="L882" s="64"/>
      <c r="M882" s="60"/>
      <c r="N882" s="60"/>
      <c r="O882" s="60"/>
      <c r="P882" s="60"/>
      <c r="Q882" s="64"/>
      <c r="R882" s="64"/>
      <c r="S882" s="64"/>
      <c r="T882" s="64"/>
      <c r="U882" s="64"/>
      <c r="V882" s="64"/>
      <c r="W882" s="64"/>
      <c r="X882" s="64"/>
      <c r="Y882" s="64"/>
      <c r="Z882" s="64"/>
      <c r="AA882" s="64"/>
      <c r="AB882" s="64"/>
      <c r="AC882" s="64"/>
      <c r="AD882" s="64"/>
      <c r="AE882" s="64"/>
      <c r="AF882" s="64"/>
      <c r="AG882" s="64"/>
      <c r="AH882" s="64"/>
      <c r="AI882" s="64"/>
      <c r="AJ882" s="64"/>
    </row>
    <row r="883">
      <c r="A883" s="64"/>
      <c r="B883" s="64"/>
      <c r="C883" s="64"/>
      <c r="D883" s="64"/>
      <c r="E883" s="64"/>
      <c r="F883" s="64"/>
      <c r="G883" s="64"/>
      <c r="H883" s="64"/>
      <c r="I883" s="64"/>
      <c r="J883" s="64"/>
      <c r="K883" s="64"/>
      <c r="L883" s="64"/>
      <c r="M883" s="60"/>
      <c r="N883" s="60"/>
      <c r="O883" s="60"/>
      <c r="P883" s="60"/>
      <c r="Q883" s="64"/>
      <c r="R883" s="64"/>
      <c r="S883" s="64"/>
      <c r="T883" s="64"/>
      <c r="U883" s="64"/>
      <c r="V883" s="64"/>
      <c r="W883" s="64"/>
      <c r="X883" s="64"/>
      <c r="Y883" s="64"/>
      <c r="Z883" s="64"/>
      <c r="AA883" s="64"/>
      <c r="AB883" s="64"/>
      <c r="AC883" s="64"/>
      <c r="AD883" s="64"/>
      <c r="AE883" s="64"/>
      <c r="AF883" s="64"/>
      <c r="AG883" s="64"/>
      <c r="AH883" s="64"/>
      <c r="AI883" s="64"/>
      <c r="AJ883" s="64"/>
    </row>
    <row r="884">
      <c r="A884" s="64"/>
      <c r="B884" s="64"/>
      <c r="C884" s="64"/>
      <c r="D884" s="64"/>
      <c r="E884" s="64"/>
      <c r="F884" s="64"/>
      <c r="G884" s="64"/>
      <c r="H884" s="64"/>
      <c r="I884" s="64"/>
      <c r="J884" s="64"/>
      <c r="K884" s="64"/>
      <c r="L884" s="64"/>
      <c r="M884" s="60"/>
      <c r="N884" s="60"/>
      <c r="O884" s="60"/>
      <c r="P884" s="60"/>
      <c r="Q884" s="64"/>
      <c r="R884" s="64"/>
      <c r="S884" s="64"/>
      <c r="T884" s="64"/>
      <c r="U884" s="64"/>
      <c r="V884" s="64"/>
      <c r="W884" s="64"/>
      <c r="X884" s="64"/>
      <c r="Y884" s="64"/>
      <c r="Z884" s="64"/>
      <c r="AA884" s="64"/>
      <c r="AB884" s="64"/>
      <c r="AC884" s="64"/>
      <c r="AD884" s="64"/>
      <c r="AE884" s="64"/>
      <c r="AF884" s="64"/>
      <c r="AG884" s="64"/>
      <c r="AH884" s="64"/>
      <c r="AI884" s="64"/>
      <c r="AJ884" s="64"/>
    </row>
    <row r="885">
      <c r="A885" s="64"/>
      <c r="B885" s="64"/>
      <c r="C885" s="64"/>
      <c r="D885" s="64"/>
      <c r="E885" s="64"/>
      <c r="F885" s="64"/>
      <c r="G885" s="64"/>
      <c r="H885" s="64"/>
      <c r="I885" s="64"/>
      <c r="J885" s="64"/>
      <c r="K885" s="64"/>
      <c r="L885" s="64"/>
      <c r="M885" s="60"/>
      <c r="N885" s="60"/>
      <c r="O885" s="60"/>
      <c r="P885" s="60"/>
      <c r="Q885" s="64"/>
      <c r="R885" s="64"/>
      <c r="S885" s="64"/>
      <c r="T885" s="64"/>
      <c r="U885" s="64"/>
      <c r="V885" s="64"/>
      <c r="W885" s="64"/>
      <c r="X885" s="64"/>
      <c r="Y885" s="64"/>
      <c r="Z885" s="64"/>
      <c r="AA885" s="64"/>
      <c r="AB885" s="64"/>
      <c r="AC885" s="64"/>
      <c r="AD885" s="64"/>
      <c r="AE885" s="64"/>
      <c r="AF885" s="64"/>
      <c r="AG885" s="64"/>
      <c r="AH885" s="64"/>
      <c r="AI885" s="64"/>
      <c r="AJ885" s="64"/>
    </row>
    <row r="886">
      <c r="A886" s="64"/>
      <c r="B886" s="64"/>
      <c r="C886" s="64"/>
      <c r="D886" s="64"/>
      <c r="E886" s="64"/>
      <c r="F886" s="64"/>
      <c r="G886" s="64"/>
      <c r="H886" s="64"/>
      <c r="I886" s="64"/>
      <c r="J886" s="64"/>
      <c r="K886" s="64"/>
      <c r="L886" s="64"/>
      <c r="M886" s="60"/>
      <c r="N886" s="60"/>
      <c r="O886" s="60"/>
      <c r="P886" s="60"/>
      <c r="Q886" s="64"/>
      <c r="R886" s="64"/>
      <c r="S886" s="64"/>
      <c r="T886" s="64"/>
      <c r="U886" s="64"/>
      <c r="V886" s="64"/>
      <c r="W886" s="64"/>
      <c r="X886" s="64"/>
      <c r="Y886" s="64"/>
      <c r="Z886" s="64"/>
      <c r="AA886" s="64"/>
      <c r="AB886" s="64"/>
      <c r="AC886" s="64"/>
      <c r="AD886" s="64"/>
      <c r="AE886" s="64"/>
      <c r="AF886" s="64"/>
      <c r="AG886" s="64"/>
      <c r="AH886" s="64"/>
      <c r="AI886" s="64"/>
      <c r="AJ886" s="64"/>
    </row>
    <row r="887">
      <c r="A887" s="64"/>
      <c r="B887" s="64"/>
      <c r="C887" s="64"/>
      <c r="D887" s="64"/>
      <c r="E887" s="64"/>
      <c r="F887" s="64"/>
      <c r="G887" s="64"/>
      <c r="H887" s="64"/>
      <c r="I887" s="64"/>
      <c r="J887" s="64"/>
      <c r="K887" s="64"/>
      <c r="L887" s="64"/>
      <c r="M887" s="60"/>
      <c r="N887" s="60"/>
      <c r="O887" s="60"/>
      <c r="P887" s="60"/>
      <c r="Q887" s="64"/>
      <c r="R887" s="64"/>
      <c r="S887" s="64"/>
      <c r="T887" s="64"/>
      <c r="U887" s="64"/>
      <c r="V887" s="64"/>
      <c r="W887" s="64"/>
      <c r="X887" s="64"/>
      <c r="Y887" s="64"/>
      <c r="Z887" s="64"/>
      <c r="AA887" s="64"/>
      <c r="AB887" s="64"/>
      <c r="AC887" s="64"/>
      <c r="AD887" s="64"/>
      <c r="AE887" s="64"/>
      <c r="AF887" s="64"/>
      <c r="AG887" s="64"/>
      <c r="AH887" s="64"/>
      <c r="AI887" s="64"/>
      <c r="AJ887" s="64"/>
    </row>
    <row r="888">
      <c r="A888" s="64"/>
      <c r="B888" s="64"/>
      <c r="C888" s="64"/>
      <c r="D888" s="64"/>
      <c r="E888" s="64"/>
      <c r="F888" s="64"/>
      <c r="G888" s="64"/>
      <c r="H888" s="64"/>
      <c r="I888" s="64"/>
      <c r="J888" s="64"/>
      <c r="K888" s="64"/>
      <c r="L888" s="64"/>
      <c r="M888" s="60"/>
      <c r="N888" s="60"/>
      <c r="O888" s="60"/>
      <c r="P888" s="60"/>
      <c r="Q888" s="64"/>
      <c r="R888" s="64"/>
      <c r="S888" s="64"/>
      <c r="T888" s="64"/>
      <c r="U888" s="64"/>
      <c r="V888" s="64"/>
      <c r="W888" s="64"/>
      <c r="X888" s="64"/>
      <c r="Y888" s="64"/>
      <c r="Z888" s="64"/>
      <c r="AA888" s="64"/>
      <c r="AB888" s="64"/>
      <c r="AC888" s="64"/>
      <c r="AD888" s="64"/>
      <c r="AE888" s="64"/>
      <c r="AF888" s="64"/>
      <c r="AG888" s="64"/>
      <c r="AH888" s="64"/>
      <c r="AI888" s="64"/>
      <c r="AJ888" s="64"/>
    </row>
    <row r="889">
      <c r="A889" s="64"/>
      <c r="B889" s="64"/>
      <c r="C889" s="64"/>
      <c r="D889" s="64"/>
      <c r="E889" s="64"/>
      <c r="F889" s="64"/>
      <c r="G889" s="64"/>
      <c r="H889" s="64"/>
      <c r="I889" s="64"/>
      <c r="J889" s="64"/>
      <c r="K889" s="64"/>
      <c r="L889" s="64"/>
      <c r="M889" s="60"/>
      <c r="N889" s="60"/>
      <c r="O889" s="60"/>
      <c r="P889" s="60"/>
      <c r="Q889" s="64"/>
      <c r="R889" s="64"/>
      <c r="S889" s="64"/>
      <c r="T889" s="64"/>
      <c r="U889" s="64"/>
      <c r="V889" s="64"/>
      <c r="W889" s="64"/>
      <c r="X889" s="64"/>
      <c r="Y889" s="64"/>
      <c r="Z889" s="64"/>
      <c r="AA889" s="64"/>
      <c r="AB889" s="64"/>
      <c r="AC889" s="64"/>
      <c r="AD889" s="64"/>
      <c r="AE889" s="64"/>
      <c r="AF889" s="64"/>
      <c r="AG889" s="64"/>
      <c r="AH889" s="64"/>
      <c r="AI889" s="64"/>
      <c r="AJ889" s="64"/>
    </row>
    <row r="890">
      <c r="A890" s="64"/>
      <c r="B890" s="64"/>
      <c r="C890" s="64"/>
      <c r="D890" s="64"/>
      <c r="E890" s="64"/>
      <c r="F890" s="64"/>
      <c r="G890" s="64"/>
      <c r="H890" s="64"/>
      <c r="I890" s="64"/>
      <c r="J890" s="64"/>
      <c r="K890" s="64"/>
      <c r="L890" s="64"/>
      <c r="M890" s="60"/>
      <c r="N890" s="60"/>
      <c r="O890" s="60"/>
      <c r="P890" s="60"/>
      <c r="Q890" s="64"/>
      <c r="R890" s="64"/>
      <c r="S890" s="64"/>
      <c r="T890" s="64"/>
      <c r="U890" s="64"/>
      <c r="V890" s="64"/>
      <c r="W890" s="64"/>
      <c r="X890" s="64"/>
      <c r="Y890" s="64"/>
      <c r="Z890" s="64"/>
      <c r="AA890" s="64"/>
      <c r="AB890" s="64"/>
      <c r="AC890" s="64"/>
      <c r="AD890" s="64"/>
      <c r="AE890" s="64"/>
      <c r="AF890" s="64"/>
      <c r="AG890" s="64"/>
      <c r="AH890" s="64"/>
      <c r="AI890" s="64"/>
      <c r="AJ890" s="64"/>
    </row>
    <row r="891">
      <c r="A891" s="64"/>
      <c r="B891" s="64"/>
      <c r="C891" s="64"/>
      <c r="D891" s="64"/>
      <c r="E891" s="64"/>
      <c r="F891" s="64"/>
      <c r="G891" s="64"/>
      <c r="H891" s="64"/>
      <c r="I891" s="64"/>
      <c r="J891" s="64"/>
      <c r="K891" s="64"/>
      <c r="L891" s="64"/>
      <c r="M891" s="60"/>
      <c r="N891" s="60"/>
      <c r="O891" s="60"/>
      <c r="P891" s="60"/>
      <c r="Q891" s="64"/>
      <c r="R891" s="64"/>
      <c r="S891" s="64"/>
      <c r="T891" s="64"/>
      <c r="U891" s="64"/>
      <c r="V891" s="64"/>
      <c r="W891" s="64"/>
      <c r="X891" s="64"/>
      <c r="Y891" s="64"/>
      <c r="Z891" s="64"/>
      <c r="AA891" s="64"/>
      <c r="AB891" s="64"/>
      <c r="AC891" s="64"/>
      <c r="AD891" s="64"/>
      <c r="AE891" s="64"/>
      <c r="AF891" s="64"/>
      <c r="AG891" s="64"/>
      <c r="AH891" s="64"/>
      <c r="AI891" s="64"/>
      <c r="AJ891" s="64"/>
    </row>
    <row r="892">
      <c r="A892" s="64"/>
      <c r="B892" s="64"/>
      <c r="C892" s="64"/>
      <c r="D892" s="64"/>
      <c r="E892" s="64"/>
      <c r="F892" s="64"/>
      <c r="G892" s="64"/>
      <c r="H892" s="64"/>
      <c r="I892" s="64"/>
      <c r="J892" s="64"/>
      <c r="K892" s="64"/>
      <c r="L892" s="64"/>
      <c r="M892" s="60"/>
      <c r="N892" s="60"/>
      <c r="O892" s="60"/>
      <c r="P892" s="60"/>
      <c r="Q892" s="64"/>
      <c r="R892" s="64"/>
      <c r="S892" s="64"/>
      <c r="T892" s="64"/>
      <c r="U892" s="64"/>
      <c r="V892" s="64"/>
      <c r="W892" s="64"/>
      <c r="X892" s="64"/>
      <c r="Y892" s="64"/>
      <c r="Z892" s="64"/>
      <c r="AA892" s="64"/>
      <c r="AB892" s="64"/>
      <c r="AC892" s="64"/>
      <c r="AD892" s="64"/>
      <c r="AE892" s="64"/>
      <c r="AF892" s="64"/>
      <c r="AG892" s="64"/>
      <c r="AH892" s="64"/>
      <c r="AI892" s="64"/>
      <c r="AJ892" s="64"/>
    </row>
    <row r="893">
      <c r="A893" s="64"/>
      <c r="B893" s="64"/>
      <c r="C893" s="64"/>
      <c r="D893" s="64"/>
      <c r="E893" s="64"/>
      <c r="F893" s="64"/>
      <c r="G893" s="64"/>
      <c r="H893" s="64"/>
      <c r="I893" s="64"/>
      <c r="J893" s="64"/>
      <c r="K893" s="64"/>
      <c r="L893" s="64"/>
      <c r="M893" s="60"/>
      <c r="N893" s="60"/>
      <c r="O893" s="60"/>
      <c r="P893" s="60"/>
      <c r="Q893" s="64"/>
      <c r="R893" s="64"/>
      <c r="S893" s="64"/>
      <c r="T893" s="64"/>
      <c r="U893" s="64"/>
      <c r="V893" s="64"/>
      <c r="W893" s="64"/>
      <c r="X893" s="64"/>
      <c r="Y893" s="64"/>
      <c r="Z893" s="64"/>
      <c r="AA893" s="64"/>
      <c r="AB893" s="64"/>
      <c r="AC893" s="64"/>
      <c r="AD893" s="64"/>
      <c r="AE893" s="64"/>
      <c r="AF893" s="64"/>
      <c r="AG893" s="64"/>
      <c r="AH893" s="64"/>
      <c r="AI893" s="64"/>
      <c r="AJ893" s="64"/>
    </row>
    <row r="894">
      <c r="A894" s="64"/>
      <c r="B894" s="64"/>
      <c r="C894" s="64"/>
      <c r="D894" s="64"/>
      <c r="E894" s="64"/>
      <c r="F894" s="64"/>
      <c r="G894" s="64"/>
      <c r="H894" s="64"/>
      <c r="I894" s="64"/>
      <c r="J894" s="64"/>
      <c r="K894" s="64"/>
      <c r="L894" s="64"/>
      <c r="M894" s="60"/>
      <c r="N894" s="60"/>
      <c r="O894" s="60"/>
      <c r="P894" s="60"/>
      <c r="Q894" s="64"/>
      <c r="R894" s="64"/>
      <c r="S894" s="64"/>
      <c r="T894" s="64"/>
      <c r="U894" s="64"/>
      <c r="V894" s="64"/>
      <c r="W894" s="64"/>
      <c r="X894" s="64"/>
      <c r="Y894" s="64"/>
      <c r="Z894" s="64"/>
      <c r="AA894" s="64"/>
      <c r="AB894" s="64"/>
      <c r="AC894" s="64"/>
      <c r="AD894" s="64"/>
      <c r="AE894" s="64"/>
      <c r="AF894" s="64"/>
      <c r="AG894" s="64"/>
      <c r="AH894" s="64"/>
      <c r="AI894" s="64"/>
      <c r="AJ894" s="64"/>
    </row>
    <row r="895">
      <c r="A895" s="64"/>
      <c r="B895" s="64"/>
      <c r="C895" s="64"/>
      <c r="D895" s="64"/>
      <c r="E895" s="64"/>
      <c r="F895" s="64"/>
      <c r="G895" s="64"/>
      <c r="H895" s="64"/>
      <c r="I895" s="64"/>
      <c r="J895" s="64"/>
      <c r="K895" s="64"/>
      <c r="L895" s="64"/>
      <c r="M895" s="60"/>
      <c r="N895" s="60"/>
      <c r="O895" s="60"/>
      <c r="P895" s="60"/>
      <c r="Q895" s="64"/>
      <c r="R895" s="64"/>
      <c r="S895" s="64"/>
      <c r="T895" s="64"/>
      <c r="U895" s="64"/>
      <c r="V895" s="64"/>
      <c r="W895" s="64"/>
      <c r="X895" s="64"/>
      <c r="Y895" s="64"/>
      <c r="Z895" s="64"/>
      <c r="AA895" s="64"/>
      <c r="AB895" s="64"/>
      <c r="AC895" s="64"/>
      <c r="AD895" s="64"/>
      <c r="AE895" s="64"/>
      <c r="AF895" s="64"/>
      <c r="AG895" s="64"/>
      <c r="AH895" s="64"/>
      <c r="AI895" s="64"/>
      <c r="AJ895" s="64"/>
    </row>
    <row r="896">
      <c r="A896" s="64"/>
      <c r="B896" s="64"/>
      <c r="C896" s="64"/>
      <c r="D896" s="64"/>
      <c r="E896" s="64"/>
      <c r="F896" s="64"/>
      <c r="G896" s="64"/>
      <c r="H896" s="64"/>
      <c r="I896" s="64"/>
      <c r="J896" s="64"/>
      <c r="K896" s="64"/>
      <c r="L896" s="64"/>
      <c r="M896" s="60"/>
      <c r="N896" s="60"/>
      <c r="O896" s="60"/>
      <c r="P896" s="60"/>
      <c r="Q896" s="64"/>
      <c r="R896" s="64"/>
      <c r="S896" s="64"/>
      <c r="T896" s="64"/>
      <c r="U896" s="64"/>
      <c r="V896" s="64"/>
      <c r="W896" s="64"/>
      <c r="X896" s="64"/>
      <c r="Y896" s="64"/>
      <c r="Z896" s="64"/>
      <c r="AA896" s="64"/>
      <c r="AB896" s="64"/>
      <c r="AC896" s="64"/>
      <c r="AD896" s="64"/>
      <c r="AE896" s="64"/>
      <c r="AF896" s="64"/>
      <c r="AG896" s="64"/>
      <c r="AH896" s="64"/>
      <c r="AI896" s="64"/>
      <c r="AJ896" s="64"/>
    </row>
    <row r="897">
      <c r="A897" s="64"/>
      <c r="B897" s="64"/>
      <c r="C897" s="64"/>
      <c r="D897" s="64"/>
      <c r="E897" s="64"/>
      <c r="F897" s="64"/>
      <c r="G897" s="64"/>
      <c r="H897" s="64"/>
      <c r="I897" s="64"/>
      <c r="J897" s="64"/>
      <c r="K897" s="64"/>
      <c r="L897" s="64"/>
      <c r="M897" s="60"/>
      <c r="N897" s="60"/>
      <c r="O897" s="60"/>
      <c r="P897" s="60"/>
      <c r="Q897" s="64"/>
      <c r="R897" s="64"/>
      <c r="S897" s="64"/>
      <c r="T897" s="64"/>
      <c r="U897" s="64"/>
      <c r="V897" s="64"/>
      <c r="W897" s="64"/>
      <c r="X897" s="64"/>
      <c r="Y897" s="64"/>
      <c r="Z897" s="64"/>
      <c r="AA897" s="64"/>
      <c r="AB897" s="64"/>
      <c r="AC897" s="64"/>
      <c r="AD897" s="64"/>
      <c r="AE897" s="64"/>
      <c r="AF897" s="64"/>
      <c r="AG897" s="64"/>
      <c r="AH897" s="64"/>
      <c r="AI897" s="64"/>
      <c r="AJ897" s="64"/>
    </row>
    <row r="898">
      <c r="A898" s="64"/>
      <c r="B898" s="64"/>
      <c r="C898" s="64"/>
      <c r="D898" s="64"/>
      <c r="E898" s="64"/>
      <c r="F898" s="64"/>
      <c r="G898" s="64"/>
      <c r="H898" s="64"/>
      <c r="I898" s="64"/>
      <c r="J898" s="64"/>
      <c r="K898" s="64"/>
      <c r="L898" s="64"/>
      <c r="M898" s="60"/>
      <c r="N898" s="60"/>
      <c r="O898" s="60"/>
      <c r="P898" s="60"/>
      <c r="Q898" s="64"/>
      <c r="R898" s="64"/>
      <c r="S898" s="64"/>
      <c r="T898" s="64"/>
      <c r="U898" s="64"/>
      <c r="V898" s="64"/>
      <c r="W898" s="64"/>
      <c r="X898" s="64"/>
      <c r="Y898" s="64"/>
      <c r="Z898" s="64"/>
      <c r="AA898" s="64"/>
      <c r="AB898" s="64"/>
      <c r="AC898" s="64"/>
      <c r="AD898" s="64"/>
      <c r="AE898" s="64"/>
      <c r="AF898" s="64"/>
      <c r="AG898" s="64"/>
      <c r="AH898" s="64"/>
      <c r="AI898" s="64"/>
      <c r="AJ898" s="64"/>
    </row>
    <row r="899">
      <c r="A899" s="64"/>
      <c r="B899" s="64"/>
      <c r="C899" s="64"/>
      <c r="D899" s="64"/>
      <c r="E899" s="64"/>
      <c r="F899" s="64"/>
      <c r="G899" s="64"/>
      <c r="H899" s="64"/>
      <c r="I899" s="64"/>
      <c r="J899" s="64"/>
      <c r="K899" s="64"/>
      <c r="L899" s="64"/>
      <c r="M899" s="60"/>
      <c r="N899" s="60"/>
      <c r="O899" s="60"/>
      <c r="P899" s="60"/>
      <c r="Q899" s="64"/>
      <c r="R899" s="64"/>
      <c r="S899" s="64"/>
      <c r="T899" s="64"/>
      <c r="U899" s="64"/>
      <c r="V899" s="64"/>
      <c r="W899" s="64"/>
      <c r="X899" s="64"/>
      <c r="Y899" s="64"/>
      <c r="Z899" s="64"/>
      <c r="AA899" s="64"/>
      <c r="AB899" s="64"/>
      <c r="AC899" s="64"/>
      <c r="AD899" s="64"/>
      <c r="AE899" s="64"/>
      <c r="AF899" s="64"/>
      <c r="AG899" s="64"/>
      <c r="AH899" s="64"/>
      <c r="AI899" s="64"/>
      <c r="AJ899" s="64"/>
    </row>
    <row r="900">
      <c r="A900" s="64"/>
      <c r="B900" s="64"/>
      <c r="C900" s="64"/>
      <c r="D900" s="64"/>
      <c r="E900" s="64"/>
      <c r="F900" s="64"/>
      <c r="G900" s="64"/>
      <c r="H900" s="64"/>
      <c r="I900" s="64"/>
      <c r="J900" s="64"/>
      <c r="K900" s="64"/>
      <c r="L900" s="64"/>
      <c r="M900" s="60"/>
      <c r="N900" s="60"/>
      <c r="O900" s="60"/>
      <c r="P900" s="60"/>
      <c r="Q900" s="64"/>
      <c r="R900" s="64"/>
      <c r="S900" s="64"/>
      <c r="T900" s="64"/>
      <c r="U900" s="64"/>
      <c r="V900" s="64"/>
      <c r="W900" s="64"/>
      <c r="X900" s="64"/>
      <c r="Y900" s="64"/>
      <c r="Z900" s="64"/>
      <c r="AA900" s="64"/>
      <c r="AB900" s="64"/>
      <c r="AC900" s="64"/>
      <c r="AD900" s="64"/>
      <c r="AE900" s="64"/>
      <c r="AF900" s="64"/>
      <c r="AG900" s="64"/>
      <c r="AH900" s="64"/>
      <c r="AI900" s="64"/>
      <c r="AJ900" s="64"/>
    </row>
    <row r="901">
      <c r="A901" s="64"/>
      <c r="B901" s="64"/>
      <c r="C901" s="64"/>
      <c r="D901" s="64"/>
      <c r="E901" s="64"/>
      <c r="F901" s="64"/>
      <c r="G901" s="64"/>
      <c r="H901" s="64"/>
      <c r="I901" s="64"/>
      <c r="J901" s="64"/>
      <c r="K901" s="64"/>
      <c r="L901" s="64"/>
      <c r="M901" s="60"/>
      <c r="N901" s="60"/>
      <c r="O901" s="60"/>
      <c r="P901" s="60"/>
      <c r="Q901" s="64"/>
      <c r="R901" s="64"/>
      <c r="S901" s="64"/>
      <c r="T901" s="64"/>
      <c r="U901" s="64"/>
      <c r="V901" s="64"/>
      <c r="W901" s="64"/>
      <c r="X901" s="64"/>
      <c r="Y901" s="64"/>
      <c r="Z901" s="64"/>
      <c r="AA901" s="64"/>
      <c r="AB901" s="64"/>
      <c r="AC901" s="64"/>
      <c r="AD901" s="64"/>
      <c r="AE901" s="64"/>
      <c r="AF901" s="64"/>
      <c r="AG901" s="64"/>
      <c r="AH901" s="64"/>
      <c r="AI901" s="64"/>
      <c r="AJ901" s="64"/>
    </row>
    <row r="902">
      <c r="A902" s="64"/>
      <c r="B902" s="64"/>
      <c r="C902" s="64"/>
      <c r="D902" s="64"/>
      <c r="E902" s="64"/>
      <c r="F902" s="64"/>
      <c r="G902" s="64"/>
      <c r="H902" s="64"/>
      <c r="I902" s="64"/>
      <c r="J902" s="64"/>
      <c r="K902" s="64"/>
      <c r="L902" s="64"/>
      <c r="M902" s="60"/>
      <c r="N902" s="60"/>
      <c r="O902" s="60"/>
      <c r="P902" s="60"/>
      <c r="Q902" s="64"/>
      <c r="R902" s="64"/>
      <c r="S902" s="64"/>
      <c r="T902" s="64"/>
      <c r="U902" s="64"/>
      <c r="V902" s="64"/>
      <c r="W902" s="64"/>
      <c r="X902" s="64"/>
      <c r="Y902" s="64"/>
      <c r="Z902" s="64"/>
      <c r="AA902" s="64"/>
      <c r="AB902" s="64"/>
      <c r="AC902" s="64"/>
      <c r="AD902" s="64"/>
      <c r="AE902" s="64"/>
      <c r="AF902" s="64"/>
      <c r="AG902" s="64"/>
      <c r="AH902" s="64"/>
      <c r="AI902" s="64"/>
      <c r="AJ902" s="64"/>
    </row>
    <row r="903">
      <c r="A903" s="64"/>
      <c r="B903" s="64"/>
      <c r="C903" s="64"/>
      <c r="D903" s="64"/>
      <c r="E903" s="64"/>
      <c r="F903" s="64"/>
      <c r="G903" s="64"/>
      <c r="H903" s="64"/>
      <c r="I903" s="64"/>
      <c r="J903" s="64"/>
      <c r="K903" s="64"/>
      <c r="L903" s="64"/>
      <c r="M903" s="60"/>
      <c r="N903" s="60"/>
      <c r="O903" s="60"/>
      <c r="P903" s="60"/>
      <c r="Q903" s="64"/>
      <c r="R903" s="64"/>
      <c r="S903" s="64"/>
      <c r="T903" s="64"/>
      <c r="U903" s="64"/>
      <c r="V903" s="64"/>
      <c r="W903" s="64"/>
      <c r="X903" s="64"/>
      <c r="Y903" s="64"/>
      <c r="Z903" s="64"/>
      <c r="AA903" s="64"/>
      <c r="AB903" s="64"/>
      <c r="AC903" s="64"/>
      <c r="AD903" s="64"/>
      <c r="AE903" s="64"/>
      <c r="AF903" s="64"/>
      <c r="AG903" s="64"/>
      <c r="AH903" s="64"/>
      <c r="AI903" s="64"/>
      <c r="AJ903" s="64"/>
    </row>
    <row r="904">
      <c r="A904" s="64"/>
      <c r="B904" s="64"/>
      <c r="C904" s="64"/>
      <c r="D904" s="64"/>
      <c r="E904" s="64"/>
      <c r="F904" s="64"/>
      <c r="G904" s="64"/>
      <c r="H904" s="64"/>
      <c r="I904" s="64"/>
      <c r="J904" s="64"/>
      <c r="K904" s="64"/>
      <c r="L904" s="64"/>
      <c r="M904" s="60"/>
      <c r="N904" s="60"/>
      <c r="O904" s="60"/>
      <c r="P904" s="60"/>
      <c r="Q904" s="64"/>
      <c r="R904" s="64"/>
      <c r="S904" s="64"/>
      <c r="T904" s="64"/>
      <c r="U904" s="64"/>
      <c r="V904" s="64"/>
      <c r="W904" s="64"/>
      <c r="X904" s="64"/>
      <c r="Y904" s="64"/>
      <c r="Z904" s="64"/>
      <c r="AA904" s="64"/>
      <c r="AB904" s="64"/>
      <c r="AC904" s="64"/>
      <c r="AD904" s="64"/>
      <c r="AE904" s="64"/>
      <c r="AF904" s="64"/>
      <c r="AG904" s="64"/>
      <c r="AH904" s="64"/>
      <c r="AI904" s="64"/>
      <c r="AJ904" s="64"/>
    </row>
    <row r="905">
      <c r="A905" s="64"/>
      <c r="B905" s="64"/>
      <c r="C905" s="64"/>
      <c r="D905" s="64"/>
      <c r="E905" s="64"/>
      <c r="F905" s="64"/>
      <c r="G905" s="64"/>
      <c r="H905" s="64"/>
      <c r="I905" s="64"/>
      <c r="J905" s="64"/>
      <c r="K905" s="64"/>
      <c r="L905" s="64"/>
      <c r="M905" s="60"/>
      <c r="N905" s="60"/>
      <c r="O905" s="60"/>
      <c r="P905" s="60"/>
      <c r="Q905" s="64"/>
      <c r="R905" s="64"/>
      <c r="S905" s="64"/>
      <c r="T905" s="64"/>
      <c r="U905" s="64"/>
      <c r="V905" s="64"/>
      <c r="W905" s="64"/>
      <c r="X905" s="64"/>
      <c r="Y905" s="64"/>
      <c r="Z905" s="64"/>
      <c r="AA905" s="64"/>
      <c r="AB905" s="64"/>
      <c r="AC905" s="64"/>
      <c r="AD905" s="64"/>
      <c r="AE905" s="64"/>
      <c r="AF905" s="64"/>
      <c r="AG905" s="64"/>
      <c r="AH905" s="64"/>
      <c r="AI905" s="64"/>
      <c r="AJ905" s="64"/>
    </row>
    <row r="906">
      <c r="A906" s="64"/>
      <c r="B906" s="64"/>
      <c r="C906" s="64"/>
      <c r="D906" s="64"/>
      <c r="E906" s="64"/>
      <c r="F906" s="64"/>
      <c r="G906" s="64"/>
      <c r="H906" s="64"/>
      <c r="I906" s="64"/>
      <c r="J906" s="64"/>
      <c r="K906" s="64"/>
      <c r="L906" s="64"/>
      <c r="M906" s="60"/>
      <c r="N906" s="60"/>
      <c r="O906" s="60"/>
      <c r="P906" s="60"/>
      <c r="Q906" s="64"/>
      <c r="R906" s="64"/>
      <c r="S906" s="64"/>
      <c r="T906" s="64"/>
      <c r="U906" s="64"/>
      <c r="V906" s="64"/>
      <c r="W906" s="64"/>
      <c r="X906" s="64"/>
      <c r="Y906" s="64"/>
      <c r="Z906" s="64"/>
      <c r="AA906" s="64"/>
      <c r="AB906" s="64"/>
      <c r="AC906" s="64"/>
      <c r="AD906" s="64"/>
      <c r="AE906" s="64"/>
      <c r="AF906" s="64"/>
      <c r="AG906" s="64"/>
      <c r="AH906" s="64"/>
      <c r="AI906" s="64"/>
      <c r="AJ906" s="64"/>
    </row>
    <row r="907">
      <c r="A907" s="64"/>
      <c r="B907" s="64"/>
      <c r="C907" s="64"/>
      <c r="D907" s="64"/>
      <c r="E907" s="64"/>
      <c r="F907" s="64"/>
      <c r="G907" s="64"/>
      <c r="H907" s="64"/>
      <c r="I907" s="64"/>
      <c r="J907" s="64"/>
      <c r="K907" s="64"/>
      <c r="L907" s="64"/>
      <c r="M907" s="60"/>
      <c r="N907" s="60"/>
      <c r="O907" s="60"/>
      <c r="P907" s="60"/>
      <c r="Q907" s="64"/>
      <c r="R907" s="64"/>
      <c r="S907" s="64"/>
      <c r="T907" s="64"/>
      <c r="U907" s="64"/>
      <c r="V907" s="64"/>
      <c r="W907" s="64"/>
      <c r="X907" s="64"/>
      <c r="Y907" s="64"/>
      <c r="Z907" s="64"/>
      <c r="AA907" s="64"/>
      <c r="AB907" s="64"/>
      <c r="AC907" s="64"/>
      <c r="AD907" s="64"/>
      <c r="AE907" s="64"/>
      <c r="AF907" s="64"/>
      <c r="AG907" s="64"/>
      <c r="AH907" s="64"/>
      <c r="AI907" s="64"/>
      <c r="AJ907" s="64"/>
    </row>
    <row r="908">
      <c r="A908" s="64"/>
      <c r="B908" s="64"/>
      <c r="C908" s="64"/>
      <c r="D908" s="64"/>
      <c r="E908" s="64"/>
      <c r="F908" s="64"/>
      <c r="G908" s="64"/>
      <c r="H908" s="64"/>
      <c r="I908" s="64"/>
      <c r="J908" s="64"/>
      <c r="K908" s="64"/>
      <c r="L908" s="64"/>
      <c r="M908" s="60"/>
      <c r="N908" s="60"/>
      <c r="O908" s="60"/>
      <c r="P908" s="60"/>
      <c r="Q908" s="64"/>
      <c r="R908" s="64"/>
      <c r="S908" s="64"/>
      <c r="T908" s="64"/>
      <c r="U908" s="64"/>
      <c r="V908" s="64"/>
      <c r="W908" s="64"/>
      <c r="X908" s="64"/>
      <c r="Y908" s="64"/>
      <c r="Z908" s="64"/>
      <c r="AA908" s="64"/>
      <c r="AB908" s="64"/>
      <c r="AC908" s="64"/>
      <c r="AD908" s="64"/>
      <c r="AE908" s="64"/>
      <c r="AF908" s="64"/>
      <c r="AG908" s="64"/>
      <c r="AH908" s="64"/>
      <c r="AI908" s="64"/>
      <c r="AJ908" s="64"/>
    </row>
    <row r="909">
      <c r="A909" s="64"/>
      <c r="B909" s="64"/>
      <c r="C909" s="64"/>
      <c r="D909" s="64"/>
      <c r="E909" s="64"/>
      <c r="F909" s="64"/>
      <c r="G909" s="64"/>
      <c r="H909" s="64"/>
      <c r="I909" s="64"/>
      <c r="J909" s="64"/>
      <c r="K909" s="64"/>
      <c r="L909" s="64"/>
      <c r="M909" s="60"/>
      <c r="N909" s="60"/>
      <c r="O909" s="60"/>
      <c r="P909" s="60"/>
      <c r="Q909" s="64"/>
      <c r="R909" s="64"/>
      <c r="S909" s="64"/>
      <c r="T909" s="64"/>
      <c r="U909" s="64"/>
      <c r="V909" s="64"/>
      <c r="W909" s="64"/>
      <c r="X909" s="64"/>
      <c r="Y909" s="64"/>
      <c r="Z909" s="64"/>
      <c r="AA909" s="64"/>
      <c r="AB909" s="64"/>
      <c r="AC909" s="64"/>
      <c r="AD909" s="64"/>
      <c r="AE909" s="64"/>
      <c r="AF909" s="64"/>
      <c r="AG909" s="64"/>
      <c r="AH909" s="64"/>
      <c r="AI909" s="64"/>
      <c r="AJ909" s="64"/>
    </row>
    <row r="910">
      <c r="A910" s="64"/>
      <c r="B910" s="64"/>
      <c r="C910" s="64"/>
      <c r="D910" s="64"/>
      <c r="E910" s="64"/>
      <c r="F910" s="64"/>
      <c r="G910" s="64"/>
      <c r="H910" s="64"/>
      <c r="I910" s="64"/>
      <c r="J910" s="64"/>
      <c r="K910" s="64"/>
      <c r="L910" s="64"/>
      <c r="M910" s="60"/>
      <c r="N910" s="60"/>
      <c r="O910" s="60"/>
      <c r="P910" s="60"/>
      <c r="Q910" s="64"/>
      <c r="R910" s="64"/>
      <c r="S910" s="64"/>
      <c r="T910" s="64"/>
      <c r="U910" s="64"/>
      <c r="V910" s="64"/>
      <c r="W910" s="64"/>
      <c r="X910" s="64"/>
      <c r="Y910" s="64"/>
      <c r="Z910" s="64"/>
      <c r="AA910" s="64"/>
      <c r="AB910" s="64"/>
      <c r="AC910" s="64"/>
      <c r="AD910" s="64"/>
      <c r="AE910" s="64"/>
      <c r="AF910" s="64"/>
      <c r="AG910" s="64"/>
      <c r="AH910" s="64"/>
      <c r="AI910" s="64"/>
      <c r="AJ910" s="64"/>
    </row>
    <row r="911">
      <c r="A911" s="64"/>
      <c r="B911" s="64"/>
      <c r="C911" s="64"/>
      <c r="D911" s="64"/>
      <c r="E911" s="64"/>
      <c r="F911" s="64"/>
      <c r="G911" s="64"/>
      <c r="H911" s="64"/>
      <c r="I911" s="64"/>
      <c r="J911" s="64"/>
      <c r="K911" s="64"/>
      <c r="L911" s="64"/>
      <c r="M911" s="60"/>
      <c r="N911" s="60"/>
      <c r="O911" s="60"/>
      <c r="P911" s="60"/>
      <c r="Q911" s="64"/>
      <c r="R911" s="64"/>
      <c r="S911" s="64"/>
      <c r="T911" s="64"/>
      <c r="U911" s="64"/>
      <c r="V911" s="64"/>
      <c r="W911" s="64"/>
      <c r="X911" s="64"/>
      <c r="Y911" s="64"/>
      <c r="Z911" s="64"/>
      <c r="AA911" s="64"/>
      <c r="AB911" s="64"/>
      <c r="AC911" s="64"/>
      <c r="AD911" s="64"/>
      <c r="AE911" s="64"/>
      <c r="AF911" s="64"/>
      <c r="AG911" s="64"/>
      <c r="AH911" s="64"/>
      <c r="AI911" s="64"/>
      <c r="AJ911" s="64"/>
    </row>
    <row r="912">
      <c r="A912" s="64"/>
      <c r="B912" s="64"/>
      <c r="C912" s="64"/>
      <c r="D912" s="64"/>
      <c r="E912" s="64"/>
      <c r="F912" s="64"/>
      <c r="G912" s="64"/>
      <c r="H912" s="64"/>
      <c r="I912" s="64"/>
      <c r="J912" s="64"/>
      <c r="K912" s="64"/>
      <c r="L912" s="64"/>
      <c r="M912" s="60"/>
      <c r="N912" s="60"/>
      <c r="O912" s="60"/>
      <c r="P912" s="60"/>
      <c r="Q912" s="64"/>
      <c r="R912" s="64"/>
      <c r="S912" s="64"/>
      <c r="T912" s="64"/>
      <c r="U912" s="64"/>
      <c r="V912" s="64"/>
      <c r="W912" s="64"/>
      <c r="X912" s="64"/>
      <c r="Y912" s="64"/>
      <c r="Z912" s="64"/>
      <c r="AA912" s="64"/>
      <c r="AB912" s="64"/>
      <c r="AC912" s="64"/>
      <c r="AD912" s="64"/>
      <c r="AE912" s="64"/>
      <c r="AF912" s="64"/>
      <c r="AG912" s="64"/>
      <c r="AH912" s="64"/>
      <c r="AI912" s="64"/>
      <c r="AJ912" s="64"/>
    </row>
    <row r="913">
      <c r="A913" s="64"/>
      <c r="B913" s="64"/>
      <c r="C913" s="64"/>
      <c r="D913" s="64"/>
      <c r="E913" s="64"/>
      <c r="F913" s="64"/>
      <c r="G913" s="64"/>
      <c r="H913" s="64"/>
      <c r="I913" s="64"/>
      <c r="J913" s="64"/>
      <c r="K913" s="64"/>
      <c r="L913" s="64"/>
      <c r="M913" s="60"/>
      <c r="N913" s="60"/>
      <c r="O913" s="60"/>
      <c r="P913" s="60"/>
      <c r="Q913" s="64"/>
      <c r="R913" s="64"/>
      <c r="S913" s="64"/>
      <c r="T913" s="64"/>
      <c r="U913" s="64"/>
      <c r="V913" s="64"/>
      <c r="W913" s="64"/>
      <c r="X913" s="64"/>
      <c r="Y913" s="64"/>
      <c r="Z913" s="64"/>
      <c r="AA913" s="64"/>
      <c r="AB913" s="64"/>
      <c r="AC913" s="64"/>
      <c r="AD913" s="64"/>
      <c r="AE913" s="64"/>
      <c r="AF913" s="64"/>
      <c r="AG913" s="64"/>
      <c r="AH913" s="64"/>
      <c r="AI913" s="64"/>
      <c r="AJ913" s="64"/>
    </row>
    <row r="914">
      <c r="A914" s="64"/>
      <c r="B914" s="64"/>
      <c r="C914" s="64"/>
      <c r="D914" s="64"/>
      <c r="E914" s="64"/>
      <c r="F914" s="64"/>
      <c r="G914" s="64"/>
      <c r="H914" s="64"/>
      <c r="I914" s="64"/>
      <c r="J914" s="64"/>
      <c r="K914" s="64"/>
      <c r="L914" s="64"/>
      <c r="M914" s="60"/>
      <c r="N914" s="60"/>
      <c r="O914" s="60"/>
      <c r="P914" s="60"/>
      <c r="Q914" s="64"/>
      <c r="R914" s="64"/>
      <c r="S914" s="64"/>
      <c r="T914" s="64"/>
      <c r="U914" s="64"/>
      <c r="V914" s="64"/>
      <c r="W914" s="64"/>
      <c r="X914" s="64"/>
      <c r="Y914" s="64"/>
      <c r="Z914" s="64"/>
      <c r="AA914" s="64"/>
      <c r="AB914" s="64"/>
      <c r="AC914" s="64"/>
      <c r="AD914" s="64"/>
      <c r="AE914" s="64"/>
      <c r="AF914" s="64"/>
      <c r="AG914" s="64"/>
      <c r="AH914" s="64"/>
      <c r="AI914" s="64"/>
      <c r="AJ914" s="64"/>
    </row>
    <row r="915">
      <c r="A915" s="64"/>
      <c r="B915" s="64"/>
      <c r="C915" s="64"/>
      <c r="D915" s="64"/>
      <c r="E915" s="64"/>
      <c r="F915" s="64"/>
      <c r="G915" s="64"/>
      <c r="H915" s="64"/>
      <c r="I915" s="64"/>
      <c r="J915" s="64"/>
      <c r="K915" s="64"/>
      <c r="L915" s="64"/>
      <c r="M915" s="60"/>
      <c r="N915" s="60"/>
      <c r="O915" s="60"/>
      <c r="P915" s="60"/>
      <c r="Q915" s="64"/>
      <c r="R915" s="64"/>
      <c r="S915" s="64"/>
      <c r="T915" s="64"/>
      <c r="U915" s="64"/>
      <c r="V915" s="64"/>
      <c r="W915" s="64"/>
      <c r="X915" s="64"/>
      <c r="Y915" s="64"/>
      <c r="Z915" s="64"/>
      <c r="AA915" s="64"/>
      <c r="AB915" s="64"/>
      <c r="AC915" s="64"/>
      <c r="AD915" s="64"/>
      <c r="AE915" s="64"/>
      <c r="AF915" s="64"/>
      <c r="AG915" s="64"/>
      <c r="AH915" s="64"/>
      <c r="AI915" s="64"/>
      <c r="AJ915" s="64"/>
    </row>
    <row r="916">
      <c r="A916" s="64"/>
      <c r="B916" s="64"/>
      <c r="C916" s="64"/>
      <c r="D916" s="64"/>
      <c r="E916" s="64"/>
      <c r="F916" s="64"/>
      <c r="G916" s="64"/>
      <c r="H916" s="64"/>
      <c r="I916" s="64"/>
      <c r="J916" s="64"/>
      <c r="K916" s="64"/>
      <c r="L916" s="64"/>
      <c r="M916" s="60"/>
      <c r="N916" s="60"/>
      <c r="O916" s="60"/>
      <c r="P916" s="60"/>
      <c r="Q916" s="64"/>
      <c r="R916" s="64"/>
      <c r="S916" s="64"/>
      <c r="T916" s="64"/>
      <c r="U916" s="64"/>
      <c r="V916" s="64"/>
      <c r="W916" s="64"/>
      <c r="X916" s="64"/>
      <c r="Y916" s="64"/>
      <c r="Z916" s="64"/>
      <c r="AA916" s="64"/>
      <c r="AB916" s="64"/>
      <c r="AC916" s="64"/>
      <c r="AD916" s="64"/>
      <c r="AE916" s="64"/>
      <c r="AF916" s="64"/>
      <c r="AG916" s="64"/>
      <c r="AH916" s="64"/>
      <c r="AI916" s="64"/>
      <c r="AJ916" s="64"/>
    </row>
    <row r="917">
      <c r="A917" s="64"/>
      <c r="B917" s="64"/>
      <c r="C917" s="64"/>
      <c r="D917" s="64"/>
      <c r="E917" s="64"/>
      <c r="F917" s="64"/>
      <c r="G917" s="64"/>
      <c r="H917" s="64"/>
      <c r="I917" s="64"/>
      <c r="J917" s="64"/>
      <c r="K917" s="64"/>
      <c r="L917" s="64"/>
      <c r="M917" s="60"/>
      <c r="N917" s="60"/>
      <c r="O917" s="60"/>
      <c r="P917" s="60"/>
      <c r="Q917" s="64"/>
      <c r="R917" s="64"/>
      <c r="S917" s="64"/>
      <c r="T917" s="64"/>
      <c r="U917" s="64"/>
      <c r="V917" s="64"/>
      <c r="W917" s="64"/>
      <c r="X917" s="64"/>
      <c r="Y917" s="64"/>
      <c r="Z917" s="64"/>
      <c r="AA917" s="64"/>
      <c r="AB917" s="64"/>
      <c r="AC917" s="64"/>
      <c r="AD917" s="64"/>
      <c r="AE917" s="64"/>
      <c r="AF917" s="64"/>
      <c r="AG917" s="64"/>
      <c r="AH917" s="64"/>
      <c r="AI917" s="64"/>
      <c r="AJ917" s="64"/>
    </row>
    <row r="918">
      <c r="A918" s="64"/>
      <c r="B918" s="64"/>
      <c r="C918" s="64"/>
      <c r="D918" s="64"/>
      <c r="E918" s="64"/>
      <c r="F918" s="64"/>
      <c r="G918" s="64"/>
      <c r="H918" s="64"/>
      <c r="I918" s="64"/>
      <c r="J918" s="64"/>
      <c r="K918" s="64"/>
      <c r="L918" s="64"/>
      <c r="M918" s="60"/>
      <c r="N918" s="60"/>
      <c r="O918" s="60"/>
      <c r="P918" s="60"/>
      <c r="Q918" s="64"/>
      <c r="R918" s="64"/>
      <c r="S918" s="64"/>
      <c r="T918" s="64"/>
      <c r="U918" s="64"/>
      <c r="V918" s="64"/>
      <c r="W918" s="64"/>
      <c r="X918" s="64"/>
      <c r="Y918" s="64"/>
      <c r="Z918" s="64"/>
      <c r="AA918" s="64"/>
      <c r="AB918" s="64"/>
      <c r="AC918" s="64"/>
      <c r="AD918" s="64"/>
      <c r="AE918" s="64"/>
      <c r="AF918" s="64"/>
      <c r="AG918" s="64"/>
      <c r="AH918" s="64"/>
      <c r="AI918" s="64"/>
      <c r="AJ918" s="64"/>
    </row>
    <row r="919">
      <c r="A919" s="64"/>
      <c r="B919" s="64"/>
      <c r="C919" s="64"/>
      <c r="D919" s="64"/>
      <c r="E919" s="64"/>
      <c r="F919" s="64"/>
      <c r="G919" s="64"/>
      <c r="H919" s="64"/>
      <c r="I919" s="64"/>
      <c r="J919" s="64"/>
      <c r="K919" s="64"/>
      <c r="L919" s="64"/>
      <c r="M919" s="60"/>
      <c r="N919" s="60"/>
      <c r="O919" s="60"/>
      <c r="P919" s="60"/>
      <c r="Q919" s="64"/>
      <c r="R919" s="64"/>
      <c r="S919" s="64"/>
      <c r="T919" s="64"/>
      <c r="U919" s="64"/>
      <c r="V919" s="64"/>
      <c r="W919" s="64"/>
      <c r="X919" s="64"/>
      <c r="Y919" s="64"/>
      <c r="Z919" s="64"/>
      <c r="AA919" s="64"/>
      <c r="AB919" s="64"/>
      <c r="AC919" s="64"/>
      <c r="AD919" s="64"/>
      <c r="AE919" s="64"/>
      <c r="AF919" s="64"/>
      <c r="AG919" s="64"/>
      <c r="AH919" s="64"/>
      <c r="AI919" s="64"/>
      <c r="AJ919" s="64"/>
    </row>
    <row r="920">
      <c r="A920" s="64"/>
      <c r="B920" s="64"/>
      <c r="C920" s="64"/>
      <c r="D920" s="64"/>
      <c r="E920" s="64"/>
      <c r="F920" s="64"/>
      <c r="G920" s="64"/>
      <c r="H920" s="64"/>
      <c r="I920" s="64"/>
      <c r="J920" s="64"/>
      <c r="K920" s="64"/>
      <c r="L920" s="64"/>
      <c r="M920" s="60"/>
      <c r="N920" s="60"/>
      <c r="O920" s="60"/>
      <c r="P920" s="60"/>
      <c r="Q920" s="64"/>
      <c r="R920" s="64"/>
      <c r="S920" s="64"/>
      <c r="T920" s="64"/>
      <c r="U920" s="64"/>
      <c r="V920" s="64"/>
      <c r="W920" s="64"/>
      <c r="X920" s="64"/>
      <c r="Y920" s="64"/>
      <c r="Z920" s="64"/>
      <c r="AA920" s="64"/>
      <c r="AB920" s="64"/>
      <c r="AC920" s="64"/>
      <c r="AD920" s="64"/>
      <c r="AE920" s="64"/>
      <c r="AF920" s="64"/>
      <c r="AG920" s="64"/>
      <c r="AH920" s="64"/>
      <c r="AI920" s="64"/>
      <c r="AJ920" s="64"/>
    </row>
    <row r="921">
      <c r="A921" s="64"/>
      <c r="B921" s="64"/>
      <c r="C921" s="64"/>
      <c r="D921" s="64"/>
      <c r="E921" s="64"/>
      <c r="F921" s="64"/>
      <c r="G921" s="64"/>
      <c r="H921" s="64"/>
      <c r="I921" s="64"/>
      <c r="J921" s="64"/>
      <c r="K921" s="64"/>
      <c r="L921" s="64"/>
      <c r="M921" s="60"/>
      <c r="N921" s="60"/>
      <c r="O921" s="60"/>
      <c r="P921" s="60"/>
      <c r="Q921" s="64"/>
      <c r="R921" s="64"/>
      <c r="S921" s="64"/>
      <c r="T921" s="64"/>
      <c r="U921" s="64"/>
      <c r="V921" s="64"/>
      <c r="W921" s="64"/>
      <c r="X921" s="64"/>
      <c r="Y921" s="64"/>
      <c r="Z921" s="64"/>
      <c r="AA921" s="64"/>
      <c r="AB921" s="64"/>
      <c r="AC921" s="64"/>
      <c r="AD921" s="64"/>
      <c r="AE921" s="64"/>
      <c r="AF921" s="64"/>
      <c r="AG921" s="64"/>
      <c r="AH921" s="64"/>
      <c r="AI921" s="64"/>
      <c r="AJ921" s="64"/>
    </row>
    <row r="922">
      <c r="A922" s="64"/>
      <c r="B922" s="64"/>
      <c r="C922" s="64"/>
      <c r="D922" s="64"/>
      <c r="E922" s="64"/>
      <c r="F922" s="64"/>
      <c r="G922" s="64"/>
      <c r="H922" s="64"/>
      <c r="I922" s="64"/>
      <c r="J922" s="64"/>
      <c r="K922" s="64"/>
      <c r="L922" s="64"/>
      <c r="M922" s="60"/>
      <c r="N922" s="60"/>
      <c r="O922" s="60"/>
      <c r="P922" s="60"/>
      <c r="Q922" s="64"/>
      <c r="R922" s="64"/>
      <c r="S922" s="64"/>
      <c r="T922" s="64"/>
      <c r="U922" s="64"/>
      <c r="V922" s="64"/>
      <c r="W922" s="64"/>
      <c r="X922" s="64"/>
      <c r="Y922" s="64"/>
      <c r="Z922" s="64"/>
      <c r="AA922" s="64"/>
      <c r="AB922" s="64"/>
      <c r="AC922" s="64"/>
      <c r="AD922" s="64"/>
      <c r="AE922" s="64"/>
      <c r="AF922" s="64"/>
      <c r="AG922" s="64"/>
      <c r="AH922" s="64"/>
      <c r="AI922" s="64"/>
      <c r="AJ922" s="64"/>
    </row>
    <row r="923">
      <c r="A923" s="64"/>
      <c r="B923" s="64"/>
      <c r="C923" s="64"/>
      <c r="D923" s="64"/>
      <c r="E923" s="64"/>
      <c r="F923" s="64"/>
      <c r="G923" s="64"/>
      <c r="H923" s="64"/>
      <c r="I923" s="64"/>
      <c r="J923" s="64"/>
      <c r="K923" s="64"/>
      <c r="L923" s="64"/>
      <c r="M923" s="60"/>
      <c r="N923" s="60"/>
      <c r="O923" s="60"/>
      <c r="P923" s="60"/>
      <c r="Q923" s="64"/>
      <c r="R923" s="64"/>
      <c r="S923" s="64"/>
      <c r="T923" s="64"/>
      <c r="U923" s="64"/>
      <c r="V923" s="64"/>
      <c r="W923" s="64"/>
      <c r="X923" s="64"/>
      <c r="Y923" s="64"/>
      <c r="Z923" s="64"/>
      <c r="AA923" s="64"/>
      <c r="AB923" s="64"/>
      <c r="AC923" s="64"/>
      <c r="AD923" s="64"/>
      <c r="AE923" s="64"/>
      <c r="AF923" s="64"/>
      <c r="AG923" s="64"/>
      <c r="AH923" s="64"/>
      <c r="AI923" s="64"/>
      <c r="AJ923" s="64"/>
    </row>
    <row r="924">
      <c r="A924" s="64"/>
      <c r="B924" s="64"/>
      <c r="C924" s="64"/>
      <c r="D924" s="64"/>
      <c r="E924" s="64"/>
      <c r="F924" s="64"/>
      <c r="G924" s="64"/>
      <c r="H924" s="64"/>
      <c r="I924" s="64"/>
      <c r="J924" s="64"/>
      <c r="K924" s="64"/>
      <c r="L924" s="64"/>
      <c r="M924" s="60"/>
      <c r="N924" s="60"/>
      <c r="O924" s="60"/>
      <c r="P924" s="60"/>
      <c r="Q924" s="64"/>
      <c r="R924" s="64"/>
      <c r="S924" s="64"/>
      <c r="T924" s="64"/>
      <c r="U924" s="64"/>
      <c r="V924" s="64"/>
      <c r="W924" s="64"/>
      <c r="X924" s="64"/>
      <c r="Y924" s="64"/>
      <c r="Z924" s="64"/>
      <c r="AA924" s="64"/>
      <c r="AB924" s="64"/>
      <c r="AC924" s="64"/>
      <c r="AD924" s="64"/>
      <c r="AE924" s="64"/>
      <c r="AF924" s="64"/>
      <c r="AG924" s="64"/>
      <c r="AH924" s="64"/>
      <c r="AI924" s="64"/>
      <c r="AJ924" s="64"/>
    </row>
    <row r="925">
      <c r="A925" s="64"/>
      <c r="B925" s="64"/>
      <c r="C925" s="64"/>
      <c r="D925" s="64"/>
      <c r="E925" s="64"/>
      <c r="F925" s="64"/>
      <c r="G925" s="64"/>
      <c r="H925" s="64"/>
      <c r="I925" s="64"/>
      <c r="J925" s="64"/>
      <c r="K925" s="64"/>
      <c r="L925" s="64"/>
      <c r="M925" s="60"/>
      <c r="N925" s="60"/>
      <c r="O925" s="60"/>
      <c r="P925" s="60"/>
      <c r="Q925" s="64"/>
      <c r="R925" s="64"/>
      <c r="S925" s="64"/>
      <c r="T925" s="64"/>
      <c r="U925" s="64"/>
      <c r="V925" s="64"/>
      <c r="W925" s="64"/>
      <c r="X925" s="64"/>
      <c r="Y925" s="64"/>
      <c r="Z925" s="64"/>
      <c r="AA925" s="64"/>
      <c r="AB925" s="64"/>
      <c r="AC925" s="64"/>
      <c r="AD925" s="64"/>
      <c r="AE925" s="64"/>
      <c r="AF925" s="64"/>
      <c r="AG925" s="64"/>
      <c r="AH925" s="64"/>
      <c r="AI925" s="64"/>
      <c r="AJ925" s="64"/>
    </row>
    <row r="926">
      <c r="A926" s="64"/>
      <c r="B926" s="64"/>
      <c r="C926" s="64"/>
      <c r="D926" s="64"/>
      <c r="E926" s="64"/>
      <c r="F926" s="64"/>
      <c r="G926" s="64"/>
      <c r="H926" s="64"/>
      <c r="I926" s="64"/>
      <c r="J926" s="64"/>
      <c r="K926" s="64"/>
      <c r="L926" s="64"/>
      <c r="M926" s="60"/>
      <c r="N926" s="60"/>
      <c r="O926" s="60"/>
      <c r="P926" s="60"/>
      <c r="Q926" s="64"/>
      <c r="R926" s="64"/>
      <c r="S926" s="64"/>
      <c r="T926" s="64"/>
      <c r="U926" s="64"/>
      <c r="V926" s="64"/>
      <c r="W926" s="64"/>
      <c r="X926" s="64"/>
      <c r="Y926" s="64"/>
      <c r="Z926" s="64"/>
      <c r="AA926" s="64"/>
      <c r="AB926" s="64"/>
      <c r="AC926" s="64"/>
      <c r="AD926" s="64"/>
      <c r="AE926" s="64"/>
      <c r="AF926" s="64"/>
      <c r="AG926" s="64"/>
      <c r="AH926" s="64"/>
      <c r="AI926" s="64"/>
      <c r="AJ926" s="64"/>
    </row>
    <row r="927">
      <c r="A927" s="64"/>
      <c r="B927" s="64"/>
      <c r="C927" s="64"/>
      <c r="D927" s="64"/>
      <c r="E927" s="64"/>
      <c r="F927" s="64"/>
      <c r="G927" s="64"/>
      <c r="H927" s="64"/>
      <c r="I927" s="64"/>
      <c r="J927" s="64"/>
      <c r="K927" s="64"/>
      <c r="L927" s="64"/>
      <c r="M927" s="60"/>
      <c r="N927" s="60"/>
      <c r="O927" s="60"/>
      <c r="P927" s="60"/>
      <c r="Q927" s="64"/>
      <c r="R927" s="64"/>
      <c r="S927" s="64"/>
      <c r="T927" s="64"/>
      <c r="U927" s="64"/>
      <c r="V927" s="64"/>
      <c r="W927" s="64"/>
      <c r="X927" s="64"/>
      <c r="Y927" s="64"/>
      <c r="Z927" s="64"/>
      <c r="AA927" s="64"/>
      <c r="AB927" s="64"/>
      <c r="AC927" s="64"/>
      <c r="AD927" s="64"/>
      <c r="AE927" s="64"/>
      <c r="AF927" s="64"/>
      <c r="AG927" s="64"/>
      <c r="AH927" s="64"/>
      <c r="AI927" s="64"/>
      <c r="AJ927" s="64"/>
    </row>
    <row r="928">
      <c r="A928" s="64"/>
      <c r="B928" s="64"/>
      <c r="C928" s="64"/>
      <c r="D928" s="64"/>
      <c r="E928" s="64"/>
      <c r="F928" s="64"/>
      <c r="G928" s="64"/>
      <c r="H928" s="64"/>
      <c r="I928" s="64"/>
      <c r="J928" s="64"/>
      <c r="K928" s="64"/>
      <c r="L928" s="64"/>
      <c r="M928" s="60"/>
      <c r="N928" s="60"/>
      <c r="O928" s="60"/>
      <c r="P928" s="60"/>
      <c r="Q928" s="64"/>
      <c r="R928" s="64"/>
      <c r="S928" s="64"/>
      <c r="T928" s="64"/>
      <c r="U928" s="64"/>
      <c r="V928" s="64"/>
      <c r="W928" s="64"/>
      <c r="X928" s="64"/>
      <c r="Y928" s="64"/>
      <c r="Z928" s="64"/>
      <c r="AA928" s="64"/>
      <c r="AB928" s="64"/>
      <c r="AC928" s="64"/>
      <c r="AD928" s="64"/>
      <c r="AE928" s="64"/>
      <c r="AF928" s="64"/>
      <c r="AG928" s="64"/>
      <c r="AH928" s="64"/>
      <c r="AI928" s="64"/>
      <c r="AJ928" s="64"/>
    </row>
    <row r="929">
      <c r="A929" s="64"/>
      <c r="B929" s="64"/>
      <c r="C929" s="64"/>
      <c r="D929" s="64"/>
      <c r="E929" s="64"/>
      <c r="F929" s="64"/>
      <c r="G929" s="64"/>
      <c r="H929" s="64"/>
      <c r="I929" s="64"/>
      <c r="J929" s="64"/>
      <c r="K929" s="64"/>
      <c r="L929" s="64"/>
      <c r="M929" s="60"/>
      <c r="N929" s="60"/>
      <c r="O929" s="60"/>
      <c r="P929" s="60"/>
      <c r="Q929" s="64"/>
      <c r="R929" s="64"/>
      <c r="S929" s="64"/>
      <c r="T929" s="64"/>
      <c r="U929" s="64"/>
      <c r="V929" s="64"/>
      <c r="W929" s="64"/>
      <c r="X929" s="64"/>
      <c r="Y929" s="64"/>
      <c r="Z929" s="64"/>
      <c r="AA929" s="64"/>
      <c r="AB929" s="64"/>
      <c r="AC929" s="64"/>
      <c r="AD929" s="64"/>
      <c r="AE929" s="64"/>
      <c r="AF929" s="64"/>
      <c r="AG929" s="64"/>
      <c r="AH929" s="64"/>
      <c r="AI929" s="64"/>
      <c r="AJ929" s="64"/>
    </row>
    <row r="930">
      <c r="A930" s="64"/>
      <c r="B930" s="64"/>
      <c r="C930" s="64"/>
      <c r="D930" s="64"/>
      <c r="E930" s="64"/>
      <c r="F930" s="64"/>
      <c r="G930" s="64"/>
      <c r="H930" s="64"/>
      <c r="I930" s="64"/>
      <c r="J930" s="64"/>
      <c r="K930" s="64"/>
      <c r="L930" s="64"/>
      <c r="M930" s="60"/>
      <c r="N930" s="60"/>
      <c r="O930" s="60"/>
      <c r="P930" s="60"/>
      <c r="Q930" s="64"/>
      <c r="R930" s="64"/>
      <c r="S930" s="64"/>
      <c r="T930" s="64"/>
      <c r="U930" s="64"/>
      <c r="V930" s="64"/>
      <c r="W930" s="64"/>
      <c r="X930" s="64"/>
      <c r="Y930" s="64"/>
      <c r="Z930" s="64"/>
      <c r="AA930" s="64"/>
      <c r="AB930" s="64"/>
      <c r="AC930" s="64"/>
      <c r="AD930" s="64"/>
      <c r="AE930" s="64"/>
      <c r="AF930" s="64"/>
      <c r="AG930" s="64"/>
      <c r="AH930" s="64"/>
      <c r="AI930" s="64"/>
      <c r="AJ930" s="64"/>
    </row>
    <row r="931">
      <c r="A931" s="64"/>
      <c r="B931" s="64"/>
      <c r="C931" s="64"/>
      <c r="D931" s="64"/>
      <c r="E931" s="64"/>
      <c r="F931" s="64"/>
      <c r="G931" s="64"/>
      <c r="H931" s="64"/>
      <c r="I931" s="64"/>
      <c r="J931" s="64"/>
      <c r="K931" s="64"/>
      <c r="L931" s="64"/>
      <c r="M931" s="60"/>
      <c r="N931" s="60"/>
      <c r="O931" s="60"/>
      <c r="P931" s="60"/>
      <c r="Q931" s="64"/>
      <c r="R931" s="64"/>
      <c r="S931" s="64"/>
      <c r="T931" s="64"/>
      <c r="U931" s="64"/>
      <c r="V931" s="64"/>
      <c r="W931" s="64"/>
      <c r="X931" s="64"/>
      <c r="Y931" s="64"/>
      <c r="Z931" s="64"/>
      <c r="AA931" s="64"/>
      <c r="AB931" s="64"/>
      <c r="AC931" s="64"/>
      <c r="AD931" s="64"/>
      <c r="AE931" s="64"/>
      <c r="AF931" s="64"/>
      <c r="AG931" s="64"/>
      <c r="AH931" s="64"/>
      <c r="AI931" s="64"/>
      <c r="AJ931" s="64"/>
    </row>
    <row r="932">
      <c r="A932" s="64"/>
      <c r="B932" s="64"/>
      <c r="C932" s="64"/>
      <c r="D932" s="64"/>
      <c r="E932" s="64"/>
      <c r="F932" s="64"/>
      <c r="G932" s="64"/>
      <c r="H932" s="64"/>
      <c r="I932" s="64"/>
      <c r="J932" s="64"/>
      <c r="K932" s="64"/>
      <c r="L932" s="64"/>
      <c r="M932" s="60"/>
      <c r="N932" s="60"/>
      <c r="O932" s="60"/>
      <c r="P932" s="60"/>
      <c r="Q932" s="64"/>
      <c r="R932" s="64"/>
      <c r="S932" s="64"/>
      <c r="T932" s="64"/>
      <c r="U932" s="64"/>
      <c r="V932" s="64"/>
      <c r="W932" s="64"/>
      <c r="X932" s="64"/>
      <c r="Y932" s="64"/>
      <c r="Z932" s="64"/>
      <c r="AA932" s="64"/>
      <c r="AB932" s="64"/>
      <c r="AC932" s="64"/>
      <c r="AD932" s="64"/>
      <c r="AE932" s="64"/>
      <c r="AF932" s="64"/>
      <c r="AG932" s="64"/>
      <c r="AH932" s="64"/>
      <c r="AI932" s="64"/>
      <c r="AJ932" s="64"/>
    </row>
    <row r="933">
      <c r="A933" s="64"/>
      <c r="B933" s="64"/>
      <c r="C933" s="64"/>
      <c r="D933" s="64"/>
      <c r="E933" s="64"/>
      <c r="F933" s="64"/>
      <c r="G933" s="64"/>
      <c r="H933" s="64"/>
      <c r="I933" s="64"/>
      <c r="J933" s="64"/>
      <c r="K933" s="64"/>
      <c r="L933" s="64"/>
      <c r="M933" s="60"/>
      <c r="N933" s="60"/>
      <c r="O933" s="60"/>
      <c r="P933" s="60"/>
      <c r="Q933" s="64"/>
      <c r="R933" s="64"/>
      <c r="S933" s="64"/>
      <c r="T933" s="64"/>
      <c r="U933" s="64"/>
      <c r="V933" s="64"/>
      <c r="W933" s="64"/>
      <c r="X933" s="64"/>
      <c r="Y933" s="64"/>
      <c r="Z933" s="64"/>
      <c r="AA933" s="64"/>
      <c r="AB933" s="64"/>
      <c r="AC933" s="64"/>
      <c r="AD933" s="64"/>
      <c r="AE933" s="64"/>
      <c r="AF933" s="64"/>
      <c r="AG933" s="64"/>
      <c r="AH933" s="64"/>
      <c r="AI933" s="64"/>
      <c r="AJ933" s="64"/>
    </row>
    <row r="934">
      <c r="A934" s="64"/>
      <c r="B934" s="64"/>
      <c r="C934" s="64"/>
      <c r="D934" s="64"/>
      <c r="E934" s="64"/>
      <c r="F934" s="64"/>
      <c r="G934" s="64"/>
      <c r="H934" s="64"/>
      <c r="I934" s="64"/>
      <c r="J934" s="64"/>
      <c r="K934" s="64"/>
      <c r="L934" s="64"/>
      <c r="M934" s="60"/>
      <c r="N934" s="60"/>
      <c r="O934" s="60"/>
      <c r="P934" s="60"/>
      <c r="Q934" s="64"/>
      <c r="R934" s="64"/>
      <c r="S934" s="64"/>
      <c r="T934" s="64"/>
      <c r="U934" s="64"/>
      <c r="V934" s="64"/>
      <c r="W934" s="64"/>
      <c r="X934" s="64"/>
      <c r="Y934" s="64"/>
      <c r="Z934" s="64"/>
      <c r="AA934" s="64"/>
      <c r="AB934" s="64"/>
      <c r="AC934" s="64"/>
      <c r="AD934" s="64"/>
      <c r="AE934" s="64"/>
      <c r="AF934" s="64"/>
      <c r="AG934" s="64"/>
      <c r="AH934" s="64"/>
      <c r="AI934" s="64"/>
      <c r="AJ934" s="64"/>
    </row>
    <row r="935">
      <c r="A935" s="64"/>
      <c r="B935" s="64"/>
      <c r="C935" s="64"/>
      <c r="D935" s="64"/>
      <c r="E935" s="64"/>
      <c r="F935" s="64"/>
      <c r="G935" s="64"/>
      <c r="H935" s="64"/>
      <c r="I935" s="64"/>
      <c r="J935" s="64"/>
      <c r="K935" s="64"/>
      <c r="L935" s="64"/>
      <c r="M935" s="60"/>
      <c r="N935" s="60"/>
      <c r="O935" s="60"/>
      <c r="P935" s="60"/>
      <c r="Q935" s="64"/>
      <c r="R935" s="64"/>
      <c r="S935" s="64"/>
      <c r="T935" s="64"/>
      <c r="U935" s="64"/>
      <c r="V935" s="64"/>
      <c r="W935" s="64"/>
      <c r="X935" s="64"/>
      <c r="Y935" s="64"/>
      <c r="Z935" s="64"/>
      <c r="AA935" s="64"/>
      <c r="AB935" s="64"/>
      <c r="AC935" s="64"/>
      <c r="AD935" s="64"/>
      <c r="AE935" s="64"/>
      <c r="AF935" s="64"/>
      <c r="AG935" s="64"/>
      <c r="AH935" s="64"/>
      <c r="AI935" s="64"/>
      <c r="AJ935" s="64"/>
    </row>
    <row r="936">
      <c r="A936" s="64"/>
      <c r="B936" s="64"/>
      <c r="C936" s="64"/>
      <c r="D936" s="64"/>
      <c r="E936" s="64"/>
      <c r="F936" s="64"/>
      <c r="G936" s="64"/>
      <c r="H936" s="64"/>
      <c r="I936" s="64"/>
      <c r="J936" s="64"/>
      <c r="K936" s="64"/>
      <c r="L936" s="64"/>
      <c r="M936" s="60"/>
      <c r="N936" s="60"/>
      <c r="O936" s="60"/>
      <c r="P936" s="60"/>
      <c r="Q936" s="64"/>
      <c r="R936" s="64"/>
      <c r="S936" s="64"/>
      <c r="T936" s="64"/>
      <c r="U936" s="64"/>
      <c r="V936" s="64"/>
      <c r="W936" s="64"/>
      <c r="X936" s="64"/>
      <c r="Y936" s="64"/>
      <c r="Z936" s="64"/>
      <c r="AA936" s="64"/>
      <c r="AB936" s="64"/>
      <c r="AC936" s="64"/>
      <c r="AD936" s="64"/>
      <c r="AE936" s="64"/>
      <c r="AF936" s="64"/>
      <c r="AG936" s="64"/>
      <c r="AH936" s="64"/>
      <c r="AI936" s="64"/>
      <c r="AJ936" s="64"/>
    </row>
    <row r="937">
      <c r="A937" s="64"/>
      <c r="B937" s="64"/>
      <c r="C937" s="64"/>
      <c r="D937" s="64"/>
      <c r="E937" s="64"/>
      <c r="F937" s="64"/>
      <c r="G937" s="64"/>
      <c r="H937" s="64"/>
      <c r="I937" s="64"/>
      <c r="J937" s="64"/>
      <c r="K937" s="64"/>
      <c r="L937" s="64"/>
      <c r="M937" s="60"/>
      <c r="N937" s="60"/>
      <c r="O937" s="60"/>
      <c r="P937" s="60"/>
      <c r="Q937" s="64"/>
      <c r="R937" s="64"/>
      <c r="S937" s="64"/>
      <c r="T937" s="64"/>
      <c r="U937" s="64"/>
      <c r="V937" s="64"/>
      <c r="W937" s="64"/>
      <c r="X937" s="64"/>
      <c r="Y937" s="64"/>
      <c r="Z937" s="64"/>
      <c r="AA937" s="64"/>
      <c r="AB937" s="64"/>
      <c r="AC937" s="64"/>
      <c r="AD937" s="64"/>
      <c r="AE937" s="64"/>
      <c r="AF937" s="64"/>
      <c r="AG937" s="64"/>
      <c r="AH937" s="64"/>
      <c r="AI937" s="64"/>
      <c r="AJ937" s="64"/>
    </row>
    <row r="938">
      <c r="A938" s="64"/>
      <c r="B938" s="64"/>
      <c r="C938" s="64"/>
      <c r="D938" s="64"/>
      <c r="E938" s="64"/>
      <c r="F938" s="64"/>
      <c r="G938" s="64"/>
      <c r="H938" s="64"/>
      <c r="I938" s="64"/>
      <c r="J938" s="64"/>
      <c r="K938" s="64"/>
      <c r="L938" s="64"/>
      <c r="M938" s="60"/>
      <c r="N938" s="60"/>
      <c r="O938" s="60"/>
      <c r="P938" s="60"/>
      <c r="Q938" s="64"/>
      <c r="R938" s="64"/>
      <c r="S938" s="64"/>
      <c r="T938" s="64"/>
      <c r="U938" s="64"/>
      <c r="V938" s="64"/>
      <c r="W938" s="64"/>
      <c r="X938" s="64"/>
      <c r="Y938" s="64"/>
      <c r="Z938" s="64"/>
      <c r="AA938" s="64"/>
      <c r="AB938" s="64"/>
      <c r="AC938" s="64"/>
      <c r="AD938" s="64"/>
      <c r="AE938" s="64"/>
      <c r="AF938" s="64"/>
      <c r="AG938" s="64"/>
      <c r="AH938" s="64"/>
      <c r="AI938" s="64"/>
      <c r="AJ938" s="64"/>
    </row>
    <row r="939">
      <c r="A939" s="64"/>
      <c r="B939" s="64"/>
      <c r="C939" s="64"/>
      <c r="D939" s="64"/>
      <c r="E939" s="64"/>
      <c r="F939" s="64"/>
      <c r="G939" s="64"/>
      <c r="H939" s="64"/>
      <c r="I939" s="64"/>
      <c r="J939" s="64"/>
      <c r="K939" s="64"/>
      <c r="L939" s="64"/>
      <c r="M939" s="60"/>
      <c r="N939" s="60"/>
      <c r="O939" s="60"/>
      <c r="P939" s="60"/>
      <c r="Q939" s="64"/>
      <c r="R939" s="64"/>
      <c r="S939" s="64"/>
      <c r="T939" s="64"/>
      <c r="U939" s="64"/>
      <c r="V939" s="64"/>
      <c r="W939" s="64"/>
      <c r="X939" s="64"/>
      <c r="Y939" s="64"/>
      <c r="Z939" s="64"/>
      <c r="AA939" s="64"/>
      <c r="AB939" s="64"/>
      <c r="AC939" s="64"/>
      <c r="AD939" s="64"/>
      <c r="AE939" s="64"/>
      <c r="AF939" s="64"/>
      <c r="AG939" s="64"/>
      <c r="AH939" s="64"/>
      <c r="AI939" s="64"/>
      <c r="AJ939" s="64"/>
    </row>
    <row r="940">
      <c r="A940" s="64"/>
      <c r="B940" s="64"/>
      <c r="C940" s="64"/>
      <c r="D940" s="64"/>
      <c r="E940" s="64"/>
      <c r="F940" s="64"/>
      <c r="G940" s="64"/>
      <c r="H940" s="64"/>
      <c r="I940" s="64"/>
      <c r="J940" s="64"/>
      <c r="K940" s="64"/>
      <c r="L940" s="64"/>
      <c r="M940" s="60"/>
      <c r="N940" s="60"/>
      <c r="O940" s="60"/>
      <c r="P940" s="60"/>
      <c r="Q940" s="64"/>
      <c r="R940" s="64"/>
      <c r="S940" s="64"/>
      <c r="T940" s="64"/>
      <c r="U940" s="64"/>
      <c r="V940" s="64"/>
      <c r="W940" s="64"/>
      <c r="X940" s="64"/>
      <c r="Y940" s="64"/>
      <c r="Z940" s="64"/>
      <c r="AA940" s="64"/>
      <c r="AB940" s="64"/>
      <c r="AC940" s="64"/>
      <c r="AD940" s="64"/>
      <c r="AE940" s="64"/>
      <c r="AF940" s="64"/>
      <c r="AG940" s="64"/>
      <c r="AH940" s="64"/>
      <c r="AI940" s="64"/>
      <c r="AJ940" s="64"/>
    </row>
    <row r="941">
      <c r="A941" s="64"/>
      <c r="B941" s="64"/>
      <c r="C941" s="64"/>
      <c r="D941" s="64"/>
      <c r="E941" s="64"/>
      <c r="F941" s="64"/>
      <c r="G941" s="64"/>
      <c r="H941" s="64"/>
      <c r="I941" s="64"/>
      <c r="J941" s="64"/>
      <c r="K941" s="64"/>
      <c r="L941" s="64"/>
      <c r="M941" s="60"/>
      <c r="N941" s="60"/>
      <c r="O941" s="60"/>
      <c r="P941" s="60"/>
      <c r="Q941" s="64"/>
      <c r="R941" s="64"/>
      <c r="S941" s="64"/>
      <c r="T941" s="64"/>
      <c r="U941" s="64"/>
      <c r="V941" s="64"/>
      <c r="W941" s="64"/>
      <c r="X941" s="64"/>
      <c r="Y941" s="64"/>
      <c r="Z941" s="64"/>
      <c r="AA941" s="64"/>
      <c r="AB941" s="64"/>
      <c r="AC941" s="64"/>
      <c r="AD941" s="64"/>
      <c r="AE941" s="64"/>
      <c r="AF941" s="64"/>
      <c r="AG941" s="64"/>
      <c r="AH941" s="64"/>
      <c r="AI941" s="64"/>
      <c r="AJ941" s="64"/>
    </row>
    <row r="942">
      <c r="A942" s="64"/>
      <c r="B942" s="64"/>
      <c r="C942" s="64"/>
      <c r="D942" s="64"/>
      <c r="E942" s="64"/>
      <c r="F942" s="64"/>
      <c r="G942" s="64"/>
      <c r="H942" s="64"/>
      <c r="I942" s="64"/>
      <c r="J942" s="64"/>
      <c r="K942" s="64"/>
      <c r="L942" s="64"/>
      <c r="M942" s="60"/>
      <c r="N942" s="60"/>
      <c r="O942" s="60"/>
      <c r="P942" s="60"/>
      <c r="Q942" s="64"/>
      <c r="R942" s="64"/>
      <c r="S942" s="64"/>
      <c r="T942" s="64"/>
      <c r="U942" s="64"/>
      <c r="V942" s="64"/>
      <c r="W942" s="64"/>
      <c r="X942" s="64"/>
      <c r="Y942" s="64"/>
      <c r="Z942" s="64"/>
      <c r="AA942" s="64"/>
      <c r="AB942" s="64"/>
      <c r="AC942" s="64"/>
      <c r="AD942" s="64"/>
      <c r="AE942" s="64"/>
      <c r="AF942" s="64"/>
      <c r="AG942" s="64"/>
      <c r="AH942" s="64"/>
      <c r="AI942" s="64"/>
      <c r="AJ942" s="64"/>
    </row>
    <row r="943">
      <c r="A943" s="64"/>
      <c r="B943" s="64"/>
      <c r="C943" s="64"/>
      <c r="D943" s="64"/>
      <c r="E943" s="64"/>
      <c r="F943" s="64"/>
      <c r="G943" s="64"/>
      <c r="H943" s="64"/>
      <c r="I943" s="64"/>
      <c r="J943" s="64"/>
      <c r="K943" s="64"/>
      <c r="L943" s="64"/>
      <c r="M943" s="60"/>
      <c r="N943" s="60"/>
      <c r="O943" s="60"/>
      <c r="P943" s="60"/>
      <c r="Q943" s="64"/>
      <c r="R943" s="64"/>
      <c r="S943" s="64"/>
      <c r="T943" s="64"/>
      <c r="U943" s="64"/>
      <c r="V943" s="64"/>
      <c r="W943" s="64"/>
      <c r="X943" s="64"/>
      <c r="Y943" s="64"/>
      <c r="Z943" s="64"/>
      <c r="AA943" s="64"/>
      <c r="AB943" s="64"/>
      <c r="AC943" s="64"/>
      <c r="AD943" s="64"/>
      <c r="AE943" s="64"/>
      <c r="AF943" s="64"/>
      <c r="AG943" s="64"/>
      <c r="AH943" s="64"/>
      <c r="AI943" s="64"/>
      <c r="AJ943" s="64"/>
    </row>
    <row r="944">
      <c r="A944" s="64"/>
      <c r="B944" s="64"/>
      <c r="C944" s="64"/>
      <c r="D944" s="64"/>
      <c r="E944" s="64"/>
      <c r="F944" s="64"/>
      <c r="G944" s="64"/>
      <c r="H944" s="64"/>
      <c r="I944" s="64"/>
      <c r="J944" s="64"/>
      <c r="K944" s="64"/>
      <c r="L944" s="64"/>
      <c r="M944" s="60"/>
      <c r="N944" s="60"/>
      <c r="O944" s="60"/>
      <c r="P944" s="60"/>
      <c r="Q944" s="64"/>
      <c r="R944" s="64"/>
      <c r="S944" s="64"/>
      <c r="T944" s="64"/>
      <c r="U944" s="64"/>
      <c r="V944" s="64"/>
      <c r="W944" s="64"/>
      <c r="X944" s="64"/>
      <c r="Y944" s="64"/>
      <c r="Z944" s="64"/>
      <c r="AA944" s="64"/>
      <c r="AB944" s="64"/>
      <c r="AC944" s="64"/>
      <c r="AD944" s="64"/>
      <c r="AE944" s="64"/>
      <c r="AF944" s="64"/>
      <c r="AG944" s="64"/>
      <c r="AH944" s="64"/>
      <c r="AI944" s="64"/>
      <c r="AJ944" s="64"/>
    </row>
    <row r="945">
      <c r="A945" s="64"/>
      <c r="B945" s="64"/>
      <c r="C945" s="64"/>
      <c r="D945" s="64"/>
      <c r="E945" s="64"/>
      <c r="F945" s="64"/>
      <c r="G945" s="64"/>
      <c r="H945" s="64"/>
      <c r="I945" s="64"/>
      <c r="J945" s="64"/>
      <c r="K945" s="64"/>
      <c r="L945" s="64"/>
      <c r="M945" s="60"/>
      <c r="N945" s="60"/>
      <c r="O945" s="60"/>
      <c r="P945" s="60"/>
      <c r="Q945" s="64"/>
      <c r="R945" s="64"/>
      <c r="S945" s="64"/>
      <c r="T945" s="64"/>
      <c r="U945" s="64"/>
      <c r="V945" s="64"/>
      <c r="W945" s="64"/>
      <c r="X945" s="64"/>
      <c r="Y945" s="64"/>
      <c r="Z945" s="64"/>
      <c r="AA945" s="64"/>
      <c r="AB945" s="64"/>
      <c r="AC945" s="64"/>
      <c r="AD945" s="64"/>
      <c r="AE945" s="64"/>
      <c r="AF945" s="64"/>
      <c r="AG945" s="64"/>
      <c r="AH945" s="64"/>
      <c r="AI945" s="64"/>
      <c r="AJ945" s="64"/>
    </row>
    <row r="946">
      <c r="A946" s="64"/>
      <c r="B946" s="64"/>
      <c r="C946" s="64"/>
      <c r="D946" s="64"/>
      <c r="E946" s="64"/>
      <c r="F946" s="64"/>
      <c r="G946" s="64"/>
      <c r="H946" s="64"/>
      <c r="I946" s="64"/>
      <c r="J946" s="64"/>
      <c r="K946" s="64"/>
      <c r="L946" s="64"/>
      <c r="M946" s="60"/>
      <c r="N946" s="60"/>
      <c r="O946" s="60"/>
      <c r="P946" s="60"/>
      <c r="Q946" s="64"/>
      <c r="R946" s="64"/>
      <c r="S946" s="64"/>
      <c r="T946" s="64"/>
      <c r="U946" s="64"/>
      <c r="V946" s="64"/>
      <c r="W946" s="64"/>
      <c r="X946" s="64"/>
      <c r="Y946" s="64"/>
      <c r="Z946" s="64"/>
      <c r="AA946" s="64"/>
      <c r="AB946" s="64"/>
      <c r="AC946" s="64"/>
      <c r="AD946" s="64"/>
      <c r="AE946" s="64"/>
      <c r="AF946" s="64"/>
      <c r="AG946" s="64"/>
      <c r="AH946" s="64"/>
      <c r="AI946" s="64"/>
      <c r="AJ946" s="64"/>
    </row>
    <row r="947">
      <c r="A947" s="64"/>
      <c r="B947" s="64"/>
      <c r="C947" s="64"/>
      <c r="D947" s="64"/>
      <c r="E947" s="64"/>
      <c r="F947" s="64"/>
      <c r="G947" s="64"/>
      <c r="H947" s="64"/>
      <c r="I947" s="64"/>
      <c r="J947" s="64"/>
      <c r="K947" s="64"/>
      <c r="L947" s="64"/>
      <c r="M947" s="60"/>
      <c r="N947" s="60"/>
      <c r="O947" s="60"/>
      <c r="P947" s="60"/>
      <c r="Q947" s="64"/>
      <c r="R947" s="64"/>
      <c r="S947" s="64"/>
      <c r="T947" s="64"/>
      <c r="U947" s="64"/>
      <c r="V947" s="64"/>
      <c r="W947" s="64"/>
      <c r="X947" s="64"/>
      <c r="Y947" s="64"/>
      <c r="Z947" s="64"/>
      <c r="AA947" s="64"/>
      <c r="AB947" s="64"/>
      <c r="AC947" s="64"/>
      <c r="AD947" s="64"/>
      <c r="AE947" s="64"/>
      <c r="AF947" s="64"/>
      <c r="AG947" s="64"/>
      <c r="AH947" s="64"/>
      <c r="AI947" s="64"/>
      <c r="AJ947" s="64"/>
    </row>
    <row r="948">
      <c r="A948" s="64"/>
      <c r="B948" s="64"/>
      <c r="C948" s="64"/>
      <c r="D948" s="64"/>
      <c r="E948" s="64"/>
      <c r="F948" s="64"/>
      <c r="G948" s="64"/>
      <c r="H948" s="64"/>
      <c r="I948" s="64"/>
      <c r="J948" s="64"/>
      <c r="K948" s="64"/>
      <c r="L948" s="64"/>
      <c r="M948" s="60"/>
      <c r="N948" s="60"/>
      <c r="O948" s="60"/>
      <c r="P948" s="60"/>
      <c r="Q948" s="64"/>
      <c r="R948" s="64"/>
      <c r="S948" s="64"/>
      <c r="T948" s="64"/>
      <c r="U948" s="64"/>
      <c r="V948" s="64"/>
      <c r="W948" s="64"/>
      <c r="X948" s="64"/>
      <c r="Y948" s="64"/>
      <c r="Z948" s="64"/>
      <c r="AA948" s="64"/>
      <c r="AB948" s="64"/>
      <c r="AC948" s="64"/>
      <c r="AD948" s="64"/>
      <c r="AE948" s="64"/>
      <c r="AF948" s="64"/>
      <c r="AG948" s="64"/>
      <c r="AH948" s="64"/>
      <c r="AI948" s="64"/>
      <c r="AJ948" s="64"/>
    </row>
    <row r="949">
      <c r="A949" s="64"/>
      <c r="B949" s="64"/>
      <c r="C949" s="64"/>
      <c r="D949" s="64"/>
      <c r="E949" s="64"/>
      <c r="F949" s="64"/>
      <c r="G949" s="64"/>
      <c r="H949" s="64"/>
      <c r="I949" s="64"/>
      <c r="J949" s="64"/>
      <c r="K949" s="64"/>
      <c r="L949" s="64"/>
      <c r="M949" s="60"/>
      <c r="N949" s="60"/>
      <c r="O949" s="60"/>
      <c r="P949" s="60"/>
      <c r="Q949" s="64"/>
      <c r="R949" s="64"/>
      <c r="S949" s="64"/>
      <c r="T949" s="64"/>
      <c r="U949" s="64"/>
      <c r="V949" s="64"/>
      <c r="W949" s="64"/>
      <c r="X949" s="64"/>
      <c r="Y949" s="64"/>
      <c r="Z949" s="64"/>
      <c r="AA949" s="64"/>
      <c r="AB949" s="64"/>
      <c r="AC949" s="64"/>
      <c r="AD949" s="64"/>
      <c r="AE949" s="64"/>
      <c r="AF949" s="64"/>
      <c r="AG949" s="64"/>
      <c r="AH949" s="64"/>
      <c r="AI949" s="64"/>
      <c r="AJ949" s="64"/>
    </row>
    <row r="950">
      <c r="A950" s="64"/>
      <c r="B950" s="64"/>
      <c r="C950" s="64"/>
      <c r="D950" s="64"/>
      <c r="E950" s="64"/>
      <c r="F950" s="64"/>
      <c r="G950" s="64"/>
      <c r="H950" s="64"/>
      <c r="I950" s="64"/>
      <c r="J950" s="64"/>
      <c r="K950" s="64"/>
      <c r="L950" s="64"/>
      <c r="M950" s="60"/>
      <c r="N950" s="60"/>
      <c r="O950" s="60"/>
      <c r="P950" s="60"/>
      <c r="Q950" s="64"/>
      <c r="R950" s="64"/>
      <c r="S950" s="64"/>
      <c r="T950" s="64"/>
      <c r="U950" s="64"/>
      <c r="V950" s="64"/>
      <c r="W950" s="64"/>
      <c r="X950" s="64"/>
      <c r="Y950" s="64"/>
      <c r="Z950" s="64"/>
      <c r="AA950" s="64"/>
      <c r="AB950" s="64"/>
      <c r="AC950" s="64"/>
      <c r="AD950" s="64"/>
      <c r="AE950" s="64"/>
      <c r="AF950" s="64"/>
      <c r="AG950" s="64"/>
      <c r="AH950" s="64"/>
      <c r="AI950" s="64"/>
      <c r="AJ950" s="64"/>
    </row>
    <row r="951">
      <c r="A951" s="64"/>
      <c r="B951" s="64"/>
      <c r="C951" s="64"/>
      <c r="D951" s="64"/>
      <c r="E951" s="64"/>
      <c r="F951" s="64"/>
      <c r="G951" s="64"/>
      <c r="H951" s="64"/>
      <c r="I951" s="64"/>
      <c r="J951" s="64"/>
      <c r="K951" s="64"/>
      <c r="L951" s="64"/>
      <c r="M951" s="60"/>
      <c r="N951" s="60"/>
      <c r="O951" s="60"/>
      <c r="P951" s="60"/>
      <c r="Q951" s="64"/>
      <c r="R951" s="64"/>
      <c r="S951" s="64"/>
      <c r="T951" s="64"/>
      <c r="U951" s="64"/>
      <c r="V951" s="64"/>
      <c r="W951" s="64"/>
      <c r="X951" s="64"/>
      <c r="Y951" s="64"/>
      <c r="Z951" s="64"/>
      <c r="AA951" s="64"/>
      <c r="AB951" s="64"/>
      <c r="AC951" s="64"/>
      <c r="AD951" s="64"/>
      <c r="AE951" s="64"/>
      <c r="AF951" s="64"/>
      <c r="AG951" s="64"/>
      <c r="AH951" s="64"/>
      <c r="AI951" s="64"/>
      <c r="AJ951" s="64"/>
    </row>
    <row r="952">
      <c r="A952" s="64"/>
      <c r="B952" s="64"/>
      <c r="C952" s="64"/>
      <c r="D952" s="64"/>
      <c r="E952" s="64"/>
      <c r="F952" s="64"/>
      <c r="G952" s="64"/>
      <c r="H952" s="64"/>
      <c r="I952" s="64"/>
      <c r="J952" s="64"/>
      <c r="K952" s="64"/>
      <c r="L952" s="64"/>
      <c r="M952" s="60"/>
      <c r="N952" s="60"/>
      <c r="O952" s="60"/>
      <c r="P952" s="60"/>
      <c r="Q952" s="64"/>
      <c r="R952" s="64"/>
      <c r="S952" s="64"/>
      <c r="T952" s="64"/>
      <c r="U952" s="64"/>
      <c r="V952" s="64"/>
      <c r="W952" s="64"/>
      <c r="X952" s="64"/>
      <c r="Y952" s="64"/>
      <c r="Z952" s="64"/>
      <c r="AA952" s="64"/>
      <c r="AB952" s="64"/>
      <c r="AC952" s="64"/>
      <c r="AD952" s="64"/>
      <c r="AE952" s="64"/>
      <c r="AF952" s="64"/>
      <c r="AG952" s="64"/>
      <c r="AH952" s="64"/>
      <c r="AI952" s="64"/>
      <c r="AJ952" s="64"/>
    </row>
    <row r="953">
      <c r="A953" s="64"/>
      <c r="B953" s="64"/>
      <c r="C953" s="64"/>
      <c r="D953" s="64"/>
      <c r="E953" s="64"/>
      <c r="F953" s="64"/>
      <c r="G953" s="64"/>
      <c r="H953" s="64"/>
      <c r="I953" s="64"/>
      <c r="J953" s="64"/>
      <c r="K953" s="64"/>
      <c r="L953" s="64"/>
      <c r="M953" s="60"/>
      <c r="N953" s="60"/>
      <c r="O953" s="60"/>
      <c r="P953" s="60"/>
      <c r="Q953" s="64"/>
      <c r="R953" s="64"/>
      <c r="S953" s="64"/>
      <c r="T953" s="64"/>
      <c r="U953" s="64"/>
      <c r="V953" s="64"/>
      <c r="W953" s="64"/>
      <c r="X953" s="64"/>
      <c r="Y953" s="64"/>
      <c r="Z953" s="64"/>
      <c r="AA953" s="64"/>
      <c r="AB953" s="64"/>
      <c r="AC953" s="64"/>
      <c r="AD953" s="64"/>
      <c r="AE953" s="64"/>
      <c r="AF953" s="64"/>
      <c r="AG953" s="64"/>
      <c r="AH953" s="64"/>
      <c r="AI953" s="64"/>
      <c r="AJ953" s="64"/>
    </row>
    <row r="954">
      <c r="A954" s="64"/>
      <c r="B954" s="64"/>
      <c r="C954" s="64"/>
      <c r="D954" s="64"/>
      <c r="E954" s="64"/>
      <c r="F954" s="64"/>
      <c r="G954" s="64"/>
      <c r="H954" s="64"/>
      <c r="I954" s="64"/>
      <c r="J954" s="64"/>
      <c r="K954" s="64"/>
      <c r="L954" s="64"/>
      <c r="M954" s="60"/>
      <c r="N954" s="60"/>
      <c r="O954" s="60"/>
      <c r="P954" s="60"/>
      <c r="Q954" s="64"/>
      <c r="R954" s="64"/>
      <c r="S954" s="64"/>
      <c r="T954" s="64"/>
      <c r="U954" s="64"/>
      <c r="V954" s="64"/>
      <c r="W954" s="64"/>
      <c r="X954" s="64"/>
      <c r="Y954" s="64"/>
      <c r="Z954" s="64"/>
      <c r="AA954" s="64"/>
      <c r="AB954" s="64"/>
      <c r="AC954" s="64"/>
      <c r="AD954" s="64"/>
      <c r="AE954" s="64"/>
      <c r="AF954" s="64"/>
      <c r="AG954" s="64"/>
      <c r="AH954" s="64"/>
      <c r="AI954" s="64"/>
      <c r="AJ954" s="64"/>
    </row>
    <row r="955">
      <c r="A955" s="64"/>
      <c r="B955" s="64"/>
      <c r="C955" s="64"/>
      <c r="D955" s="64"/>
      <c r="E955" s="64"/>
      <c r="F955" s="64"/>
      <c r="G955" s="64"/>
      <c r="H955" s="64"/>
      <c r="I955" s="64"/>
      <c r="J955" s="64"/>
      <c r="K955" s="64"/>
      <c r="L955" s="64"/>
      <c r="M955" s="60"/>
      <c r="N955" s="60"/>
      <c r="O955" s="60"/>
      <c r="P955" s="60"/>
      <c r="Q955" s="64"/>
      <c r="R955" s="64"/>
      <c r="S955" s="64"/>
      <c r="T955" s="64"/>
      <c r="U955" s="64"/>
      <c r="V955" s="64"/>
      <c r="W955" s="64"/>
      <c r="X955" s="64"/>
      <c r="Y955" s="64"/>
      <c r="Z955" s="64"/>
      <c r="AA955" s="64"/>
      <c r="AB955" s="64"/>
      <c r="AC955" s="64"/>
      <c r="AD955" s="64"/>
      <c r="AE955" s="64"/>
      <c r="AF955" s="64"/>
      <c r="AG955" s="64"/>
      <c r="AH955" s="64"/>
      <c r="AI955" s="64"/>
      <c r="AJ955" s="64"/>
    </row>
    <row r="956">
      <c r="A956" s="64"/>
      <c r="B956" s="64"/>
      <c r="C956" s="64"/>
      <c r="D956" s="64"/>
      <c r="E956" s="64"/>
      <c r="F956" s="64"/>
      <c r="G956" s="64"/>
      <c r="H956" s="64"/>
      <c r="I956" s="64"/>
      <c r="J956" s="64"/>
      <c r="K956" s="64"/>
      <c r="L956" s="64"/>
      <c r="M956" s="60"/>
      <c r="N956" s="60"/>
      <c r="O956" s="60"/>
      <c r="P956" s="60"/>
      <c r="Q956" s="64"/>
      <c r="R956" s="64"/>
      <c r="S956" s="64"/>
      <c r="T956" s="64"/>
      <c r="U956" s="64"/>
      <c r="V956" s="64"/>
      <c r="W956" s="64"/>
      <c r="X956" s="64"/>
      <c r="Y956" s="64"/>
      <c r="Z956" s="64"/>
      <c r="AA956" s="64"/>
      <c r="AB956" s="64"/>
      <c r="AC956" s="64"/>
      <c r="AD956" s="64"/>
      <c r="AE956" s="64"/>
      <c r="AF956" s="64"/>
      <c r="AG956" s="64"/>
      <c r="AH956" s="64"/>
      <c r="AI956" s="64"/>
      <c r="AJ956" s="64"/>
    </row>
    <row r="957">
      <c r="A957" s="64"/>
      <c r="B957" s="64"/>
      <c r="C957" s="64"/>
      <c r="D957" s="64"/>
      <c r="E957" s="64"/>
      <c r="F957" s="64"/>
      <c r="G957" s="64"/>
      <c r="H957" s="64"/>
      <c r="I957" s="64"/>
      <c r="J957" s="64"/>
      <c r="K957" s="64"/>
      <c r="L957" s="64"/>
      <c r="M957" s="60"/>
      <c r="N957" s="60"/>
      <c r="O957" s="60"/>
      <c r="P957" s="60"/>
      <c r="Q957" s="64"/>
      <c r="R957" s="64"/>
      <c r="S957" s="64"/>
      <c r="T957" s="64"/>
      <c r="U957" s="64"/>
      <c r="V957" s="64"/>
      <c r="W957" s="64"/>
      <c r="X957" s="64"/>
      <c r="Y957" s="64"/>
      <c r="Z957" s="64"/>
      <c r="AA957" s="64"/>
      <c r="AB957" s="64"/>
      <c r="AC957" s="64"/>
      <c r="AD957" s="64"/>
      <c r="AE957" s="64"/>
      <c r="AF957" s="64"/>
      <c r="AG957" s="64"/>
      <c r="AH957" s="64"/>
      <c r="AI957" s="64"/>
      <c r="AJ957" s="64"/>
    </row>
    <row r="958">
      <c r="A958" s="64"/>
      <c r="B958" s="64"/>
      <c r="C958" s="64"/>
      <c r="D958" s="64"/>
      <c r="E958" s="64"/>
      <c r="F958" s="64"/>
      <c r="G958" s="64"/>
      <c r="H958" s="64"/>
      <c r="I958" s="64"/>
      <c r="J958" s="64"/>
      <c r="K958" s="64"/>
      <c r="L958" s="64"/>
      <c r="M958" s="60"/>
      <c r="N958" s="60"/>
      <c r="O958" s="60"/>
      <c r="P958" s="60"/>
      <c r="Q958" s="64"/>
      <c r="R958" s="64"/>
      <c r="S958" s="64"/>
      <c r="T958" s="64"/>
      <c r="U958" s="64"/>
      <c r="V958" s="64"/>
      <c r="W958" s="64"/>
      <c r="X958" s="64"/>
      <c r="Y958" s="64"/>
      <c r="Z958" s="64"/>
      <c r="AA958" s="64"/>
      <c r="AB958" s="64"/>
      <c r="AC958" s="64"/>
      <c r="AD958" s="64"/>
      <c r="AE958" s="64"/>
      <c r="AF958" s="64"/>
      <c r="AG958" s="64"/>
      <c r="AH958" s="64"/>
      <c r="AI958" s="64"/>
      <c r="AJ958" s="64"/>
    </row>
    <row r="959">
      <c r="A959" s="64"/>
      <c r="B959" s="64"/>
      <c r="C959" s="64"/>
      <c r="D959" s="64"/>
      <c r="E959" s="64"/>
      <c r="F959" s="64"/>
      <c r="G959" s="64"/>
      <c r="H959" s="64"/>
      <c r="I959" s="64"/>
      <c r="J959" s="64"/>
      <c r="K959" s="64"/>
      <c r="L959" s="64"/>
      <c r="M959" s="60"/>
      <c r="N959" s="60"/>
      <c r="O959" s="60"/>
      <c r="P959" s="60"/>
      <c r="Q959" s="64"/>
      <c r="R959" s="64"/>
      <c r="S959" s="64"/>
      <c r="T959" s="64"/>
      <c r="U959" s="64"/>
      <c r="V959" s="64"/>
      <c r="W959" s="64"/>
      <c r="X959" s="64"/>
      <c r="Y959" s="64"/>
      <c r="Z959" s="64"/>
      <c r="AA959" s="64"/>
      <c r="AB959" s="64"/>
      <c r="AC959" s="64"/>
      <c r="AD959" s="64"/>
      <c r="AE959" s="64"/>
      <c r="AF959" s="64"/>
      <c r="AG959" s="64"/>
      <c r="AH959" s="64"/>
      <c r="AI959" s="64"/>
      <c r="AJ959" s="64"/>
    </row>
    <row r="960">
      <c r="A960" s="64"/>
      <c r="B960" s="64"/>
      <c r="C960" s="64"/>
      <c r="D960" s="64"/>
      <c r="E960" s="64"/>
      <c r="F960" s="64"/>
      <c r="G960" s="64"/>
      <c r="H960" s="64"/>
      <c r="I960" s="64"/>
      <c r="J960" s="64"/>
      <c r="K960" s="64"/>
      <c r="L960" s="64"/>
      <c r="M960" s="60"/>
      <c r="N960" s="60"/>
      <c r="O960" s="60"/>
      <c r="P960" s="60"/>
      <c r="Q960" s="64"/>
      <c r="R960" s="64"/>
      <c r="S960" s="64"/>
      <c r="T960" s="64"/>
      <c r="U960" s="64"/>
      <c r="V960" s="64"/>
      <c r="W960" s="64"/>
      <c r="X960" s="64"/>
      <c r="Y960" s="64"/>
      <c r="Z960" s="64"/>
      <c r="AA960" s="64"/>
      <c r="AB960" s="64"/>
      <c r="AC960" s="64"/>
      <c r="AD960" s="64"/>
      <c r="AE960" s="64"/>
      <c r="AF960" s="64"/>
      <c r="AG960" s="64"/>
      <c r="AH960" s="64"/>
      <c r="AI960" s="64"/>
      <c r="AJ960" s="64"/>
    </row>
    <row r="961">
      <c r="A961" s="64"/>
      <c r="B961" s="64"/>
      <c r="C961" s="64"/>
      <c r="D961" s="64"/>
      <c r="E961" s="64"/>
      <c r="F961" s="64"/>
      <c r="G961" s="64"/>
      <c r="H961" s="64"/>
      <c r="I961" s="64"/>
      <c r="J961" s="64"/>
      <c r="K961" s="64"/>
      <c r="L961" s="64"/>
      <c r="M961" s="60"/>
      <c r="N961" s="60"/>
      <c r="O961" s="60"/>
      <c r="P961" s="60"/>
      <c r="Q961" s="64"/>
      <c r="R961" s="64"/>
      <c r="S961" s="64"/>
      <c r="T961" s="64"/>
      <c r="U961" s="64"/>
      <c r="V961" s="64"/>
      <c r="W961" s="64"/>
      <c r="X961" s="64"/>
      <c r="Y961" s="64"/>
      <c r="Z961" s="64"/>
      <c r="AA961" s="64"/>
      <c r="AB961" s="64"/>
      <c r="AC961" s="64"/>
      <c r="AD961" s="64"/>
      <c r="AE961" s="64"/>
      <c r="AF961" s="64"/>
      <c r="AG961" s="64"/>
      <c r="AH961" s="64"/>
      <c r="AI961" s="64"/>
      <c r="AJ961" s="64"/>
    </row>
    <row r="962">
      <c r="A962" s="64"/>
      <c r="B962" s="64"/>
      <c r="C962" s="64"/>
      <c r="D962" s="64"/>
      <c r="E962" s="64"/>
      <c r="F962" s="64"/>
      <c r="G962" s="64"/>
      <c r="H962" s="64"/>
      <c r="I962" s="64"/>
      <c r="J962" s="64"/>
      <c r="K962" s="64"/>
      <c r="L962" s="64"/>
      <c r="M962" s="60"/>
      <c r="N962" s="60"/>
      <c r="O962" s="60"/>
      <c r="P962" s="60"/>
      <c r="Q962" s="64"/>
      <c r="R962" s="64"/>
      <c r="S962" s="64"/>
      <c r="T962" s="64"/>
      <c r="U962" s="64"/>
      <c r="V962" s="64"/>
      <c r="W962" s="64"/>
      <c r="X962" s="64"/>
      <c r="Y962" s="64"/>
      <c r="Z962" s="64"/>
      <c r="AA962" s="64"/>
      <c r="AB962" s="64"/>
      <c r="AC962" s="64"/>
      <c r="AD962" s="64"/>
      <c r="AE962" s="64"/>
      <c r="AF962" s="64"/>
      <c r="AG962" s="64"/>
      <c r="AH962" s="64"/>
      <c r="AI962" s="64"/>
      <c r="AJ962" s="64"/>
    </row>
    <row r="963">
      <c r="A963" s="64"/>
      <c r="B963" s="64"/>
      <c r="C963" s="64"/>
      <c r="D963" s="64"/>
      <c r="E963" s="64"/>
      <c r="F963" s="64"/>
      <c r="G963" s="64"/>
      <c r="H963" s="64"/>
      <c r="I963" s="64"/>
      <c r="J963" s="64"/>
      <c r="K963" s="64"/>
      <c r="L963" s="64"/>
      <c r="M963" s="60"/>
      <c r="N963" s="60"/>
      <c r="O963" s="60"/>
      <c r="P963" s="60"/>
      <c r="Q963" s="64"/>
      <c r="R963" s="64"/>
      <c r="S963" s="64"/>
      <c r="T963" s="64"/>
      <c r="U963" s="64"/>
      <c r="V963" s="64"/>
      <c r="W963" s="64"/>
      <c r="X963" s="64"/>
      <c r="Y963" s="64"/>
      <c r="Z963" s="64"/>
      <c r="AA963" s="64"/>
      <c r="AB963" s="64"/>
      <c r="AC963" s="64"/>
      <c r="AD963" s="64"/>
      <c r="AE963" s="64"/>
      <c r="AF963" s="64"/>
      <c r="AG963" s="64"/>
      <c r="AH963" s="64"/>
      <c r="AI963" s="64"/>
      <c r="AJ963" s="64"/>
    </row>
    <row r="964">
      <c r="A964" s="64"/>
      <c r="B964" s="64"/>
      <c r="C964" s="64"/>
      <c r="D964" s="64"/>
      <c r="E964" s="64"/>
      <c r="F964" s="64"/>
      <c r="G964" s="64"/>
      <c r="H964" s="64"/>
      <c r="I964" s="64"/>
      <c r="J964" s="64"/>
      <c r="K964" s="64"/>
      <c r="L964" s="64"/>
      <c r="M964" s="60"/>
      <c r="N964" s="60"/>
      <c r="O964" s="60"/>
      <c r="P964" s="60"/>
      <c r="Q964" s="64"/>
      <c r="R964" s="64"/>
      <c r="S964" s="64"/>
      <c r="T964" s="64"/>
      <c r="U964" s="64"/>
      <c r="V964" s="64"/>
      <c r="W964" s="64"/>
      <c r="X964" s="64"/>
      <c r="Y964" s="64"/>
      <c r="Z964" s="64"/>
      <c r="AA964" s="64"/>
      <c r="AB964" s="64"/>
      <c r="AC964" s="64"/>
      <c r="AD964" s="64"/>
      <c r="AE964" s="64"/>
      <c r="AF964" s="64"/>
      <c r="AG964" s="64"/>
      <c r="AH964" s="64"/>
      <c r="AI964" s="64"/>
      <c r="AJ964" s="64"/>
    </row>
    <row r="965">
      <c r="A965" s="64"/>
      <c r="B965" s="64"/>
      <c r="C965" s="64"/>
      <c r="D965" s="64"/>
      <c r="E965" s="64"/>
      <c r="F965" s="64"/>
      <c r="G965" s="64"/>
      <c r="H965" s="64"/>
      <c r="I965" s="64"/>
      <c r="J965" s="64"/>
      <c r="K965" s="64"/>
      <c r="L965" s="64"/>
      <c r="M965" s="60"/>
      <c r="N965" s="60"/>
      <c r="O965" s="60"/>
      <c r="P965" s="60"/>
      <c r="Q965" s="64"/>
      <c r="R965" s="64"/>
      <c r="S965" s="64"/>
      <c r="T965" s="64"/>
      <c r="U965" s="64"/>
      <c r="V965" s="64"/>
      <c r="W965" s="64"/>
      <c r="X965" s="64"/>
      <c r="Y965" s="64"/>
      <c r="Z965" s="64"/>
      <c r="AA965" s="64"/>
      <c r="AB965" s="64"/>
      <c r="AC965" s="64"/>
      <c r="AD965" s="64"/>
      <c r="AE965" s="64"/>
      <c r="AF965" s="64"/>
      <c r="AG965" s="64"/>
      <c r="AH965" s="64"/>
      <c r="AI965" s="64"/>
      <c r="AJ965" s="64"/>
    </row>
    <row r="966">
      <c r="A966" s="64"/>
      <c r="B966" s="64"/>
      <c r="C966" s="64"/>
      <c r="D966" s="64"/>
      <c r="E966" s="64"/>
      <c r="F966" s="64"/>
      <c r="G966" s="64"/>
      <c r="H966" s="64"/>
      <c r="I966" s="64"/>
      <c r="J966" s="64"/>
      <c r="K966" s="64"/>
      <c r="L966" s="64"/>
      <c r="M966" s="60"/>
      <c r="N966" s="60"/>
      <c r="O966" s="60"/>
      <c r="P966" s="60"/>
      <c r="Q966" s="64"/>
      <c r="R966" s="64"/>
      <c r="S966" s="64"/>
      <c r="T966" s="64"/>
      <c r="U966" s="64"/>
      <c r="V966" s="64"/>
      <c r="W966" s="64"/>
      <c r="X966" s="64"/>
      <c r="Y966" s="64"/>
      <c r="Z966" s="64"/>
      <c r="AA966" s="64"/>
      <c r="AB966" s="64"/>
      <c r="AC966" s="64"/>
      <c r="AD966" s="64"/>
      <c r="AE966" s="64"/>
      <c r="AF966" s="64"/>
      <c r="AG966" s="64"/>
      <c r="AH966" s="64"/>
      <c r="AI966" s="64"/>
      <c r="AJ966" s="64"/>
    </row>
    <row r="967">
      <c r="A967" s="64"/>
      <c r="B967" s="64"/>
      <c r="C967" s="64"/>
      <c r="D967" s="64"/>
      <c r="E967" s="64"/>
      <c r="F967" s="64"/>
      <c r="G967" s="64"/>
      <c r="H967" s="64"/>
      <c r="I967" s="64"/>
      <c r="J967" s="64"/>
      <c r="K967" s="64"/>
      <c r="L967" s="64"/>
      <c r="M967" s="60"/>
      <c r="N967" s="60"/>
      <c r="O967" s="60"/>
      <c r="P967" s="60"/>
      <c r="Q967" s="64"/>
      <c r="R967" s="64"/>
      <c r="S967" s="64"/>
      <c r="T967" s="64"/>
      <c r="U967" s="64"/>
      <c r="V967" s="64"/>
      <c r="W967" s="64"/>
      <c r="X967" s="64"/>
      <c r="Y967" s="64"/>
      <c r="Z967" s="64"/>
      <c r="AA967" s="64"/>
      <c r="AB967" s="64"/>
      <c r="AC967" s="64"/>
      <c r="AD967" s="64"/>
      <c r="AE967" s="64"/>
      <c r="AF967" s="64"/>
      <c r="AG967" s="64"/>
      <c r="AH967" s="64"/>
      <c r="AI967" s="64"/>
      <c r="AJ967" s="64"/>
    </row>
    <row r="968">
      <c r="A968" s="64"/>
      <c r="B968" s="64"/>
      <c r="C968" s="64"/>
      <c r="D968" s="64"/>
      <c r="E968" s="64"/>
      <c r="F968" s="64"/>
      <c r="G968" s="64"/>
      <c r="H968" s="64"/>
      <c r="I968" s="64"/>
      <c r="J968" s="64"/>
      <c r="K968" s="64"/>
      <c r="L968" s="64"/>
      <c r="M968" s="60"/>
      <c r="N968" s="60"/>
      <c r="O968" s="60"/>
      <c r="P968" s="60"/>
      <c r="Q968" s="64"/>
      <c r="R968" s="64"/>
      <c r="S968" s="64"/>
      <c r="T968" s="64"/>
      <c r="U968" s="64"/>
      <c r="V968" s="64"/>
      <c r="W968" s="64"/>
      <c r="X968" s="64"/>
      <c r="Y968" s="64"/>
      <c r="Z968" s="64"/>
      <c r="AA968" s="64"/>
      <c r="AB968" s="64"/>
      <c r="AC968" s="64"/>
      <c r="AD968" s="64"/>
      <c r="AE968" s="64"/>
      <c r="AF968" s="64"/>
      <c r="AG968" s="64"/>
      <c r="AH968" s="64"/>
      <c r="AI968" s="64"/>
      <c r="AJ968" s="64"/>
    </row>
    <row r="969">
      <c r="A969" s="64"/>
      <c r="B969" s="64"/>
      <c r="C969" s="64"/>
      <c r="D969" s="64"/>
      <c r="E969" s="64"/>
      <c r="F969" s="64"/>
      <c r="G969" s="64"/>
      <c r="H969" s="64"/>
      <c r="I969" s="64"/>
      <c r="J969" s="64"/>
      <c r="K969" s="64"/>
      <c r="L969" s="64"/>
      <c r="M969" s="60"/>
      <c r="N969" s="60"/>
      <c r="O969" s="60"/>
      <c r="P969" s="60"/>
      <c r="Q969" s="64"/>
      <c r="R969" s="64"/>
      <c r="S969" s="64"/>
      <c r="T969" s="64"/>
      <c r="U969" s="64"/>
      <c r="V969" s="64"/>
      <c r="W969" s="64"/>
      <c r="X969" s="64"/>
      <c r="Y969" s="64"/>
      <c r="Z969" s="64"/>
      <c r="AA969" s="64"/>
      <c r="AB969" s="64"/>
      <c r="AC969" s="64"/>
      <c r="AD969" s="64"/>
      <c r="AE969" s="64"/>
      <c r="AF969" s="64"/>
      <c r="AG969" s="64"/>
      <c r="AH969" s="64"/>
      <c r="AI969" s="64"/>
      <c r="AJ969" s="64"/>
    </row>
    <row r="970">
      <c r="A970" s="64"/>
      <c r="B970" s="64"/>
      <c r="C970" s="64"/>
      <c r="D970" s="64"/>
      <c r="E970" s="64"/>
      <c r="F970" s="64"/>
      <c r="G970" s="64"/>
      <c r="H970" s="64"/>
      <c r="I970" s="64"/>
      <c r="J970" s="64"/>
      <c r="K970" s="64"/>
      <c r="L970" s="64"/>
      <c r="M970" s="60"/>
      <c r="N970" s="60"/>
      <c r="O970" s="60"/>
      <c r="P970" s="60"/>
      <c r="Q970" s="64"/>
      <c r="R970" s="64"/>
      <c r="S970" s="64"/>
      <c r="T970" s="64"/>
      <c r="U970" s="64"/>
      <c r="V970" s="64"/>
      <c r="W970" s="64"/>
      <c r="X970" s="64"/>
      <c r="Y970" s="64"/>
      <c r="Z970" s="64"/>
      <c r="AA970" s="64"/>
      <c r="AB970" s="64"/>
      <c r="AC970" s="64"/>
      <c r="AD970" s="64"/>
      <c r="AE970" s="64"/>
      <c r="AF970" s="64"/>
      <c r="AG970" s="64"/>
      <c r="AH970" s="64"/>
      <c r="AI970" s="64"/>
      <c r="AJ970" s="64"/>
    </row>
    <row r="971">
      <c r="A971" s="64"/>
      <c r="B971" s="64"/>
      <c r="C971" s="64"/>
      <c r="D971" s="64"/>
      <c r="E971" s="64"/>
      <c r="F971" s="64"/>
      <c r="G971" s="64"/>
      <c r="H971" s="64"/>
      <c r="I971" s="64"/>
      <c r="J971" s="64"/>
      <c r="K971" s="64"/>
      <c r="L971" s="64"/>
      <c r="M971" s="60"/>
      <c r="N971" s="60"/>
      <c r="O971" s="60"/>
      <c r="P971" s="60"/>
      <c r="Q971" s="64"/>
      <c r="R971" s="64"/>
      <c r="S971" s="64"/>
      <c r="T971" s="64"/>
      <c r="U971" s="64"/>
      <c r="V971" s="64"/>
      <c r="W971" s="64"/>
      <c r="X971" s="64"/>
      <c r="Y971" s="64"/>
      <c r="Z971" s="64"/>
      <c r="AA971" s="64"/>
      <c r="AB971" s="64"/>
      <c r="AC971" s="64"/>
      <c r="AD971" s="64"/>
      <c r="AE971" s="64"/>
      <c r="AF971" s="64"/>
      <c r="AG971" s="64"/>
      <c r="AH971" s="64"/>
      <c r="AI971" s="64"/>
      <c r="AJ971" s="64"/>
    </row>
    <row r="972">
      <c r="A972" s="64"/>
      <c r="B972" s="64"/>
      <c r="C972" s="64"/>
      <c r="D972" s="64"/>
      <c r="E972" s="64"/>
      <c r="F972" s="64"/>
      <c r="G972" s="64"/>
      <c r="H972" s="64"/>
      <c r="I972" s="64"/>
      <c r="J972" s="64"/>
      <c r="K972" s="64"/>
      <c r="L972" s="64"/>
      <c r="M972" s="60"/>
      <c r="N972" s="60"/>
      <c r="O972" s="60"/>
      <c r="P972" s="60"/>
      <c r="Q972" s="64"/>
      <c r="R972" s="64"/>
      <c r="S972" s="64"/>
      <c r="T972" s="64"/>
      <c r="U972" s="64"/>
      <c r="V972" s="64"/>
      <c r="W972" s="64"/>
      <c r="X972" s="64"/>
      <c r="Y972" s="64"/>
      <c r="Z972" s="64"/>
      <c r="AA972" s="64"/>
      <c r="AB972" s="64"/>
      <c r="AC972" s="64"/>
      <c r="AD972" s="64"/>
      <c r="AE972" s="64"/>
      <c r="AF972" s="64"/>
      <c r="AG972" s="64"/>
      <c r="AH972" s="64"/>
      <c r="AI972" s="64"/>
      <c r="AJ972" s="64"/>
    </row>
    <row r="973">
      <c r="A973" s="64"/>
      <c r="B973" s="64"/>
      <c r="C973" s="64"/>
      <c r="D973" s="64"/>
      <c r="E973" s="64"/>
      <c r="F973" s="64"/>
      <c r="G973" s="64"/>
      <c r="H973" s="64"/>
      <c r="I973" s="64"/>
      <c r="J973" s="64"/>
      <c r="K973" s="64"/>
      <c r="L973" s="64"/>
      <c r="M973" s="60"/>
      <c r="N973" s="60"/>
      <c r="O973" s="60"/>
      <c r="P973" s="60"/>
      <c r="Q973" s="64"/>
      <c r="R973" s="64"/>
      <c r="S973" s="64"/>
      <c r="T973" s="64"/>
      <c r="U973" s="64"/>
      <c r="V973" s="64"/>
      <c r="W973" s="64"/>
      <c r="X973" s="64"/>
      <c r="Y973" s="64"/>
      <c r="Z973" s="64"/>
      <c r="AA973" s="64"/>
      <c r="AB973" s="64"/>
      <c r="AC973" s="64"/>
      <c r="AD973" s="64"/>
      <c r="AE973" s="64"/>
      <c r="AF973" s="64"/>
      <c r="AG973" s="64"/>
      <c r="AH973" s="64"/>
      <c r="AI973" s="64"/>
      <c r="AJ973" s="64"/>
    </row>
    <row r="974">
      <c r="A974" s="64"/>
      <c r="B974" s="64"/>
      <c r="C974" s="64"/>
      <c r="D974" s="64"/>
      <c r="E974" s="64"/>
      <c r="F974" s="64"/>
      <c r="G974" s="64"/>
      <c r="H974" s="64"/>
      <c r="I974" s="64"/>
      <c r="J974" s="64"/>
      <c r="K974" s="64"/>
      <c r="L974" s="64"/>
      <c r="M974" s="60"/>
      <c r="N974" s="60"/>
      <c r="O974" s="60"/>
      <c r="P974" s="60"/>
      <c r="Q974" s="64"/>
      <c r="R974" s="64"/>
      <c r="S974" s="64"/>
      <c r="T974" s="64"/>
      <c r="U974" s="64"/>
      <c r="V974" s="64"/>
      <c r="W974" s="64"/>
      <c r="X974" s="64"/>
      <c r="Y974" s="64"/>
      <c r="Z974" s="64"/>
      <c r="AA974" s="64"/>
      <c r="AB974" s="64"/>
      <c r="AC974" s="64"/>
      <c r="AD974" s="64"/>
      <c r="AE974" s="64"/>
      <c r="AF974" s="64"/>
      <c r="AG974" s="64"/>
      <c r="AH974" s="64"/>
      <c r="AI974" s="64"/>
      <c r="AJ974" s="64"/>
    </row>
    <row r="975">
      <c r="A975" s="64"/>
      <c r="B975" s="64"/>
      <c r="C975" s="64"/>
      <c r="D975" s="64"/>
      <c r="E975" s="64"/>
      <c r="F975" s="64"/>
      <c r="G975" s="64"/>
      <c r="H975" s="64"/>
      <c r="I975" s="64"/>
      <c r="J975" s="64"/>
      <c r="K975" s="64"/>
      <c r="L975" s="64"/>
      <c r="M975" s="60"/>
      <c r="N975" s="60"/>
      <c r="O975" s="60"/>
      <c r="P975" s="60"/>
      <c r="Q975" s="64"/>
      <c r="R975" s="64"/>
      <c r="S975" s="64"/>
      <c r="T975" s="64"/>
      <c r="U975" s="64"/>
      <c r="V975" s="64"/>
      <c r="W975" s="64"/>
      <c r="X975" s="64"/>
      <c r="Y975" s="64"/>
      <c r="Z975" s="64"/>
      <c r="AA975" s="64"/>
      <c r="AB975" s="64"/>
      <c r="AC975" s="64"/>
      <c r="AD975" s="64"/>
      <c r="AE975" s="64"/>
      <c r="AF975" s="64"/>
      <c r="AG975" s="64"/>
      <c r="AH975" s="64"/>
      <c r="AI975" s="64"/>
      <c r="AJ975" s="64"/>
    </row>
    <row r="976">
      <c r="A976" s="64"/>
      <c r="B976" s="64"/>
      <c r="C976" s="64"/>
      <c r="D976" s="64"/>
      <c r="E976" s="64"/>
      <c r="F976" s="64"/>
      <c r="G976" s="64"/>
      <c r="H976" s="64"/>
      <c r="I976" s="64"/>
      <c r="J976" s="64"/>
      <c r="K976" s="64"/>
      <c r="L976" s="64"/>
      <c r="M976" s="60"/>
      <c r="N976" s="60"/>
      <c r="O976" s="60"/>
      <c r="P976" s="60"/>
      <c r="Q976" s="64"/>
      <c r="R976" s="64"/>
      <c r="S976" s="64"/>
      <c r="T976" s="64"/>
      <c r="U976" s="64"/>
      <c r="V976" s="64"/>
      <c r="W976" s="64"/>
      <c r="X976" s="64"/>
      <c r="Y976" s="64"/>
      <c r="Z976" s="64"/>
      <c r="AA976" s="64"/>
      <c r="AB976" s="64"/>
      <c r="AC976" s="64"/>
      <c r="AD976" s="64"/>
      <c r="AE976" s="64"/>
      <c r="AF976" s="64"/>
      <c r="AG976" s="64"/>
      <c r="AH976" s="64"/>
      <c r="AI976" s="64"/>
      <c r="AJ976" s="64"/>
    </row>
    <row r="977">
      <c r="A977" s="64"/>
      <c r="B977" s="64"/>
      <c r="C977" s="64"/>
      <c r="D977" s="64"/>
      <c r="E977" s="64"/>
      <c r="F977" s="64"/>
      <c r="G977" s="64"/>
      <c r="H977" s="64"/>
      <c r="I977" s="64"/>
      <c r="J977" s="64"/>
      <c r="K977" s="64"/>
      <c r="L977" s="64"/>
      <c r="M977" s="60"/>
      <c r="N977" s="60"/>
      <c r="O977" s="60"/>
      <c r="P977" s="60"/>
      <c r="Q977" s="64"/>
      <c r="R977" s="64"/>
      <c r="S977" s="64"/>
      <c r="T977" s="64"/>
      <c r="U977" s="64"/>
      <c r="V977" s="64"/>
      <c r="W977" s="64"/>
      <c r="X977" s="64"/>
      <c r="Y977" s="64"/>
      <c r="Z977" s="64"/>
      <c r="AA977" s="64"/>
      <c r="AB977" s="64"/>
      <c r="AC977" s="64"/>
      <c r="AD977" s="64"/>
      <c r="AE977" s="64"/>
      <c r="AF977" s="64"/>
      <c r="AG977" s="64"/>
      <c r="AH977" s="64"/>
      <c r="AI977" s="64"/>
      <c r="AJ977" s="64"/>
    </row>
    <row r="978">
      <c r="A978" s="64"/>
      <c r="B978" s="64"/>
      <c r="C978" s="64"/>
      <c r="D978" s="64"/>
      <c r="E978" s="64"/>
      <c r="F978" s="64"/>
      <c r="G978" s="64"/>
      <c r="H978" s="64"/>
      <c r="I978" s="64"/>
      <c r="J978" s="64"/>
      <c r="K978" s="64"/>
      <c r="L978" s="64"/>
      <c r="M978" s="60"/>
      <c r="N978" s="60"/>
      <c r="O978" s="60"/>
      <c r="P978" s="60"/>
      <c r="Q978" s="64"/>
      <c r="R978" s="64"/>
      <c r="S978" s="64"/>
      <c r="T978" s="64"/>
      <c r="U978" s="64"/>
      <c r="V978" s="64"/>
      <c r="W978" s="64"/>
      <c r="X978" s="64"/>
      <c r="Y978" s="64"/>
      <c r="Z978" s="64"/>
      <c r="AA978" s="64"/>
      <c r="AB978" s="64"/>
      <c r="AC978" s="64"/>
      <c r="AD978" s="64"/>
      <c r="AE978" s="64"/>
      <c r="AF978" s="64"/>
      <c r="AG978" s="64"/>
      <c r="AH978" s="64"/>
      <c r="AI978" s="64"/>
      <c r="AJ978" s="64"/>
    </row>
    <row r="979">
      <c r="A979" s="64"/>
      <c r="B979" s="64"/>
      <c r="C979" s="64"/>
      <c r="D979" s="64"/>
      <c r="E979" s="64"/>
      <c r="F979" s="64"/>
      <c r="G979" s="64"/>
      <c r="H979" s="64"/>
      <c r="I979" s="64"/>
      <c r="J979" s="64"/>
      <c r="K979" s="64"/>
      <c r="L979" s="64"/>
      <c r="M979" s="60"/>
      <c r="N979" s="60"/>
      <c r="O979" s="60"/>
      <c r="P979" s="60"/>
      <c r="Q979" s="64"/>
      <c r="R979" s="64"/>
      <c r="S979" s="64"/>
      <c r="T979" s="64"/>
      <c r="U979" s="64"/>
      <c r="V979" s="64"/>
      <c r="W979" s="64"/>
      <c r="X979" s="64"/>
      <c r="Y979" s="64"/>
      <c r="Z979" s="64"/>
      <c r="AA979" s="64"/>
      <c r="AB979" s="64"/>
      <c r="AC979" s="64"/>
      <c r="AD979" s="64"/>
      <c r="AE979" s="64"/>
      <c r="AF979" s="64"/>
      <c r="AG979" s="64"/>
      <c r="AH979" s="64"/>
      <c r="AI979" s="64"/>
      <c r="AJ979" s="64"/>
    </row>
    <row r="980">
      <c r="A980" s="64"/>
      <c r="B980" s="64"/>
      <c r="C980" s="64"/>
      <c r="D980" s="64"/>
      <c r="E980" s="64"/>
      <c r="F980" s="64"/>
      <c r="G980" s="64"/>
      <c r="H980" s="64"/>
      <c r="I980" s="64"/>
      <c r="J980" s="64"/>
      <c r="K980" s="64"/>
      <c r="L980" s="64"/>
      <c r="M980" s="60"/>
      <c r="N980" s="60"/>
      <c r="O980" s="60"/>
      <c r="P980" s="60"/>
      <c r="Q980" s="64"/>
      <c r="R980" s="64"/>
      <c r="S980" s="64"/>
      <c r="T980" s="64"/>
      <c r="U980" s="64"/>
      <c r="V980" s="64"/>
      <c r="W980" s="64"/>
      <c r="X980" s="64"/>
      <c r="Y980" s="64"/>
      <c r="Z980" s="64"/>
      <c r="AA980" s="64"/>
      <c r="AB980" s="64"/>
      <c r="AC980" s="64"/>
      <c r="AD980" s="64"/>
      <c r="AE980" s="64"/>
      <c r="AF980" s="64"/>
      <c r="AG980" s="64"/>
      <c r="AH980" s="64"/>
      <c r="AI980" s="64"/>
      <c r="AJ980" s="64"/>
    </row>
    <row r="981">
      <c r="A981" s="64"/>
      <c r="B981" s="64"/>
      <c r="C981" s="64"/>
      <c r="D981" s="64"/>
      <c r="E981" s="64"/>
      <c r="F981" s="64"/>
      <c r="G981" s="64"/>
      <c r="H981" s="64"/>
      <c r="I981" s="64"/>
      <c r="J981" s="64"/>
      <c r="K981" s="64"/>
      <c r="L981" s="64"/>
      <c r="M981" s="60"/>
      <c r="N981" s="60"/>
      <c r="O981" s="60"/>
      <c r="P981" s="60"/>
      <c r="Q981" s="64"/>
      <c r="R981" s="64"/>
      <c r="S981" s="64"/>
      <c r="T981" s="64"/>
      <c r="U981" s="64"/>
      <c r="V981" s="64"/>
      <c r="W981" s="64"/>
      <c r="X981" s="64"/>
      <c r="Y981" s="64"/>
      <c r="Z981" s="64"/>
      <c r="AA981" s="64"/>
      <c r="AB981" s="64"/>
      <c r="AC981" s="64"/>
      <c r="AD981" s="64"/>
      <c r="AE981" s="64"/>
      <c r="AF981" s="64"/>
      <c r="AG981" s="64"/>
      <c r="AH981" s="64"/>
      <c r="AI981" s="64"/>
      <c r="AJ981" s="64"/>
    </row>
    <row r="982">
      <c r="A982" s="64"/>
      <c r="B982" s="64"/>
      <c r="C982" s="64"/>
      <c r="D982" s="64"/>
      <c r="E982" s="64"/>
      <c r="F982" s="64"/>
      <c r="G982" s="64"/>
      <c r="H982" s="64"/>
      <c r="I982" s="64"/>
      <c r="J982" s="64"/>
      <c r="K982" s="64"/>
      <c r="L982" s="64"/>
      <c r="M982" s="60"/>
      <c r="N982" s="60"/>
      <c r="O982" s="60"/>
      <c r="P982" s="60"/>
      <c r="Q982" s="64"/>
      <c r="R982" s="64"/>
      <c r="S982" s="64"/>
      <c r="T982" s="64"/>
      <c r="U982" s="64"/>
      <c r="V982" s="64"/>
      <c r="W982" s="64"/>
      <c r="X982" s="64"/>
      <c r="Y982" s="64"/>
      <c r="Z982" s="64"/>
      <c r="AA982" s="64"/>
      <c r="AB982" s="64"/>
      <c r="AC982" s="64"/>
      <c r="AD982" s="64"/>
      <c r="AE982" s="64"/>
      <c r="AF982" s="64"/>
      <c r="AG982" s="64"/>
      <c r="AH982" s="64"/>
      <c r="AI982" s="64"/>
      <c r="AJ982" s="64"/>
    </row>
    <row r="983">
      <c r="A983" s="64"/>
      <c r="B983" s="64"/>
      <c r="C983" s="64"/>
      <c r="D983" s="64"/>
      <c r="E983" s="64"/>
      <c r="F983" s="64"/>
      <c r="G983" s="64"/>
      <c r="H983" s="64"/>
      <c r="I983" s="64"/>
      <c r="J983" s="64"/>
      <c r="K983" s="64"/>
      <c r="L983" s="64"/>
      <c r="M983" s="60"/>
      <c r="N983" s="60"/>
      <c r="O983" s="60"/>
      <c r="P983" s="60"/>
      <c r="Q983" s="64"/>
      <c r="R983" s="64"/>
      <c r="S983" s="64"/>
      <c r="T983" s="64"/>
      <c r="U983" s="64"/>
      <c r="V983" s="64"/>
      <c r="W983" s="64"/>
      <c r="X983" s="64"/>
      <c r="Y983" s="64"/>
      <c r="Z983" s="64"/>
      <c r="AA983" s="64"/>
      <c r="AB983" s="64"/>
      <c r="AC983" s="64"/>
      <c r="AD983" s="64"/>
      <c r="AE983" s="64"/>
      <c r="AF983" s="64"/>
      <c r="AG983" s="64"/>
      <c r="AH983" s="64"/>
      <c r="AI983" s="64"/>
      <c r="AJ983" s="64"/>
    </row>
    <row r="984">
      <c r="A984" s="64"/>
      <c r="B984" s="64"/>
      <c r="C984" s="64"/>
      <c r="D984" s="64"/>
      <c r="E984" s="64"/>
      <c r="F984" s="64"/>
      <c r="G984" s="64"/>
      <c r="H984" s="64"/>
      <c r="I984" s="64"/>
      <c r="J984" s="64"/>
      <c r="K984" s="64"/>
      <c r="L984" s="64"/>
      <c r="M984" s="60"/>
      <c r="N984" s="60"/>
      <c r="O984" s="60"/>
      <c r="P984" s="60"/>
      <c r="Q984" s="64"/>
      <c r="R984" s="64"/>
      <c r="S984" s="64"/>
      <c r="T984" s="64"/>
      <c r="U984" s="64"/>
      <c r="V984" s="64"/>
      <c r="W984" s="64"/>
      <c r="X984" s="64"/>
      <c r="Y984" s="64"/>
      <c r="Z984" s="64"/>
      <c r="AA984" s="64"/>
      <c r="AB984" s="64"/>
      <c r="AC984" s="64"/>
      <c r="AD984" s="64"/>
      <c r="AE984" s="64"/>
      <c r="AF984" s="64"/>
      <c r="AG984" s="64"/>
      <c r="AH984" s="64"/>
      <c r="AI984" s="64"/>
      <c r="AJ984" s="64"/>
    </row>
    <row r="985">
      <c r="A985" s="64"/>
      <c r="B985" s="64"/>
      <c r="C985" s="64"/>
      <c r="D985" s="64"/>
      <c r="E985" s="64"/>
      <c r="F985" s="64"/>
      <c r="G985" s="64"/>
      <c r="H985" s="64"/>
      <c r="I985" s="64"/>
      <c r="J985" s="64"/>
      <c r="K985" s="64"/>
      <c r="L985" s="64"/>
      <c r="M985" s="60"/>
      <c r="N985" s="60"/>
      <c r="O985" s="60"/>
      <c r="P985" s="60"/>
      <c r="Q985" s="64"/>
      <c r="R985" s="64"/>
      <c r="S985" s="64"/>
      <c r="T985" s="64"/>
      <c r="U985" s="64"/>
      <c r="V985" s="64"/>
      <c r="W985" s="64"/>
      <c r="X985" s="64"/>
      <c r="Y985" s="64"/>
      <c r="Z985" s="64"/>
      <c r="AA985" s="64"/>
      <c r="AB985" s="64"/>
      <c r="AC985" s="64"/>
      <c r="AD985" s="64"/>
      <c r="AE985" s="64"/>
      <c r="AF985" s="64"/>
      <c r="AG985" s="64"/>
      <c r="AH985" s="64"/>
      <c r="AI985" s="64"/>
      <c r="AJ985" s="64"/>
    </row>
    <row r="986">
      <c r="A986" s="64"/>
      <c r="B986" s="64"/>
      <c r="C986" s="64"/>
      <c r="D986" s="64"/>
      <c r="E986" s="64"/>
      <c r="F986" s="64"/>
      <c r="G986" s="64"/>
      <c r="H986" s="64"/>
      <c r="I986" s="64"/>
      <c r="J986" s="64"/>
      <c r="K986" s="64"/>
      <c r="L986" s="64"/>
      <c r="M986" s="60"/>
      <c r="N986" s="60"/>
      <c r="O986" s="60"/>
      <c r="P986" s="60"/>
      <c r="Q986" s="64"/>
      <c r="R986" s="64"/>
      <c r="S986" s="64"/>
      <c r="T986" s="64"/>
      <c r="U986" s="64"/>
      <c r="V986" s="64"/>
      <c r="W986" s="64"/>
      <c r="X986" s="64"/>
      <c r="Y986" s="64"/>
      <c r="Z986" s="64"/>
      <c r="AA986" s="64"/>
      <c r="AB986" s="64"/>
      <c r="AC986" s="64"/>
      <c r="AD986" s="64"/>
      <c r="AE986" s="64"/>
      <c r="AF986" s="64"/>
      <c r="AG986" s="64"/>
      <c r="AH986" s="64"/>
      <c r="AI986" s="64"/>
      <c r="AJ986" s="64"/>
    </row>
    <row r="987">
      <c r="A987" s="64"/>
      <c r="B987" s="64"/>
      <c r="C987" s="64"/>
      <c r="D987" s="64"/>
      <c r="E987" s="64"/>
      <c r="F987" s="64"/>
      <c r="G987" s="64"/>
      <c r="H987" s="64"/>
      <c r="I987" s="64"/>
      <c r="J987" s="64"/>
      <c r="K987" s="64"/>
      <c r="L987" s="64"/>
      <c r="M987" s="60"/>
      <c r="N987" s="60"/>
      <c r="O987" s="60"/>
      <c r="P987" s="60"/>
      <c r="Q987" s="64"/>
      <c r="R987" s="64"/>
      <c r="S987" s="64"/>
      <c r="T987" s="64"/>
      <c r="U987" s="64"/>
      <c r="V987" s="64"/>
      <c r="W987" s="64"/>
      <c r="X987" s="64"/>
      <c r="Y987" s="64"/>
      <c r="Z987" s="64"/>
      <c r="AA987" s="64"/>
      <c r="AB987" s="64"/>
      <c r="AC987" s="64"/>
      <c r="AD987" s="64"/>
      <c r="AE987" s="64"/>
      <c r="AF987" s="64"/>
      <c r="AG987" s="64"/>
      <c r="AH987" s="64"/>
      <c r="AI987" s="64"/>
      <c r="AJ987" s="64"/>
    </row>
    <row r="988">
      <c r="A988" s="64"/>
      <c r="B988" s="64"/>
      <c r="C988" s="64"/>
      <c r="D988" s="64"/>
      <c r="E988" s="64"/>
      <c r="F988" s="64"/>
      <c r="G988" s="64"/>
      <c r="H988" s="64"/>
      <c r="I988" s="64"/>
      <c r="J988" s="64"/>
      <c r="K988" s="64"/>
      <c r="L988" s="64"/>
      <c r="M988" s="60"/>
      <c r="N988" s="60"/>
      <c r="O988" s="60"/>
      <c r="P988" s="60"/>
      <c r="Q988" s="64"/>
      <c r="R988" s="64"/>
      <c r="S988" s="64"/>
      <c r="T988" s="64"/>
      <c r="U988" s="64"/>
      <c r="V988" s="64"/>
      <c r="W988" s="64"/>
      <c r="X988" s="64"/>
      <c r="Y988" s="64"/>
      <c r="Z988" s="64"/>
      <c r="AA988" s="64"/>
      <c r="AB988" s="64"/>
      <c r="AC988" s="64"/>
      <c r="AD988" s="64"/>
      <c r="AE988" s="64"/>
      <c r="AF988" s="64"/>
      <c r="AG988" s="64"/>
      <c r="AH988" s="64"/>
      <c r="AI988" s="64"/>
      <c r="AJ988" s="64"/>
    </row>
    <row r="989">
      <c r="A989" s="64"/>
      <c r="B989" s="64"/>
      <c r="C989" s="64"/>
      <c r="D989" s="64"/>
      <c r="E989" s="64"/>
      <c r="F989" s="64"/>
      <c r="G989" s="64"/>
      <c r="H989" s="64"/>
      <c r="I989" s="64"/>
      <c r="J989" s="64"/>
      <c r="K989" s="64"/>
      <c r="L989" s="64"/>
      <c r="M989" s="60"/>
      <c r="N989" s="60"/>
      <c r="O989" s="60"/>
      <c r="P989" s="60"/>
      <c r="Q989" s="64"/>
      <c r="R989" s="64"/>
      <c r="S989" s="64"/>
      <c r="T989" s="64"/>
      <c r="U989" s="64"/>
      <c r="V989" s="64"/>
      <c r="W989" s="64"/>
      <c r="X989" s="64"/>
      <c r="Y989" s="64"/>
      <c r="Z989" s="64"/>
      <c r="AA989" s="64"/>
      <c r="AB989" s="64"/>
      <c r="AC989" s="64"/>
      <c r="AD989" s="64"/>
      <c r="AE989" s="64"/>
      <c r="AF989" s="64"/>
      <c r="AG989" s="64"/>
      <c r="AH989" s="64"/>
      <c r="AI989" s="64"/>
      <c r="AJ989" s="64"/>
    </row>
    <row r="990">
      <c r="A990" s="64"/>
      <c r="B990" s="64"/>
      <c r="C990" s="64"/>
      <c r="D990" s="64"/>
      <c r="E990" s="64"/>
      <c r="F990" s="64"/>
      <c r="G990" s="64"/>
      <c r="H990" s="64"/>
      <c r="I990" s="64"/>
      <c r="J990" s="64"/>
      <c r="K990" s="64"/>
      <c r="L990" s="64"/>
      <c r="M990" s="60"/>
      <c r="N990" s="60"/>
      <c r="O990" s="60"/>
      <c r="P990" s="60"/>
      <c r="Q990" s="64"/>
      <c r="R990" s="64"/>
      <c r="S990" s="64"/>
      <c r="T990" s="64"/>
      <c r="U990" s="64"/>
      <c r="V990" s="64"/>
      <c r="W990" s="64"/>
      <c r="X990" s="64"/>
      <c r="Y990" s="64"/>
      <c r="Z990" s="64"/>
      <c r="AA990" s="64"/>
      <c r="AB990" s="64"/>
      <c r="AC990" s="64"/>
      <c r="AD990" s="64"/>
      <c r="AE990" s="64"/>
      <c r="AF990" s="64"/>
      <c r="AG990" s="64"/>
      <c r="AH990" s="64"/>
      <c r="AI990" s="64"/>
      <c r="AJ990" s="64"/>
    </row>
    <row r="991">
      <c r="A991" s="64"/>
      <c r="B991" s="64"/>
      <c r="C991" s="64"/>
      <c r="D991" s="64"/>
      <c r="E991" s="64"/>
      <c r="F991" s="64"/>
      <c r="G991" s="64"/>
      <c r="H991" s="64"/>
      <c r="I991" s="64"/>
      <c r="J991" s="64"/>
      <c r="K991" s="64"/>
      <c r="L991" s="64"/>
      <c r="M991" s="60"/>
      <c r="N991" s="60"/>
      <c r="O991" s="60"/>
      <c r="P991" s="60"/>
      <c r="Q991" s="64"/>
      <c r="R991" s="64"/>
      <c r="S991" s="64"/>
      <c r="T991" s="64"/>
      <c r="U991" s="64"/>
      <c r="V991" s="64"/>
      <c r="W991" s="64"/>
      <c r="X991" s="64"/>
      <c r="Y991" s="64"/>
      <c r="Z991" s="64"/>
      <c r="AA991" s="64"/>
      <c r="AB991" s="64"/>
      <c r="AC991" s="64"/>
      <c r="AD991" s="64"/>
      <c r="AE991" s="64"/>
      <c r="AF991" s="64"/>
      <c r="AG991" s="64"/>
      <c r="AH991" s="64"/>
      <c r="AI991" s="64"/>
      <c r="AJ991" s="64"/>
    </row>
    <row r="992">
      <c r="A992" s="64"/>
      <c r="B992" s="64"/>
      <c r="C992" s="64"/>
      <c r="D992" s="64"/>
      <c r="E992" s="64"/>
      <c r="F992" s="64"/>
      <c r="G992" s="64"/>
      <c r="H992" s="64"/>
      <c r="I992" s="64"/>
      <c r="J992" s="64"/>
      <c r="K992" s="64"/>
      <c r="L992" s="64"/>
      <c r="M992" s="60"/>
      <c r="N992" s="60"/>
      <c r="O992" s="60"/>
      <c r="P992" s="60"/>
      <c r="Q992" s="64"/>
      <c r="R992" s="64"/>
      <c r="S992" s="64"/>
      <c r="T992" s="64"/>
      <c r="U992" s="64"/>
      <c r="V992" s="64"/>
      <c r="W992" s="64"/>
      <c r="X992" s="64"/>
      <c r="Y992" s="64"/>
      <c r="Z992" s="64"/>
      <c r="AA992" s="64"/>
      <c r="AB992" s="64"/>
      <c r="AC992" s="64"/>
      <c r="AD992" s="64"/>
      <c r="AE992" s="64"/>
      <c r="AF992" s="64"/>
      <c r="AG992" s="64"/>
      <c r="AH992" s="64"/>
      <c r="AI992" s="64"/>
      <c r="AJ992" s="64"/>
    </row>
    <row r="993">
      <c r="A993" s="64"/>
      <c r="B993" s="64"/>
      <c r="C993" s="64"/>
      <c r="D993" s="64"/>
      <c r="E993" s="64"/>
      <c r="F993" s="64"/>
      <c r="G993" s="64"/>
      <c r="H993" s="64"/>
      <c r="I993" s="64"/>
      <c r="J993" s="64"/>
      <c r="K993" s="64"/>
      <c r="L993" s="64"/>
      <c r="M993" s="60"/>
      <c r="N993" s="60"/>
      <c r="O993" s="60"/>
      <c r="P993" s="60"/>
      <c r="Q993" s="64"/>
      <c r="R993" s="64"/>
      <c r="S993" s="64"/>
      <c r="T993" s="64"/>
      <c r="U993" s="64"/>
      <c r="V993" s="64"/>
      <c r="W993" s="64"/>
      <c r="X993" s="64"/>
      <c r="Y993" s="64"/>
      <c r="Z993" s="64"/>
      <c r="AA993" s="64"/>
      <c r="AB993" s="64"/>
      <c r="AC993" s="64"/>
      <c r="AD993" s="64"/>
      <c r="AE993" s="64"/>
      <c r="AF993" s="64"/>
      <c r="AG993" s="64"/>
      <c r="AH993" s="64"/>
      <c r="AI993" s="64"/>
      <c r="AJ993" s="64"/>
    </row>
    <row r="994">
      <c r="A994" s="64"/>
      <c r="B994" s="64"/>
      <c r="C994" s="64"/>
      <c r="D994" s="64"/>
      <c r="E994" s="64"/>
      <c r="F994" s="64"/>
      <c r="G994" s="64"/>
      <c r="H994" s="64"/>
      <c r="I994" s="64"/>
      <c r="J994" s="64"/>
      <c r="K994" s="64"/>
      <c r="L994" s="64"/>
      <c r="M994" s="60"/>
      <c r="N994" s="60"/>
      <c r="O994" s="60"/>
      <c r="P994" s="60"/>
      <c r="Q994" s="64"/>
      <c r="R994" s="64"/>
      <c r="S994" s="64"/>
      <c r="T994" s="64"/>
      <c r="U994" s="64"/>
      <c r="V994" s="64"/>
      <c r="W994" s="64"/>
      <c r="X994" s="64"/>
      <c r="Y994" s="64"/>
      <c r="Z994" s="64"/>
      <c r="AA994" s="64"/>
      <c r="AB994" s="64"/>
      <c r="AC994" s="64"/>
      <c r="AD994" s="64"/>
      <c r="AE994" s="64"/>
      <c r="AF994" s="64"/>
      <c r="AG994" s="64"/>
      <c r="AH994" s="64"/>
      <c r="AI994" s="64"/>
      <c r="AJ994" s="64"/>
    </row>
    <row r="995">
      <c r="A995" s="64"/>
      <c r="B995" s="64"/>
      <c r="C995" s="64"/>
      <c r="D995" s="64"/>
      <c r="E995" s="64"/>
      <c r="F995" s="64"/>
      <c r="G995" s="64"/>
      <c r="H995" s="64"/>
      <c r="I995" s="64"/>
      <c r="J995" s="64"/>
      <c r="K995" s="64"/>
      <c r="L995" s="64"/>
      <c r="M995" s="60"/>
      <c r="N995" s="60"/>
      <c r="O995" s="60"/>
      <c r="P995" s="60"/>
      <c r="Q995" s="64"/>
      <c r="R995" s="64"/>
      <c r="S995" s="64"/>
      <c r="T995" s="64"/>
      <c r="U995" s="64"/>
      <c r="V995" s="64"/>
      <c r="W995" s="64"/>
      <c r="X995" s="64"/>
      <c r="Y995" s="64"/>
      <c r="Z995" s="64"/>
      <c r="AA995" s="64"/>
      <c r="AB995" s="64"/>
      <c r="AC995" s="64"/>
      <c r="AD995" s="64"/>
      <c r="AE995" s="64"/>
      <c r="AF995" s="64"/>
      <c r="AG995" s="64"/>
      <c r="AH995" s="64"/>
      <c r="AI995" s="64"/>
      <c r="AJ995" s="64"/>
    </row>
    <row r="996">
      <c r="A996" s="64"/>
      <c r="B996" s="64"/>
      <c r="C996" s="64"/>
      <c r="D996" s="64"/>
      <c r="E996" s="64"/>
      <c r="F996" s="64"/>
      <c r="G996" s="64"/>
      <c r="H996" s="64"/>
      <c r="I996" s="64"/>
      <c r="J996" s="64"/>
      <c r="K996" s="64"/>
      <c r="L996" s="64"/>
      <c r="M996" s="60"/>
      <c r="N996" s="60"/>
      <c r="O996" s="60"/>
      <c r="P996" s="60"/>
      <c r="Q996" s="64"/>
      <c r="R996" s="64"/>
      <c r="S996" s="64"/>
      <c r="T996" s="64"/>
      <c r="U996" s="64"/>
      <c r="V996" s="64"/>
      <c r="W996" s="64"/>
      <c r="X996" s="64"/>
      <c r="Y996" s="64"/>
      <c r="Z996" s="64"/>
      <c r="AA996" s="64"/>
      <c r="AB996" s="64"/>
      <c r="AC996" s="64"/>
      <c r="AD996" s="64"/>
      <c r="AE996" s="64"/>
      <c r="AF996" s="64"/>
      <c r="AG996" s="64"/>
      <c r="AH996" s="64"/>
      <c r="AI996" s="64"/>
      <c r="AJ996" s="64"/>
    </row>
    <row r="997">
      <c r="A997" s="64"/>
      <c r="B997" s="64"/>
      <c r="C997" s="64"/>
      <c r="D997" s="64"/>
      <c r="E997" s="64"/>
      <c r="F997" s="64"/>
      <c r="G997" s="64"/>
      <c r="H997" s="64"/>
      <c r="I997" s="64"/>
      <c r="J997" s="64"/>
      <c r="K997" s="64"/>
      <c r="L997" s="64"/>
      <c r="M997" s="60"/>
      <c r="N997" s="60"/>
      <c r="O997" s="60"/>
      <c r="P997" s="60"/>
      <c r="Q997" s="64"/>
      <c r="R997" s="64"/>
      <c r="S997" s="64"/>
      <c r="T997" s="64"/>
      <c r="U997" s="64"/>
      <c r="V997" s="64"/>
      <c r="W997" s="64"/>
      <c r="X997" s="64"/>
      <c r="Y997" s="64"/>
      <c r="Z997" s="64"/>
      <c r="AA997" s="64"/>
      <c r="AB997" s="64"/>
      <c r="AC997" s="64"/>
      <c r="AD997" s="64"/>
      <c r="AE997" s="64"/>
      <c r="AF997" s="64"/>
      <c r="AG997" s="64"/>
      <c r="AH997" s="64"/>
      <c r="AI997" s="64"/>
      <c r="AJ997" s="64"/>
    </row>
    <row r="998">
      <c r="A998" s="64"/>
      <c r="B998" s="64"/>
      <c r="C998" s="64"/>
      <c r="D998" s="64"/>
      <c r="E998" s="64"/>
      <c r="F998" s="64"/>
      <c r="G998" s="64"/>
      <c r="H998" s="64"/>
      <c r="I998" s="64"/>
      <c r="J998" s="64"/>
      <c r="K998" s="64"/>
      <c r="L998" s="64"/>
      <c r="M998" s="60"/>
      <c r="N998" s="60"/>
      <c r="O998" s="60"/>
      <c r="P998" s="60"/>
      <c r="Q998" s="64"/>
      <c r="R998" s="64"/>
      <c r="S998" s="64"/>
      <c r="T998" s="64"/>
      <c r="U998" s="64"/>
      <c r="V998" s="64"/>
      <c r="W998" s="64"/>
      <c r="X998" s="64"/>
      <c r="Y998" s="64"/>
      <c r="Z998" s="64"/>
      <c r="AA998" s="64"/>
      <c r="AB998" s="64"/>
      <c r="AC998" s="64"/>
      <c r="AD998" s="64"/>
      <c r="AE998" s="64"/>
      <c r="AF998" s="64"/>
      <c r="AG998" s="64"/>
      <c r="AH998" s="64"/>
      <c r="AI998" s="64"/>
      <c r="AJ998" s="64"/>
    </row>
    <row r="999">
      <c r="A999" s="64"/>
      <c r="B999" s="64"/>
      <c r="C999" s="64"/>
      <c r="D999" s="64"/>
      <c r="E999" s="64"/>
      <c r="F999" s="64"/>
      <c r="G999" s="64"/>
      <c r="H999" s="64"/>
      <c r="I999" s="64"/>
      <c r="J999" s="64"/>
      <c r="K999" s="64"/>
      <c r="L999" s="64"/>
      <c r="M999" s="60"/>
      <c r="N999" s="60"/>
      <c r="O999" s="60"/>
      <c r="P999" s="60"/>
      <c r="Q999" s="64"/>
      <c r="R999" s="64"/>
      <c r="S999" s="64"/>
      <c r="T999" s="64"/>
      <c r="U999" s="64"/>
      <c r="V999" s="64"/>
      <c r="W999" s="64"/>
      <c r="X999" s="64"/>
      <c r="Y999" s="64"/>
      <c r="Z999" s="64"/>
      <c r="AA999" s="64"/>
      <c r="AB999" s="64"/>
      <c r="AC999" s="64"/>
      <c r="AD999" s="64"/>
      <c r="AE999" s="64"/>
      <c r="AF999" s="64"/>
      <c r="AG999" s="64"/>
      <c r="AH999" s="64"/>
      <c r="AI999" s="64"/>
      <c r="AJ999" s="64"/>
    </row>
    <row r="1000">
      <c r="A1000" s="64"/>
      <c r="B1000" s="64"/>
      <c r="C1000" s="64"/>
      <c r="D1000" s="64"/>
      <c r="E1000" s="64"/>
      <c r="F1000" s="64"/>
      <c r="G1000" s="64"/>
      <c r="H1000" s="64"/>
      <c r="I1000" s="64"/>
      <c r="J1000" s="64"/>
      <c r="K1000" s="64"/>
      <c r="L1000" s="64"/>
      <c r="M1000" s="60"/>
      <c r="N1000" s="60"/>
      <c r="O1000" s="60"/>
      <c r="P1000" s="60"/>
      <c r="Q1000" s="64"/>
      <c r="R1000" s="64"/>
      <c r="S1000" s="64"/>
      <c r="T1000" s="64"/>
      <c r="U1000" s="64"/>
      <c r="V1000" s="64"/>
      <c r="W1000" s="64"/>
      <c r="X1000" s="64"/>
      <c r="Y1000" s="64"/>
      <c r="Z1000" s="64"/>
      <c r="AA1000" s="64"/>
      <c r="AB1000" s="64"/>
      <c r="AC1000" s="64"/>
      <c r="AD1000" s="64"/>
      <c r="AE1000" s="64"/>
      <c r="AF1000" s="64"/>
      <c r="AG1000" s="64"/>
      <c r="AH1000" s="64"/>
      <c r="AI1000" s="64"/>
      <c r="AJ1000" s="64"/>
    </row>
    <row r="1001">
      <c r="A1001" s="64"/>
      <c r="B1001" s="64"/>
      <c r="C1001" s="64"/>
      <c r="D1001" s="64"/>
      <c r="E1001" s="64"/>
      <c r="F1001" s="64"/>
      <c r="G1001" s="64"/>
      <c r="H1001" s="64"/>
      <c r="I1001" s="64"/>
      <c r="J1001" s="64"/>
      <c r="K1001" s="64"/>
      <c r="L1001" s="64"/>
      <c r="M1001" s="60"/>
      <c r="N1001" s="60"/>
      <c r="O1001" s="60"/>
      <c r="P1001" s="60"/>
      <c r="Q1001" s="64"/>
      <c r="R1001" s="64"/>
      <c r="S1001" s="64"/>
      <c r="T1001" s="64"/>
      <c r="U1001" s="64"/>
      <c r="V1001" s="64"/>
      <c r="W1001" s="64"/>
      <c r="X1001" s="64"/>
      <c r="Y1001" s="64"/>
      <c r="Z1001" s="64"/>
      <c r="AA1001" s="64"/>
      <c r="AB1001" s="64"/>
      <c r="AC1001" s="64"/>
      <c r="AD1001" s="64"/>
      <c r="AE1001" s="64"/>
      <c r="AF1001" s="64"/>
      <c r="AG1001" s="64"/>
      <c r="AH1001" s="64"/>
      <c r="AI1001" s="64"/>
      <c r="AJ1001" s="64"/>
    </row>
    <row r="1002">
      <c r="A1002" s="64"/>
      <c r="B1002" s="64"/>
      <c r="C1002" s="64"/>
      <c r="D1002" s="64"/>
      <c r="E1002" s="64"/>
      <c r="F1002" s="64"/>
      <c r="G1002" s="64"/>
      <c r="H1002" s="64"/>
      <c r="I1002" s="64"/>
      <c r="J1002" s="64"/>
      <c r="K1002" s="64"/>
      <c r="L1002" s="64"/>
      <c r="M1002" s="60"/>
      <c r="N1002" s="60"/>
      <c r="O1002" s="60"/>
      <c r="P1002" s="60"/>
      <c r="Q1002" s="64"/>
      <c r="R1002" s="64"/>
      <c r="S1002" s="64"/>
      <c r="T1002" s="64"/>
      <c r="U1002" s="64"/>
      <c r="V1002" s="64"/>
      <c r="W1002" s="64"/>
      <c r="X1002" s="64"/>
      <c r="Y1002" s="64"/>
      <c r="Z1002" s="64"/>
      <c r="AA1002" s="64"/>
      <c r="AB1002" s="64"/>
      <c r="AC1002" s="64"/>
      <c r="AD1002" s="64"/>
      <c r="AE1002" s="64"/>
      <c r="AF1002" s="64"/>
      <c r="AG1002" s="64"/>
      <c r="AH1002" s="64"/>
      <c r="AI1002" s="64"/>
      <c r="AJ1002" s="64"/>
    </row>
    <row r="1003">
      <c r="A1003" s="64"/>
      <c r="B1003" s="64"/>
      <c r="C1003" s="64"/>
      <c r="D1003" s="64"/>
      <c r="E1003" s="64"/>
      <c r="F1003" s="64"/>
      <c r="G1003" s="64"/>
      <c r="H1003" s="64"/>
      <c r="I1003" s="64"/>
      <c r="J1003" s="64"/>
      <c r="K1003" s="64"/>
      <c r="L1003" s="64"/>
      <c r="M1003" s="60"/>
      <c r="N1003" s="60"/>
      <c r="O1003" s="60"/>
      <c r="P1003" s="60"/>
      <c r="Q1003" s="64"/>
      <c r="R1003" s="64"/>
      <c r="S1003" s="64"/>
      <c r="T1003" s="64"/>
      <c r="U1003" s="64"/>
      <c r="V1003" s="64"/>
      <c r="W1003" s="64"/>
      <c r="X1003" s="64"/>
      <c r="Y1003" s="64"/>
      <c r="Z1003" s="64"/>
      <c r="AA1003" s="64"/>
      <c r="AB1003" s="64"/>
      <c r="AC1003" s="64"/>
      <c r="AD1003" s="64"/>
      <c r="AE1003" s="64"/>
      <c r="AF1003" s="64"/>
      <c r="AG1003" s="64"/>
      <c r="AH1003" s="64"/>
      <c r="AI1003" s="64"/>
      <c r="AJ1003" s="64"/>
    </row>
    <row r="1004">
      <c r="A1004" s="64"/>
      <c r="B1004" s="64"/>
      <c r="C1004" s="64"/>
      <c r="D1004" s="64"/>
      <c r="E1004" s="64"/>
      <c r="F1004" s="64"/>
      <c r="G1004" s="64"/>
      <c r="H1004" s="64"/>
      <c r="I1004" s="64"/>
      <c r="J1004" s="64"/>
      <c r="K1004" s="64"/>
      <c r="L1004" s="64"/>
      <c r="M1004" s="60"/>
      <c r="N1004" s="60"/>
      <c r="O1004" s="60"/>
      <c r="P1004" s="60"/>
      <c r="Q1004" s="64"/>
      <c r="R1004" s="64"/>
      <c r="S1004" s="64"/>
      <c r="T1004" s="64"/>
      <c r="U1004" s="64"/>
      <c r="V1004" s="64"/>
      <c r="W1004" s="64"/>
      <c r="X1004" s="64"/>
      <c r="Y1004" s="64"/>
      <c r="Z1004" s="64"/>
      <c r="AA1004" s="64"/>
      <c r="AB1004" s="64"/>
      <c r="AC1004" s="64"/>
      <c r="AD1004" s="64"/>
      <c r="AE1004" s="64"/>
      <c r="AF1004" s="64"/>
      <c r="AG1004" s="64"/>
      <c r="AH1004" s="64"/>
      <c r="AI1004" s="64"/>
      <c r="AJ1004" s="64"/>
    </row>
    <row r="1005">
      <c r="A1005" s="64"/>
      <c r="B1005" s="64"/>
      <c r="C1005" s="64"/>
      <c r="D1005" s="64"/>
      <c r="E1005" s="64"/>
      <c r="F1005" s="64"/>
      <c r="G1005" s="64"/>
      <c r="H1005" s="64"/>
      <c r="I1005" s="64"/>
      <c r="J1005" s="64"/>
      <c r="K1005" s="64"/>
      <c r="L1005" s="64"/>
      <c r="M1005" s="60"/>
      <c r="N1005" s="60"/>
      <c r="O1005" s="60"/>
      <c r="P1005" s="60"/>
      <c r="Q1005" s="64"/>
      <c r="R1005" s="64"/>
      <c r="S1005" s="64"/>
      <c r="T1005" s="64"/>
      <c r="U1005" s="64"/>
      <c r="V1005" s="64"/>
      <c r="W1005" s="64"/>
      <c r="X1005" s="64"/>
      <c r="Y1005" s="64"/>
      <c r="Z1005" s="64"/>
      <c r="AA1005" s="64"/>
      <c r="AB1005" s="64"/>
      <c r="AC1005" s="64"/>
      <c r="AD1005" s="64"/>
      <c r="AE1005" s="64"/>
      <c r="AF1005" s="64"/>
      <c r="AG1005" s="64"/>
      <c r="AH1005" s="64"/>
      <c r="AI1005" s="64"/>
      <c r="AJ1005" s="64"/>
    </row>
    <row r="1006">
      <c r="A1006" s="64"/>
      <c r="B1006" s="64"/>
      <c r="C1006" s="64"/>
      <c r="D1006" s="64"/>
      <c r="E1006" s="64"/>
      <c r="F1006" s="64"/>
      <c r="G1006" s="64"/>
      <c r="H1006" s="64"/>
      <c r="I1006" s="64"/>
      <c r="J1006" s="64"/>
      <c r="K1006" s="64"/>
      <c r="L1006" s="64"/>
      <c r="M1006" s="60"/>
      <c r="N1006" s="60"/>
      <c r="O1006" s="60"/>
      <c r="P1006" s="60"/>
      <c r="Q1006" s="64"/>
      <c r="R1006" s="64"/>
      <c r="S1006" s="64"/>
      <c r="T1006" s="64"/>
      <c r="U1006" s="64"/>
      <c r="V1006" s="64"/>
      <c r="W1006" s="64"/>
      <c r="X1006" s="64"/>
      <c r="Y1006" s="64"/>
      <c r="Z1006" s="64"/>
      <c r="AA1006" s="64"/>
      <c r="AB1006" s="64"/>
      <c r="AC1006" s="64"/>
      <c r="AD1006" s="64"/>
      <c r="AE1006" s="64"/>
      <c r="AF1006" s="64"/>
      <c r="AG1006" s="64"/>
      <c r="AH1006" s="64"/>
      <c r="AI1006" s="64"/>
      <c r="AJ1006" s="64"/>
    </row>
    <row r="1007">
      <c r="A1007" s="64"/>
      <c r="B1007" s="64"/>
      <c r="C1007" s="64"/>
      <c r="D1007" s="64"/>
      <c r="E1007" s="64"/>
      <c r="F1007" s="64"/>
      <c r="G1007" s="64"/>
      <c r="H1007" s="64"/>
      <c r="I1007" s="64"/>
      <c r="J1007" s="64"/>
      <c r="K1007" s="64"/>
      <c r="L1007" s="64"/>
      <c r="M1007" s="60"/>
      <c r="N1007" s="60"/>
      <c r="O1007" s="60"/>
      <c r="P1007" s="60"/>
      <c r="Q1007" s="64"/>
      <c r="R1007" s="64"/>
      <c r="S1007" s="64"/>
      <c r="T1007" s="64"/>
      <c r="U1007" s="64"/>
      <c r="V1007" s="64"/>
      <c r="W1007" s="64"/>
      <c r="X1007" s="64"/>
      <c r="Y1007" s="64"/>
      <c r="Z1007" s="64"/>
      <c r="AA1007" s="64"/>
      <c r="AB1007" s="64"/>
      <c r="AC1007" s="64"/>
      <c r="AD1007" s="64"/>
      <c r="AE1007" s="64"/>
      <c r="AF1007" s="64"/>
      <c r="AG1007" s="64"/>
      <c r="AH1007" s="64"/>
      <c r="AI1007" s="64"/>
      <c r="AJ1007" s="64"/>
    </row>
    <row r="1008">
      <c r="A1008" s="64"/>
      <c r="B1008" s="64"/>
      <c r="C1008" s="64"/>
      <c r="D1008" s="64"/>
      <c r="E1008" s="64"/>
      <c r="F1008" s="64"/>
      <c r="G1008" s="64"/>
      <c r="H1008" s="64"/>
      <c r="I1008" s="64"/>
      <c r="J1008" s="64"/>
      <c r="K1008" s="64"/>
      <c r="L1008" s="64"/>
      <c r="M1008" s="60"/>
      <c r="N1008" s="60"/>
      <c r="O1008" s="60"/>
      <c r="P1008" s="60"/>
      <c r="Q1008" s="64"/>
      <c r="R1008" s="64"/>
      <c r="S1008" s="64"/>
      <c r="T1008" s="64"/>
      <c r="U1008" s="64"/>
      <c r="V1008" s="64"/>
      <c r="W1008" s="64"/>
      <c r="X1008" s="64"/>
      <c r="Y1008" s="64"/>
      <c r="Z1008" s="64"/>
      <c r="AA1008" s="64"/>
      <c r="AB1008" s="64"/>
      <c r="AC1008" s="64"/>
      <c r="AD1008" s="64"/>
      <c r="AE1008" s="64"/>
      <c r="AF1008" s="64"/>
      <c r="AG1008" s="64"/>
      <c r="AH1008" s="64"/>
      <c r="AI1008" s="64"/>
      <c r="AJ1008" s="64"/>
    </row>
    <row r="1009">
      <c r="A1009" s="64"/>
      <c r="B1009" s="64"/>
      <c r="C1009" s="64"/>
      <c r="D1009" s="64"/>
      <c r="E1009" s="64"/>
      <c r="F1009" s="64"/>
      <c r="G1009" s="64"/>
      <c r="H1009" s="64"/>
      <c r="I1009" s="64"/>
      <c r="J1009" s="64"/>
      <c r="K1009" s="64"/>
      <c r="L1009" s="64"/>
      <c r="M1009" s="60"/>
      <c r="N1009" s="60"/>
      <c r="O1009" s="60"/>
      <c r="P1009" s="60"/>
      <c r="Q1009" s="64"/>
      <c r="R1009" s="64"/>
      <c r="S1009" s="64"/>
      <c r="T1009" s="64"/>
      <c r="U1009" s="64"/>
      <c r="V1009" s="64"/>
      <c r="W1009" s="64"/>
      <c r="X1009" s="64"/>
      <c r="Y1009" s="64"/>
      <c r="Z1009" s="64"/>
      <c r="AA1009" s="64"/>
      <c r="AB1009" s="64"/>
      <c r="AC1009" s="64"/>
      <c r="AD1009" s="64"/>
      <c r="AE1009" s="64"/>
      <c r="AF1009" s="64"/>
      <c r="AG1009" s="64"/>
      <c r="AH1009" s="64"/>
      <c r="AI1009" s="64"/>
      <c r="AJ1009" s="64"/>
    </row>
    <row r="1010">
      <c r="A1010" s="64"/>
      <c r="B1010" s="64"/>
      <c r="C1010" s="64"/>
      <c r="D1010" s="64"/>
      <c r="E1010" s="64"/>
      <c r="F1010" s="64"/>
      <c r="G1010" s="64"/>
      <c r="H1010" s="64"/>
      <c r="I1010" s="64"/>
      <c r="J1010" s="64"/>
      <c r="K1010" s="64"/>
      <c r="L1010" s="64"/>
      <c r="M1010" s="60"/>
      <c r="N1010" s="60"/>
      <c r="O1010" s="60"/>
      <c r="P1010" s="60"/>
      <c r="Q1010" s="64"/>
      <c r="R1010" s="64"/>
      <c r="S1010" s="64"/>
      <c r="T1010" s="64"/>
      <c r="U1010" s="64"/>
      <c r="V1010" s="64"/>
      <c r="W1010" s="64"/>
      <c r="X1010" s="64"/>
      <c r="Y1010" s="64"/>
      <c r="Z1010" s="64"/>
      <c r="AA1010" s="64"/>
      <c r="AB1010" s="64"/>
      <c r="AC1010" s="64"/>
      <c r="AD1010" s="64"/>
      <c r="AE1010" s="64"/>
      <c r="AF1010" s="64"/>
      <c r="AG1010" s="64"/>
      <c r="AH1010" s="64"/>
      <c r="AI1010" s="64"/>
      <c r="AJ1010" s="64"/>
    </row>
    <row r="1011">
      <c r="A1011" s="64"/>
      <c r="B1011" s="64"/>
      <c r="C1011" s="64"/>
      <c r="D1011" s="64"/>
      <c r="E1011" s="64"/>
      <c r="F1011" s="64"/>
      <c r="G1011" s="64"/>
      <c r="H1011" s="64"/>
      <c r="I1011" s="64"/>
      <c r="J1011" s="64"/>
      <c r="K1011" s="64"/>
      <c r="L1011" s="64"/>
      <c r="M1011" s="60"/>
      <c r="N1011" s="60"/>
      <c r="O1011" s="60"/>
      <c r="P1011" s="60"/>
      <c r="Q1011" s="64"/>
      <c r="R1011" s="64"/>
      <c r="S1011" s="64"/>
      <c r="T1011" s="64"/>
      <c r="U1011" s="64"/>
      <c r="V1011" s="64"/>
      <c r="W1011" s="64"/>
      <c r="X1011" s="64"/>
      <c r="Y1011" s="64"/>
      <c r="Z1011" s="64"/>
      <c r="AA1011" s="64"/>
      <c r="AB1011" s="64"/>
      <c r="AC1011" s="64"/>
      <c r="AD1011" s="64"/>
      <c r="AE1011" s="64"/>
      <c r="AF1011" s="64"/>
      <c r="AG1011" s="64"/>
      <c r="AH1011" s="64"/>
      <c r="AI1011" s="64"/>
      <c r="AJ1011" s="64"/>
    </row>
    <row r="1012">
      <c r="A1012" s="64"/>
      <c r="B1012" s="64"/>
      <c r="C1012" s="64"/>
      <c r="D1012" s="64"/>
      <c r="E1012" s="64"/>
      <c r="F1012" s="64"/>
      <c r="G1012" s="64"/>
      <c r="H1012" s="64"/>
      <c r="I1012" s="64"/>
      <c r="J1012" s="64"/>
      <c r="K1012" s="64"/>
      <c r="L1012" s="64"/>
      <c r="M1012" s="60"/>
      <c r="N1012" s="60"/>
      <c r="O1012" s="60"/>
      <c r="P1012" s="60"/>
      <c r="Q1012" s="64"/>
      <c r="R1012" s="64"/>
      <c r="S1012" s="64"/>
      <c r="T1012" s="64"/>
      <c r="U1012" s="64"/>
      <c r="V1012" s="64"/>
      <c r="W1012" s="64"/>
      <c r="X1012" s="64"/>
      <c r="Y1012" s="64"/>
      <c r="Z1012" s="64"/>
      <c r="AA1012" s="64"/>
      <c r="AB1012" s="64"/>
      <c r="AC1012" s="64"/>
      <c r="AD1012" s="64"/>
      <c r="AE1012" s="64"/>
      <c r="AF1012" s="64"/>
      <c r="AG1012" s="64"/>
      <c r="AH1012" s="64"/>
      <c r="AI1012" s="64"/>
      <c r="AJ1012" s="64"/>
    </row>
    <row r="1013">
      <c r="A1013" s="64"/>
      <c r="B1013" s="64"/>
      <c r="C1013" s="64"/>
      <c r="D1013" s="64"/>
      <c r="E1013" s="64"/>
      <c r="F1013" s="64"/>
      <c r="G1013" s="64"/>
      <c r="H1013" s="64"/>
      <c r="I1013" s="64"/>
      <c r="J1013" s="64"/>
      <c r="K1013" s="64"/>
      <c r="L1013" s="64"/>
      <c r="M1013" s="60"/>
      <c r="N1013" s="60"/>
      <c r="O1013" s="60"/>
      <c r="P1013" s="60"/>
      <c r="Q1013" s="64"/>
      <c r="R1013" s="64"/>
      <c r="S1013" s="64"/>
      <c r="T1013" s="64"/>
      <c r="U1013" s="64"/>
      <c r="V1013" s="64"/>
      <c r="W1013" s="64"/>
      <c r="X1013" s="64"/>
      <c r="Y1013" s="64"/>
      <c r="Z1013" s="64"/>
      <c r="AA1013" s="64"/>
      <c r="AB1013" s="64"/>
      <c r="AC1013" s="64"/>
      <c r="AD1013" s="64"/>
      <c r="AE1013" s="64"/>
      <c r="AF1013" s="64"/>
      <c r="AG1013" s="64"/>
      <c r="AH1013" s="64"/>
      <c r="AI1013" s="64"/>
      <c r="AJ1013" s="64"/>
    </row>
    <row r="1014">
      <c r="A1014" s="64"/>
      <c r="B1014" s="64"/>
      <c r="C1014" s="64"/>
      <c r="D1014" s="64"/>
      <c r="E1014" s="64"/>
      <c r="F1014" s="64"/>
      <c r="G1014" s="64"/>
      <c r="H1014" s="64"/>
      <c r="I1014" s="64"/>
      <c r="J1014" s="64"/>
      <c r="K1014" s="64"/>
      <c r="L1014" s="64"/>
      <c r="M1014" s="60"/>
      <c r="N1014" s="60"/>
      <c r="O1014" s="60"/>
      <c r="P1014" s="60"/>
      <c r="Q1014" s="64"/>
      <c r="R1014" s="64"/>
      <c r="S1014" s="64"/>
      <c r="T1014" s="64"/>
      <c r="U1014" s="64"/>
      <c r="V1014" s="64"/>
      <c r="W1014" s="64"/>
      <c r="X1014" s="64"/>
      <c r="Y1014" s="64"/>
      <c r="Z1014" s="64"/>
      <c r="AA1014" s="64"/>
      <c r="AB1014" s="64"/>
      <c r="AC1014" s="64"/>
      <c r="AD1014" s="64"/>
      <c r="AE1014" s="64"/>
      <c r="AF1014" s="64"/>
      <c r="AG1014" s="64"/>
      <c r="AH1014" s="64"/>
      <c r="AI1014" s="64"/>
      <c r="AJ1014" s="64"/>
    </row>
    <row r="1015">
      <c r="A1015" s="64"/>
      <c r="B1015" s="64"/>
      <c r="C1015" s="64"/>
      <c r="D1015" s="64"/>
      <c r="E1015" s="64"/>
      <c r="F1015" s="64"/>
      <c r="G1015" s="64"/>
      <c r="H1015" s="64"/>
      <c r="I1015" s="64"/>
      <c r="J1015" s="64"/>
      <c r="K1015" s="64"/>
      <c r="L1015" s="64"/>
      <c r="M1015" s="60"/>
      <c r="N1015" s="60"/>
      <c r="O1015" s="60"/>
      <c r="P1015" s="60"/>
      <c r="Q1015" s="64"/>
      <c r="R1015" s="64"/>
      <c r="S1015" s="64"/>
      <c r="T1015" s="64"/>
      <c r="U1015" s="64"/>
      <c r="V1015" s="64"/>
      <c r="W1015" s="64"/>
      <c r="X1015" s="64"/>
      <c r="Y1015" s="64"/>
      <c r="Z1015" s="64"/>
      <c r="AA1015" s="64"/>
      <c r="AB1015" s="64"/>
      <c r="AC1015" s="64"/>
      <c r="AD1015" s="64"/>
      <c r="AE1015" s="64"/>
      <c r="AF1015" s="64"/>
      <c r="AG1015" s="64"/>
      <c r="AH1015" s="64"/>
      <c r="AI1015" s="64"/>
      <c r="AJ1015" s="64"/>
    </row>
    <row r="1016">
      <c r="A1016" s="64"/>
      <c r="B1016" s="64"/>
      <c r="C1016" s="64"/>
      <c r="D1016" s="64"/>
      <c r="E1016" s="64"/>
      <c r="F1016" s="64"/>
      <c r="G1016" s="64"/>
      <c r="H1016" s="64"/>
      <c r="I1016" s="64"/>
      <c r="J1016" s="64"/>
      <c r="K1016" s="64"/>
      <c r="L1016" s="64"/>
      <c r="M1016" s="60"/>
      <c r="N1016" s="60"/>
      <c r="O1016" s="60"/>
      <c r="P1016" s="60"/>
      <c r="Q1016" s="64"/>
      <c r="R1016" s="64"/>
      <c r="S1016" s="64"/>
      <c r="T1016" s="64"/>
      <c r="U1016" s="64"/>
      <c r="V1016" s="64"/>
      <c r="W1016" s="64"/>
      <c r="X1016" s="64"/>
      <c r="Y1016" s="64"/>
      <c r="Z1016" s="64"/>
      <c r="AA1016" s="64"/>
      <c r="AB1016" s="64"/>
      <c r="AC1016" s="64"/>
      <c r="AD1016" s="64"/>
      <c r="AE1016" s="64"/>
      <c r="AF1016" s="64"/>
      <c r="AG1016" s="64"/>
      <c r="AH1016" s="64"/>
      <c r="AI1016" s="64"/>
      <c r="AJ1016" s="64"/>
    </row>
    <row r="1017">
      <c r="A1017" s="64"/>
      <c r="B1017" s="64"/>
      <c r="C1017" s="64"/>
      <c r="D1017" s="64"/>
      <c r="E1017" s="64"/>
      <c r="F1017" s="64"/>
      <c r="G1017" s="64"/>
      <c r="H1017" s="64"/>
      <c r="I1017" s="64"/>
      <c r="J1017" s="64"/>
      <c r="K1017" s="64"/>
      <c r="L1017" s="64"/>
      <c r="M1017" s="60"/>
      <c r="N1017" s="60"/>
      <c r="O1017" s="60"/>
      <c r="P1017" s="60"/>
      <c r="Q1017" s="64"/>
      <c r="R1017" s="64"/>
      <c r="S1017" s="64"/>
      <c r="T1017" s="64"/>
      <c r="U1017" s="64"/>
      <c r="V1017" s="64"/>
      <c r="W1017" s="64"/>
      <c r="X1017" s="64"/>
      <c r="Y1017" s="64"/>
      <c r="Z1017" s="64"/>
      <c r="AA1017" s="64"/>
      <c r="AB1017" s="64"/>
      <c r="AC1017" s="64"/>
      <c r="AD1017" s="64"/>
      <c r="AE1017" s="64"/>
      <c r="AF1017" s="64"/>
      <c r="AG1017" s="64"/>
      <c r="AH1017" s="64"/>
      <c r="AI1017" s="64"/>
      <c r="AJ1017" s="64"/>
    </row>
    <row r="1018">
      <c r="A1018" s="64"/>
      <c r="B1018" s="64"/>
      <c r="C1018" s="64"/>
      <c r="D1018" s="64"/>
      <c r="E1018" s="64"/>
      <c r="F1018" s="64"/>
      <c r="G1018" s="64"/>
      <c r="H1018" s="64"/>
      <c r="I1018" s="64"/>
      <c r="J1018" s="64"/>
      <c r="K1018" s="64"/>
      <c r="L1018" s="64"/>
      <c r="M1018" s="60"/>
      <c r="N1018" s="60"/>
      <c r="O1018" s="60"/>
      <c r="P1018" s="60"/>
      <c r="Q1018" s="64"/>
      <c r="R1018" s="64"/>
      <c r="S1018" s="64"/>
      <c r="T1018" s="64"/>
      <c r="U1018" s="64"/>
      <c r="V1018" s="64"/>
      <c r="W1018" s="64"/>
      <c r="X1018" s="64"/>
      <c r="Y1018" s="64"/>
      <c r="Z1018" s="64"/>
      <c r="AA1018" s="64"/>
      <c r="AB1018" s="64"/>
      <c r="AC1018" s="64"/>
      <c r="AD1018" s="64"/>
      <c r="AE1018" s="64"/>
      <c r="AF1018" s="64"/>
      <c r="AG1018" s="64"/>
      <c r="AH1018" s="64"/>
      <c r="AI1018" s="64"/>
      <c r="AJ1018" s="64"/>
    </row>
    <row r="1019">
      <c r="A1019" s="64"/>
      <c r="B1019" s="64"/>
      <c r="C1019" s="64"/>
      <c r="D1019" s="64"/>
      <c r="E1019" s="64"/>
      <c r="F1019" s="64"/>
      <c r="G1019" s="64"/>
      <c r="H1019" s="64"/>
      <c r="I1019" s="64"/>
      <c r="J1019" s="64"/>
      <c r="K1019" s="64"/>
      <c r="L1019" s="64"/>
      <c r="M1019" s="60"/>
      <c r="N1019" s="60"/>
      <c r="O1019" s="60"/>
      <c r="P1019" s="60"/>
      <c r="Q1019" s="64"/>
      <c r="R1019" s="64"/>
      <c r="S1019" s="64"/>
      <c r="T1019" s="64"/>
      <c r="U1019" s="64"/>
      <c r="V1019" s="64"/>
      <c r="W1019" s="64"/>
      <c r="X1019" s="64"/>
      <c r="Y1019" s="64"/>
      <c r="Z1019" s="64"/>
      <c r="AA1019" s="64"/>
      <c r="AB1019" s="64"/>
      <c r="AC1019" s="64"/>
      <c r="AD1019" s="64"/>
      <c r="AE1019" s="64"/>
      <c r="AF1019" s="64"/>
      <c r="AG1019" s="64"/>
      <c r="AH1019" s="64"/>
      <c r="AI1019" s="64"/>
      <c r="AJ1019" s="64"/>
    </row>
    <row r="1020">
      <c r="A1020" s="64"/>
      <c r="B1020" s="64"/>
      <c r="C1020" s="64"/>
      <c r="D1020" s="64"/>
      <c r="E1020" s="64"/>
      <c r="F1020" s="64"/>
      <c r="G1020" s="64"/>
      <c r="H1020" s="64"/>
      <c r="I1020" s="64"/>
      <c r="J1020" s="64"/>
      <c r="K1020" s="64"/>
      <c r="L1020" s="64"/>
      <c r="M1020" s="60"/>
      <c r="N1020" s="60"/>
      <c r="O1020" s="60"/>
      <c r="P1020" s="60"/>
      <c r="Q1020" s="64"/>
      <c r="R1020" s="64"/>
      <c r="S1020" s="64"/>
      <c r="T1020" s="64"/>
      <c r="U1020" s="64"/>
      <c r="V1020" s="64"/>
      <c r="W1020" s="64"/>
      <c r="X1020" s="64"/>
      <c r="Y1020" s="64"/>
      <c r="Z1020" s="64"/>
      <c r="AA1020" s="64"/>
      <c r="AB1020" s="64"/>
      <c r="AC1020" s="64"/>
      <c r="AD1020" s="64"/>
      <c r="AE1020" s="64"/>
      <c r="AF1020" s="64"/>
      <c r="AG1020" s="64"/>
      <c r="AH1020" s="64"/>
      <c r="AI1020" s="64"/>
      <c r="AJ1020" s="64"/>
    </row>
    <row r="1021">
      <c r="A1021" s="64"/>
      <c r="B1021" s="64"/>
      <c r="C1021" s="64"/>
      <c r="D1021" s="64"/>
      <c r="E1021" s="64"/>
      <c r="F1021" s="64"/>
      <c r="G1021" s="64"/>
      <c r="H1021" s="64"/>
      <c r="I1021" s="64"/>
      <c r="J1021" s="64"/>
      <c r="K1021" s="64"/>
      <c r="L1021" s="64"/>
      <c r="M1021" s="60"/>
      <c r="N1021" s="60"/>
      <c r="O1021" s="60"/>
      <c r="P1021" s="60"/>
      <c r="Q1021" s="64"/>
      <c r="R1021" s="64"/>
      <c r="S1021" s="64"/>
      <c r="T1021" s="64"/>
      <c r="U1021" s="64"/>
      <c r="V1021" s="64"/>
      <c r="W1021" s="64"/>
      <c r="X1021" s="64"/>
      <c r="Y1021" s="64"/>
      <c r="Z1021" s="64"/>
      <c r="AA1021" s="64"/>
      <c r="AB1021" s="64"/>
      <c r="AC1021" s="64"/>
      <c r="AD1021" s="64"/>
      <c r="AE1021" s="64"/>
      <c r="AF1021" s="64"/>
      <c r="AG1021" s="64"/>
      <c r="AH1021" s="64"/>
      <c r="AI1021" s="64"/>
      <c r="AJ1021" s="64"/>
    </row>
    <row r="1022">
      <c r="A1022" s="64"/>
      <c r="B1022" s="64"/>
      <c r="C1022" s="64"/>
      <c r="D1022" s="64"/>
      <c r="E1022" s="64"/>
      <c r="F1022" s="64"/>
      <c r="G1022" s="64"/>
      <c r="H1022" s="64"/>
      <c r="I1022" s="64"/>
      <c r="J1022" s="64"/>
      <c r="K1022" s="64"/>
      <c r="L1022" s="64"/>
      <c r="M1022" s="60"/>
      <c r="N1022" s="60"/>
      <c r="O1022" s="60"/>
      <c r="P1022" s="60"/>
      <c r="Q1022" s="64"/>
      <c r="R1022" s="64"/>
      <c r="S1022" s="64"/>
      <c r="T1022" s="64"/>
      <c r="U1022" s="64"/>
      <c r="V1022" s="64"/>
      <c r="W1022" s="64"/>
      <c r="X1022" s="64"/>
      <c r="Y1022" s="64"/>
      <c r="Z1022" s="64"/>
      <c r="AA1022" s="64"/>
      <c r="AB1022" s="64"/>
      <c r="AC1022" s="64"/>
      <c r="AD1022" s="64"/>
      <c r="AE1022" s="64"/>
      <c r="AF1022" s="64"/>
      <c r="AG1022" s="64"/>
      <c r="AH1022" s="64"/>
      <c r="AI1022" s="64"/>
      <c r="AJ1022" s="64"/>
    </row>
    <row r="1023">
      <c r="A1023" s="64"/>
      <c r="B1023" s="64"/>
      <c r="C1023" s="64"/>
      <c r="D1023" s="64"/>
      <c r="E1023" s="64"/>
      <c r="F1023" s="64"/>
      <c r="G1023" s="64"/>
      <c r="H1023" s="64"/>
      <c r="I1023" s="64"/>
      <c r="J1023" s="64"/>
      <c r="K1023" s="64"/>
      <c r="L1023" s="64"/>
      <c r="M1023" s="60"/>
      <c r="N1023" s="60"/>
      <c r="O1023" s="60"/>
      <c r="P1023" s="60"/>
      <c r="Q1023" s="64"/>
      <c r="R1023" s="64"/>
      <c r="S1023" s="64"/>
      <c r="T1023" s="64"/>
      <c r="U1023" s="64"/>
      <c r="V1023" s="64"/>
      <c r="W1023" s="64"/>
      <c r="X1023" s="64"/>
      <c r="Y1023" s="64"/>
      <c r="Z1023" s="64"/>
      <c r="AA1023" s="64"/>
      <c r="AB1023" s="64"/>
      <c r="AC1023" s="64"/>
      <c r="AD1023" s="64"/>
      <c r="AE1023" s="64"/>
      <c r="AF1023" s="64"/>
      <c r="AG1023" s="64"/>
      <c r="AH1023" s="64"/>
      <c r="AI1023" s="64"/>
      <c r="AJ1023" s="64"/>
    </row>
    <row r="1024">
      <c r="A1024" s="64"/>
      <c r="B1024" s="64"/>
      <c r="C1024" s="64"/>
      <c r="D1024" s="64"/>
      <c r="E1024" s="64"/>
      <c r="F1024" s="64"/>
      <c r="G1024" s="64"/>
      <c r="H1024" s="64"/>
      <c r="I1024" s="64"/>
      <c r="J1024" s="64"/>
      <c r="K1024" s="64"/>
      <c r="L1024" s="64"/>
      <c r="M1024" s="60"/>
      <c r="N1024" s="60"/>
      <c r="O1024" s="60"/>
      <c r="P1024" s="60"/>
      <c r="Q1024" s="64"/>
      <c r="R1024" s="64"/>
      <c r="S1024" s="64"/>
      <c r="T1024" s="64"/>
      <c r="U1024" s="64"/>
      <c r="V1024" s="64"/>
      <c r="W1024" s="64"/>
      <c r="X1024" s="64"/>
      <c r="Y1024" s="64"/>
      <c r="Z1024" s="64"/>
      <c r="AA1024" s="64"/>
      <c r="AB1024" s="64"/>
      <c r="AC1024" s="64"/>
      <c r="AD1024" s="64"/>
      <c r="AE1024" s="64"/>
      <c r="AF1024" s="64"/>
      <c r="AG1024" s="64"/>
      <c r="AH1024" s="64"/>
      <c r="AI1024" s="64"/>
      <c r="AJ1024" s="64"/>
    </row>
    <row r="1025">
      <c r="A1025" s="64"/>
      <c r="B1025" s="64"/>
      <c r="C1025" s="64"/>
      <c r="D1025" s="64"/>
      <c r="E1025" s="64"/>
      <c r="F1025" s="64"/>
      <c r="G1025" s="64"/>
      <c r="H1025" s="64"/>
      <c r="I1025" s="64"/>
      <c r="J1025" s="64"/>
      <c r="K1025" s="64"/>
      <c r="L1025" s="64"/>
      <c r="M1025" s="60"/>
      <c r="N1025" s="60"/>
      <c r="O1025" s="60"/>
      <c r="P1025" s="60"/>
      <c r="Q1025" s="64"/>
      <c r="R1025" s="64"/>
      <c r="S1025" s="64"/>
      <c r="T1025" s="64"/>
      <c r="U1025" s="64"/>
      <c r="V1025" s="64"/>
      <c r="W1025" s="64"/>
      <c r="X1025" s="64"/>
      <c r="Y1025" s="64"/>
      <c r="Z1025" s="64"/>
      <c r="AA1025" s="64"/>
      <c r="AB1025" s="64"/>
      <c r="AC1025" s="64"/>
      <c r="AD1025" s="64"/>
      <c r="AE1025" s="64"/>
      <c r="AF1025" s="64"/>
      <c r="AG1025" s="64"/>
      <c r="AH1025" s="64"/>
      <c r="AI1025" s="64"/>
      <c r="AJ1025" s="64"/>
    </row>
    <row r="1026">
      <c r="A1026" s="64"/>
      <c r="B1026" s="64"/>
      <c r="C1026" s="64"/>
      <c r="D1026" s="64"/>
      <c r="E1026" s="64"/>
      <c r="F1026" s="64"/>
      <c r="G1026" s="64"/>
      <c r="H1026" s="64"/>
      <c r="I1026" s="64"/>
      <c r="J1026" s="64"/>
      <c r="K1026" s="64"/>
      <c r="L1026" s="64"/>
      <c r="M1026" s="60"/>
      <c r="N1026" s="60"/>
      <c r="O1026" s="60"/>
      <c r="P1026" s="60"/>
      <c r="Q1026" s="64"/>
      <c r="R1026" s="64"/>
      <c r="S1026" s="64"/>
      <c r="T1026" s="64"/>
      <c r="U1026" s="64"/>
      <c r="V1026" s="64"/>
      <c r="W1026" s="64"/>
      <c r="X1026" s="64"/>
      <c r="Y1026" s="64"/>
      <c r="Z1026" s="64"/>
      <c r="AA1026" s="64"/>
      <c r="AB1026" s="64"/>
      <c r="AC1026" s="64"/>
      <c r="AD1026" s="64"/>
      <c r="AE1026" s="64"/>
      <c r="AF1026" s="64"/>
      <c r="AG1026" s="64"/>
      <c r="AH1026" s="64"/>
      <c r="AI1026" s="64"/>
      <c r="AJ1026" s="64"/>
    </row>
    <row r="1027">
      <c r="A1027" s="64"/>
      <c r="B1027" s="64"/>
      <c r="C1027" s="64"/>
      <c r="D1027" s="64"/>
      <c r="E1027" s="64"/>
      <c r="F1027" s="64"/>
      <c r="G1027" s="64"/>
      <c r="H1027" s="64"/>
      <c r="I1027" s="64"/>
      <c r="J1027" s="64"/>
      <c r="K1027" s="64"/>
      <c r="L1027" s="64"/>
      <c r="M1027" s="60"/>
      <c r="N1027" s="60"/>
      <c r="O1027" s="60"/>
      <c r="P1027" s="60"/>
      <c r="Q1027" s="64"/>
      <c r="R1027" s="64"/>
      <c r="S1027" s="64"/>
      <c r="T1027" s="64"/>
      <c r="U1027" s="64"/>
      <c r="V1027" s="64"/>
      <c r="W1027" s="64"/>
      <c r="X1027" s="64"/>
      <c r="Y1027" s="64"/>
      <c r="Z1027" s="64"/>
      <c r="AA1027" s="64"/>
      <c r="AB1027" s="64"/>
      <c r="AC1027" s="64"/>
      <c r="AD1027" s="64"/>
      <c r="AE1027" s="64"/>
      <c r="AF1027" s="64"/>
      <c r="AG1027" s="64"/>
      <c r="AH1027" s="64"/>
      <c r="AI1027" s="64"/>
      <c r="AJ1027" s="64"/>
    </row>
    <row r="1028">
      <c r="A1028" s="64"/>
      <c r="B1028" s="64"/>
      <c r="C1028" s="64"/>
      <c r="D1028" s="64"/>
      <c r="E1028" s="64"/>
      <c r="F1028" s="64"/>
      <c r="G1028" s="64"/>
      <c r="H1028" s="64"/>
      <c r="I1028" s="64"/>
      <c r="J1028" s="64"/>
      <c r="K1028" s="64"/>
      <c r="L1028" s="64"/>
      <c r="M1028" s="60"/>
      <c r="N1028" s="60"/>
      <c r="O1028" s="60"/>
      <c r="P1028" s="60"/>
      <c r="Q1028" s="64"/>
      <c r="R1028" s="64"/>
      <c r="S1028" s="64"/>
      <c r="T1028" s="64"/>
      <c r="U1028" s="64"/>
      <c r="V1028" s="64"/>
      <c r="W1028" s="64"/>
      <c r="X1028" s="64"/>
      <c r="Y1028" s="64"/>
      <c r="Z1028" s="64"/>
      <c r="AA1028" s="64"/>
      <c r="AB1028" s="64"/>
      <c r="AC1028" s="64"/>
      <c r="AD1028" s="64"/>
      <c r="AE1028" s="64"/>
      <c r="AF1028" s="64"/>
      <c r="AG1028" s="64"/>
      <c r="AH1028" s="64"/>
      <c r="AI1028" s="64"/>
      <c r="AJ1028" s="64"/>
    </row>
    <row r="1029">
      <c r="A1029" s="64"/>
      <c r="B1029" s="64"/>
      <c r="C1029" s="64"/>
      <c r="D1029" s="64"/>
      <c r="E1029" s="64"/>
      <c r="F1029" s="64"/>
      <c r="G1029" s="64"/>
      <c r="H1029" s="64"/>
      <c r="I1029" s="64"/>
      <c r="J1029" s="64"/>
      <c r="K1029" s="64"/>
      <c r="L1029" s="64"/>
      <c r="M1029" s="60"/>
      <c r="N1029" s="60"/>
      <c r="O1029" s="60"/>
      <c r="P1029" s="60"/>
      <c r="Q1029" s="64"/>
      <c r="R1029" s="64"/>
      <c r="S1029" s="64"/>
      <c r="T1029" s="64"/>
      <c r="U1029" s="64"/>
      <c r="V1029" s="64"/>
      <c r="W1029" s="64"/>
      <c r="X1029" s="64"/>
      <c r="Y1029" s="64"/>
      <c r="Z1029" s="64"/>
      <c r="AA1029" s="64"/>
      <c r="AB1029" s="64"/>
      <c r="AC1029" s="64"/>
      <c r="AD1029" s="64"/>
      <c r="AE1029" s="64"/>
      <c r="AF1029" s="64"/>
      <c r="AG1029" s="64"/>
      <c r="AH1029" s="64"/>
      <c r="AI1029" s="64"/>
      <c r="AJ1029" s="64"/>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4.0"/>
    <col customWidth="1" min="13" max="13" width="25.13"/>
  </cols>
  <sheetData>
    <row r="1">
      <c r="A1" s="127" t="s">
        <v>2597</v>
      </c>
      <c r="B1" s="128" t="s">
        <v>2301</v>
      </c>
      <c r="C1" s="128" t="s">
        <v>2161</v>
      </c>
      <c r="D1" s="128" t="s">
        <v>2598</v>
      </c>
      <c r="E1" s="128" t="s">
        <v>2599</v>
      </c>
      <c r="F1" s="128" t="s">
        <v>2600</v>
      </c>
      <c r="G1" s="128" t="s">
        <v>2601</v>
      </c>
      <c r="H1" s="128" t="s">
        <v>2602</v>
      </c>
      <c r="I1" s="128" t="s">
        <v>2603</v>
      </c>
      <c r="J1" s="128" t="s">
        <v>2604</v>
      </c>
      <c r="K1" s="128" t="s">
        <v>2605</v>
      </c>
      <c r="L1" s="128" t="s">
        <v>2606</v>
      </c>
      <c r="M1" s="128" t="s">
        <v>2607</v>
      </c>
    </row>
    <row r="2">
      <c r="A2" s="129">
        <v>1.0</v>
      </c>
      <c r="B2" s="130">
        <v>44316.0</v>
      </c>
      <c r="C2" s="129" t="s">
        <v>2174</v>
      </c>
      <c r="D2" s="129" t="s">
        <v>2608</v>
      </c>
      <c r="E2" s="129" t="s">
        <v>2266</v>
      </c>
      <c r="F2" s="131"/>
      <c r="G2" s="129" t="s">
        <v>2609</v>
      </c>
      <c r="H2" s="132">
        <f>+919643158267</f>
        <v>919643158267</v>
      </c>
      <c r="I2" s="129"/>
      <c r="J2" s="129" t="s">
        <v>2610</v>
      </c>
      <c r="K2" s="133" t="s">
        <v>2611</v>
      </c>
      <c r="L2" s="129" t="s">
        <v>2612</v>
      </c>
      <c r="M2" s="129" t="s">
        <v>2358</v>
      </c>
    </row>
    <row r="3">
      <c r="A3" s="129">
        <v>2.0</v>
      </c>
      <c r="B3" s="130">
        <v>44316.0</v>
      </c>
      <c r="C3" s="129" t="s">
        <v>2613</v>
      </c>
      <c r="D3" s="129" t="s">
        <v>2383</v>
      </c>
      <c r="E3" s="129" t="s">
        <v>2614</v>
      </c>
      <c r="F3" s="131"/>
      <c r="G3" s="129" t="s">
        <v>2615</v>
      </c>
      <c r="H3" s="134" t="s">
        <v>2616</v>
      </c>
      <c r="I3" s="129"/>
      <c r="J3" s="129" t="s">
        <v>2617</v>
      </c>
      <c r="K3" s="133" t="s">
        <v>2618</v>
      </c>
      <c r="L3" s="129" t="s">
        <v>2619</v>
      </c>
      <c r="M3" s="129" t="s">
        <v>2358</v>
      </c>
    </row>
    <row r="4">
      <c r="A4" s="129">
        <v>3.0</v>
      </c>
      <c r="B4" s="130">
        <v>44315.0</v>
      </c>
      <c r="C4" s="129" t="s">
        <v>2174</v>
      </c>
      <c r="D4" s="129" t="s">
        <v>2620</v>
      </c>
      <c r="E4" s="129" t="s">
        <v>2320</v>
      </c>
      <c r="F4" s="131"/>
      <c r="G4" s="135" t="s">
        <v>2621</v>
      </c>
      <c r="H4" s="136">
        <v>8.293781255E9</v>
      </c>
      <c r="I4" s="129"/>
      <c r="J4" s="129" t="s">
        <v>2622</v>
      </c>
      <c r="K4" s="133" t="s">
        <v>2623</v>
      </c>
      <c r="L4" s="131"/>
      <c r="M4" s="129" t="s">
        <v>2624</v>
      </c>
    </row>
    <row r="5">
      <c r="A5" s="129"/>
      <c r="B5" s="137">
        <v>44331.0</v>
      </c>
      <c r="C5" s="129" t="s">
        <v>2625</v>
      </c>
      <c r="D5" s="129"/>
      <c r="E5" s="129"/>
      <c r="F5" s="131"/>
      <c r="G5" s="129" t="s">
        <v>2626</v>
      </c>
      <c r="H5" s="138" t="s">
        <v>2616</v>
      </c>
      <c r="I5" s="129"/>
      <c r="J5" s="129"/>
      <c r="K5" s="129" t="s">
        <v>2496</v>
      </c>
      <c r="L5" s="138" t="s">
        <v>2627</v>
      </c>
      <c r="M5" s="139"/>
    </row>
    <row r="6">
      <c r="A6" s="129">
        <v>4.0</v>
      </c>
      <c r="B6" s="137">
        <v>44335.0</v>
      </c>
      <c r="C6" s="129" t="s">
        <v>2628</v>
      </c>
      <c r="D6" s="129" t="s">
        <v>2629</v>
      </c>
      <c r="E6" s="129" t="s">
        <v>2630</v>
      </c>
      <c r="F6" s="131"/>
      <c r="G6" s="129" t="s">
        <v>2631</v>
      </c>
      <c r="H6" s="129">
        <f>912184225474</f>
        <v>912184225474</v>
      </c>
      <c r="I6" s="129"/>
      <c r="J6" s="129" t="s">
        <v>2632</v>
      </c>
      <c r="K6" s="129" t="s">
        <v>2633</v>
      </c>
      <c r="L6" s="129" t="s">
        <v>2634</v>
      </c>
      <c r="M6" s="129" t="s">
        <v>2635</v>
      </c>
    </row>
    <row r="7">
      <c r="A7" s="129">
        <v>5.0</v>
      </c>
      <c r="B7" s="137">
        <v>44335.0</v>
      </c>
      <c r="C7" s="129" t="s">
        <v>2636</v>
      </c>
      <c r="D7" s="129" t="s">
        <v>2496</v>
      </c>
      <c r="E7" s="129" t="s">
        <v>2496</v>
      </c>
      <c r="F7" s="131"/>
      <c r="G7" s="129" t="s">
        <v>2637</v>
      </c>
      <c r="H7" s="129">
        <v>7.4520092E9</v>
      </c>
      <c r="I7" s="129"/>
      <c r="J7" s="129" t="s">
        <v>2632</v>
      </c>
      <c r="K7" s="133" t="s">
        <v>2638</v>
      </c>
      <c r="L7" s="131"/>
      <c r="M7" s="129" t="s">
        <v>2639</v>
      </c>
    </row>
    <row r="8">
      <c r="A8" s="140">
        <v>6.0</v>
      </c>
      <c r="B8" s="141">
        <v>44336.0</v>
      </c>
      <c r="C8" s="140" t="s">
        <v>2640</v>
      </c>
      <c r="D8" s="140" t="s">
        <v>2641</v>
      </c>
      <c r="E8" s="140" t="s">
        <v>2642</v>
      </c>
      <c r="F8" s="142"/>
      <c r="G8" s="140" t="s">
        <v>2643</v>
      </c>
      <c r="H8" s="143" t="s">
        <v>2644</v>
      </c>
      <c r="I8" s="140"/>
      <c r="J8" s="140" t="s">
        <v>2617</v>
      </c>
      <c r="K8" s="144" t="s">
        <v>2645</v>
      </c>
      <c r="L8" s="142"/>
      <c r="M8" s="140" t="s">
        <v>2646</v>
      </c>
      <c r="N8" s="145"/>
      <c r="O8" s="145"/>
      <c r="P8" s="145"/>
      <c r="Q8" s="145"/>
      <c r="R8" s="145"/>
      <c r="S8" s="145"/>
      <c r="T8" s="145"/>
      <c r="U8" s="145"/>
      <c r="V8" s="145"/>
      <c r="W8" s="145"/>
      <c r="X8" s="145"/>
      <c r="Y8" s="145"/>
      <c r="Z8" s="145"/>
    </row>
    <row r="9">
      <c r="A9" s="129">
        <v>7.0</v>
      </c>
      <c r="B9" s="130">
        <v>44337.0</v>
      </c>
      <c r="C9" s="129" t="s">
        <v>2628</v>
      </c>
      <c r="D9" s="129" t="s">
        <v>2647</v>
      </c>
      <c r="E9" s="129" t="s">
        <v>2184</v>
      </c>
      <c r="F9" s="129"/>
      <c r="G9" s="129" t="s">
        <v>2648</v>
      </c>
      <c r="H9" s="138" t="s">
        <v>2616</v>
      </c>
      <c r="I9" s="129"/>
      <c r="J9" s="129" t="s">
        <v>2649</v>
      </c>
      <c r="K9" s="129" t="s">
        <v>2650</v>
      </c>
      <c r="L9" s="146" t="s">
        <v>2651</v>
      </c>
      <c r="M9" s="129" t="s">
        <v>2374</v>
      </c>
    </row>
    <row r="10">
      <c r="A10" s="129">
        <v>8.0</v>
      </c>
      <c r="B10" s="130">
        <v>44345.0</v>
      </c>
      <c r="C10" s="129" t="s">
        <v>2652</v>
      </c>
      <c r="D10" s="129" t="s">
        <v>2653</v>
      </c>
      <c r="E10" s="129" t="s">
        <v>2654</v>
      </c>
      <c r="F10" s="129" t="s">
        <v>2655</v>
      </c>
      <c r="G10" s="129" t="s">
        <v>2656</v>
      </c>
      <c r="H10" s="129" t="s">
        <v>2657</v>
      </c>
      <c r="I10" s="129"/>
      <c r="J10" s="129" t="s">
        <v>2617</v>
      </c>
      <c r="K10" s="133" t="s">
        <v>2658</v>
      </c>
      <c r="L10" s="131"/>
      <c r="M10" s="129" t="s">
        <v>2536</v>
      </c>
    </row>
    <row r="11">
      <c r="A11" s="140">
        <v>9.0</v>
      </c>
      <c r="B11" s="147">
        <v>44349.0</v>
      </c>
      <c r="C11" s="140" t="s">
        <v>2659</v>
      </c>
      <c r="D11" s="140" t="s">
        <v>2287</v>
      </c>
      <c r="E11" s="140" t="s">
        <v>2229</v>
      </c>
      <c r="F11" s="142"/>
      <c r="G11" s="140" t="s">
        <v>2660</v>
      </c>
      <c r="H11" s="140">
        <v>9.811140057E9</v>
      </c>
      <c r="I11" s="140"/>
      <c r="J11" s="140" t="s">
        <v>2661</v>
      </c>
      <c r="K11" s="144" t="s">
        <v>2662</v>
      </c>
      <c r="L11" s="142"/>
      <c r="M11" s="148" t="s">
        <v>2663</v>
      </c>
      <c r="N11" s="145"/>
      <c r="O11" s="145"/>
      <c r="P11" s="145"/>
      <c r="Q11" s="145"/>
      <c r="R11" s="145"/>
      <c r="S11" s="145"/>
      <c r="T11" s="145"/>
      <c r="U11" s="145"/>
      <c r="V11" s="145"/>
      <c r="W11" s="145"/>
      <c r="X11" s="145"/>
      <c r="Y11" s="145"/>
      <c r="Z11" s="145"/>
    </row>
    <row r="12">
      <c r="A12" s="129">
        <v>10.0</v>
      </c>
      <c r="B12" s="130">
        <v>44355.0</v>
      </c>
      <c r="C12" s="129" t="s">
        <v>2174</v>
      </c>
      <c r="D12" s="129" t="s">
        <v>2664</v>
      </c>
      <c r="E12" s="129" t="s">
        <v>2630</v>
      </c>
      <c r="F12" s="129" t="s">
        <v>2665</v>
      </c>
      <c r="G12" s="129" t="s">
        <v>2666</v>
      </c>
      <c r="H12" s="129">
        <v>9.970943371E9</v>
      </c>
      <c r="I12" s="129"/>
      <c r="J12" s="129" t="s">
        <v>2617</v>
      </c>
      <c r="K12" s="133" t="s">
        <v>2667</v>
      </c>
      <c r="L12" s="131"/>
      <c r="M12" s="129" t="s">
        <v>2639</v>
      </c>
    </row>
    <row r="13">
      <c r="A13" s="140">
        <v>11.0</v>
      </c>
      <c r="B13" s="141">
        <v>44358.0</v>
      </c>
      <c r="C13" s="140" t="s">
        <v>2174</v>
      </c>
      <c r="D13" s="142"/>
      <c r="E13" s="142"/>
      <c r="F13" s="142"/>
      <c r="G13" s="140" t="s">
        <v>2668</v>
      </c>
      <c r="H13" s="140">
        <v>9.423585733E9</v>
      </c>
      <c r="I13" s="140"/>
      <c r="J13" s="140" t="s">
        <v>2669</v>
      </c>
      <c r="K13" s="144" t="s">
        <v>2670</v>
      </c>
      <c r="L13" s="142"/>
      <c r="M13" s="148" t="s">
        <v>2671</v>
      </c>
      <c r="N13" s="145"/>
      <c r="O13" s="145"/>
      <c r="P13" s="145"/>
      <c r="Q13" s="145"/>
      <c r="R13" s="145"/>
      <c r="S13" s="145"/>
      <c r="T13" s="145"/>
      <c r="U13" s="145"/>
      <c r="V13" s="145"/>
      <c r="W13" s="145"/>
      <c r="X13" s="145"/>
      <c r="Y13" s="145"/>
      <c r="Z13" s="145"/>
    </row>
    <row r="14">
      <c r="A14" s="129">
        <v>12.0</v>
      </c>
      <c r="B14" s="137">
        <v>44358.0</v>
      </c>
      <c r="C14" s="129" t="s">
        <v>2625</v>
      </c>
      <c r="D14" s="129"/>
      <c r="E14" s="129"/>
      <c r="F14" s="129"/>
      <c r="G14" s="129" t="s">
        <v>2672</v>
      </c>
      <c r="H14" s="129"/>
      <c r="I14" s="134"/>
      <c r="J14" s="149" t="s">
        <v>2669</v>
      </c>
      <c r="K14" s="129" t="s">
        <v>2673</v>
      </c>
      <c r="L14" s="138" t="s">
        <v>2674</v>
      </c>
      <c r="M14" s="129" t="s">
        <v>2675</v>
      </c>
    </row>
    <row r="15">
      <c r="A15" s="140">
        <v>13.0</v>
      </c>
      <c r="B15" s="141">
        <v>44359.0</v>
      </c>
      <c r="C15" s="140" t="s">
        <v>2174</v>
      </c>
      <c r="D15" s="140" t="s">
        <v>2676</v>
      </c>
      <c r="E15" s="140" t="s">
        <v>2677</v>
      </c>
      <c r="F15" s="140" t="s">
        <v>2678</v>
      </c>
      <c r="G15" s="140" t="s">
        <v>2679</v>
      </c>
      <c r="H15" s="140">
        <v>9.622127948E9</v>
      </c>
      <c r="I15" s="140"/>
      <c r="J15" s="140" t="s">
        <v>2669</v>
      </c>
      <c r="K15" s="144" t="s">
        <v>2680</v>
      </c>
      <c r="L15" s="142"/>
      <c r="M15" s="148" t="s">
        <v>2681</v>
      </c>
      <c r="N15" s="145"/>
      <c r="O15" s="145"/>
      <c r="P15" s="145"/>
      <c r="Q15" s="145"/>
      <c r="R15" s="145"/>
      <c r="S15" s="145"/>
      <c r="T15" s="145"/>
      <c r="U15" s="145"/>
      <c r="V15" s="145"/>
      <c r="W15" s="145"/>
      <c r="X15" s="145"/>
      <c r="Y15" s="145"/>
      <c r="Z15" s="145"/>
    </row>
    <row r="16">
      <c r="A16" s="138">
        <v>14.0</v>
      </c>
      <c r="B16" s="150">
        <v>44361.0</v>
      </c>
      <c r="C16" s="138" t="s">
        <v>2216</v>
      </c>
      <c r="D16" s="138" t="s">
        <v>2682</v>
      </c>
      <c r="E16" s="138" t="s">
        <v>2249</v>
      </c>
      <c r="F16" s="151"/>
      <c r="G16" s="138" t="s">
        <v>2683</v>
      </c>
      <c r="H16" s="152">
        <v>9.326013798E9</v>
      </c>
      <c r="I16" s="138"/>
      <c r="J16" s="138" t="s">
        <v>2669</v>
      </c>
      <c r="K16" s="153" t="s">
        <v>2684</v>
      </c>
      <c r="L16" s="151"/>
      <c r="M16" s="138" t="s">
        <v>2685</v>
      </c>
    </row>
    <row r="17">
      <c r="A17" s="154">
        <v>15.0</v>
      </c>
      <c r="B17" s="155">
        <v>44361.0</v>
      </c>
      <c r="C17" s="154" t="s">
        <v>2216</v>
      </c>
      <c r="D17" s="154" t="s">
        <v>2228</v>
      </c>
      <c r="E17" s="154" t="s">
        <v>2677</v>
      </c>
      <c r="F17" s="154" t="s">
        <v>2686</v>
      </c>
      <c r="G17" s="154" t="s">
        <v>2687</v>
      </c>
      <c r="H17" s="154">
        <v>8.527086818E9</v>
      </c>
      <c r="I17" s="154"/>
      <c r="J17" s="154" t="s">
        <v>2669</v>
      </c>
      <c r="K17" s="156" t="s">
        <v>2688</v>
      </c>
      <c r="L17" s="157"/>
      <c r="M17" s="158" t="s">
        <v>2689</v>
      </c>
      <c r="N17" s="9" t="s">
        <v>2690</v>
      </c>
    </row>
    <row r="18">
      <c r="A18" s="129">
        <v>16.0</v>
      </c>
      <c r="B18" s="137">
        <v>44361.0</v>
      </c>
      <c r="C18" s="129" t="s">
        <v>2691</v>
      </c>
      <c r="D18" s="129" t="s">
        <v>2692</v>
      </c>
      <c r="E18" s="129" t="s">
        <v>2249</v>
      </c>
      <c r="F18" s="131"/>
      <c r="G18" s="129" t="s">
        <v>2693</v>
      </c>
      <c r="H18" s="138" t="s">
        <v>2616</v>
      </c>
      <c r="I18" s="134" t="s">
        <v>2694</v>
      </c>
      <c r="J18" s="149" t="s">
        <v>2669</v>
      </c>
      <c r="K18" s="133" t="s">
        <v>2695</v>
      </c>
      <c r="L18" s="146" t="s">
        <v>2696</v>
      </c>
      <c r="M18" s="129" t="s">
        <v>2374</v>
      </c>
    </row>
    <row r="19">
      <c r="A19" s="129">
        <v>17.0</v>
      </c>
      <c r="B19" s="137">
        <v>44370.0</v>
      </c>
      <c r="C19" s="131"/>
      <c r="D19" s="131"/>
      <c r="E19" s="131"/>
      <c r="F19" s="131"/>
      <c r="G19" s="131"/>
      <c r="H19" s="131"/>
      <c r="I19" s="134"/>
      <c r="J19" s="149" t="s">
        <v>2669</v>
      </c>
      <c r="K19" s="159" t="s">
        <v>2697</v>
      </c>
      <c r="L19" s="131"/>
      <c r="M19" s="129" t="s">
        <v>2675</v>
      </c>
    </row>
    <row r="20">
      <c r="A20" s="129">
        <v>18.0</v>
      </c>
      <c r="B20" s="137">
        <v>44379.0</v>
      </c>
      <c r="C20" s="129" t="s">
        <v>2698</v>
      </c>
      <c r="D20" s="129" t="s">
        <v>2699</v>
      </c>
      <c r="E20" s="129" t="s">
        <v>2550</v>
      </c>
      <c r="F20" s="129" t="s">
        <v>2700</v>
      </c>
      <c r="G20" s="129" t="s">
        <v>2701</v>
      </c>
      <c r="H20" s="129">
        <v>9.040441429E9</v>
      </c>
      <c r="I20" s="160" t="s">
        <v>2702</v>
      </c>
      <c r="J20" s="129" t="s">
        <v>2617</v>
      </c>
      <c r="K20" s="129" t="s">
        <v>2703</v>
      </c>
      <c r="L20" s="131"/>
      <c r="M20" s="10" t="s">
        <v>2704</v>
      </c>
    </row>
    <row r="21">
      <c r="A21" s="140">
        <v>19.0</v>
      </c>
      <c r="B21" s="141">
        <v>44382.0</v>
      </c>
      <c r="C21" s="140" t="s">
        <v>2705</v>
      </c>
      <c r="D21" s="140" t="s">
        <v>2706</v>
      </c>
      <c r="E21" s="140" t="s">
        <v>2280</v>
      </c>
      <c r="F21" s="161" t="s">
        <v>2707</v>
      </c>
      <c r="G21" s="140" t="s">
        <v>2708</v>
      </c>
      <c r="H21" s="140" t="s">
        <v>2709</v>
      </c>
      <c r="I21" s="162" t="s">
        <v>2710</v>
      </c>
      <c r="J21" s="140" t="s">
        <v>2617</v>
      </c>
      <c r="K21" s="140" t="s">
        <v>2703</v>
      </c>
      <c r="L21" s="142"/>
      <c r="M21" s="148" t="s">
        <v>2711</v>
      </c>
      <c r="N21" s="145"/>
      <c r="O21" s="145"/>
      <c r="P21" s="145"/>
      <c r="Q21" s="145"/>
      <c r="R21" s="145"/>
      <c r="S21" s="145"/>
      <c r="T21" s="145"/>
      <c r="U21" s="145"/>
      <c r="V21" s="145"/>
      <c r="W21" s="145"/>
      <c r="X21" s="145"/>
      <c r="Y21" s="145"/>
      <c r="Z21" s="145"/>
    </row>
    <row r="22">
      <c r="A22" s="129">
        <v>20.0</v>
      </c>
      <c r="B22" s="137">
        <v>44386.0</v>
      </c>
      <c r="C22" s="129" t="s">
        <v>2698</v>
      </c>
      <c r="D22" s="163" t="s">
        <v>2712</v>
      </c>
      <c r="E22" s="163" t="s">
        <v>2210</v>
      </c>
      <c r="F22" s="131"/>
      <c r="G22" s="134" t="s">
        <v>2713</v>
      </c>
      <c r="H22" s="138" t="s">
        <v>2616</v>
      </c>
      <c r="I22" s="134"/>
      <c r="J22" s="149" t="s">
        <v>2669</v>
      </c>
      <c r="K22" s="129" t="s">
        <v>2703</v>
      </c>
      <c r="L22" s="131"/>
      <c r="M22" s="139"/>
    </row>
    <row r="23">
      <c r="A23" s="164">
        <v>21.0</v>
      </c>
      <c r="B23" s="165">
        <v>44391.0</v>
      </c>
      <c r="C23" s="166" t="s">
        <v>2714</v>
      </c>
      <c r="D23" s="167" t="s">
        <v>2715</v>
      </c>
      <c r="E23" s="164" t="s">
        <v>2716</v>
      </c>
      <c r="F23" s="168" t="s">
        <v>2717</v>
      </c>
      <c r="G23" s="164" t="s">
        <v>2718</v>
      </c>
      <c r="H23" s="169">
        <v>9.812040959E9</v>
      </c>
      <c r="I23" s="164"/>
      <c r="J23" s="164" t="s">
        <v>2669</v>
      </c>
      <c r="K23" s="164" t="s">
        <v>2703</v>
      </c>
      <c r="L23" s="170"/>
      <c r="M23" s="171" t="s">
        <v>2719</v>
      </c>
    </row>
    <row r="24">
      <c r="A24" s="129">
        <v>22.0</v>
      </c>
      <c r="B24" s="137">
        <v>44395.0</v>
      </c>
      <c r="C24" s="172" t="s">
        <v>2698</v>
      </c>
      <c r="D24" s="173" t="s">
        <v>2720</v>
      </c>
      <c r="E24" s="129" t="s">
        <v>2202</v>
      </c>
      <c r="F24" s="131"/>
      <c r="G24" s="174" t="s">
        <v>2721</v>
      </c>
      <c r="H24" s="131"/>
      <c r="I24" s="175"/>
      <c r="J24" s="149" t="s">
        <v>2669</v>
      </c>
      <c r="K24" s="129" t="s">
        <v>2703</v>
      </c>
      <c r="L24" s="131"/>
      <c r="M24" s="129" t="s">
        <v>2374</v>
      </c>
      <c r="P24" s="9" t="s">
        <v>2722</v>
      </c>
    </row>
    <row r="25">
      <c r="A25" s="129">
        <v>23.0</v>
      </c>
      <c r="B25" s="137">
        <v>44395.0</v>
      </c>
      <c r="C25" s="172" t="s">
        <v>2714</v>
      </c>
      <c r="D25" s="131"/>
      <c r="E25" s="131"/>
      <c r="F25" s="131"/>
      <c r="G25" s="176" t="s">
        <v>2723</v>
      </c>
      <c r="H25" s="131"/>
      <c r="I25" s="175"/>
      <c r="J25" s="149" t="s">
        <v>2669</v>
      </c>
      <c r="K25" s="129" t="s">
        <v>2703</v>
      </c>
      <c r="L25" s="131"/>
      <c r="M25" s="129" t="s">
        <v>2374</v>
      </c>
      <c r="P25" s="9" t="s">
        <v>2724</v>
      </c>
    </row>
    <row r="26">
      <c r="A26" s="129">
        <v>24.0</v>
      </c>
      <c r="B26" s="137">
        <v>44395.0</v>
      </c>
      <c r="C26" s="172" t="s">
        <v>2714</v>
      </c>
      <c r="D26" s="129" t="s">
        <v>2725</v>
      </c>
      <c r="E26" s="131"/>
      <c r="F26" s="131"/>
      <c r="G26" s="177" t="s">
        <v>2726</v>
      </c>
      <c r="H26" s="131"/>
      <c r="I26" s="175"/>
      <c r="J26" s="149" t="s">
        <v>2669</v>
      </c>
      <c r="K26" s="129" t="s">
        <v>2703</v>
      </c>
      <c r="L26" s="131"/>
      <c r="M26" s="129" t="s">
        <v>2536</v>
      </c>
    </row>
    <row r="27">
      <c r="A27" s="129">
        <v>25.0</v>
      </c>
      <c r="B27" s="137">
        <v>44396.0</v>
      </c>
      <c r="C27" s="129" t="s">
        <v>2625</v>
      </c>
      <c r="D27" s="129" t="s">
        <v>2383</v>
      </c>
      <c r="E27" s="129" t="s">
        <v>2614</v>
      </c>
      <c r="F27" s="131"/>
      <c r="G27" s="176" t="s">
        <v>2727</v>
      </c>
      <c r="H27" s="129" t="s">
        <v>2728</v>
      </c>
      <c r="I27" s="131"/>
      <c r="J27" s="149" t="s">
        <v>2669</v>
      </c>
      <c r="K27" s="138" t="s">
        <v>2729</v>
      </c>
      <c r="L27" s="131"/>
      <c r="M27" s="129" t="s">
        <v>2536</v>
      </c>
    </row>
    <row r="28">
      <c r="A28" s="129">
        <v>26.0</v>
      </c>
      <c r="B28" s="137">
        <v>44396.0</v>
      </c>
      <c r="C28" s="172" t="s">
        <v>2698</v>
      </c>
      <c r="D28" s="129" t="s">
        <v>2730</v>
      </c>
      <c r="E28" s="129" t="s">
        <v>2249</v>
      </c>
      <c r="F28" s="129" t="s">
        <v>2731</v>
      </c>
      <c r="G28" s="129" t="s">
        <v>2732</v>
      </c>
      <c r="H28" s="178" t="s">
        <v>2733</v>
      </c>
      <c r="I28" s="179" t="s">
        <v>2734</v>
      </c>
      <c r="J28" s="149" t="s">
        <v>2669</v>
      </c>
      <c r="K28" s="129" t="s">
        <v>2703</v>
      </c>
      <c r="L28" s="131"/>
      <c r="M28" s="180" t="s">
        <v>2735</v>
      </c>
    </row>
    <row r="29">
      <c r="A29" s="129">
        <v>27.0</v>
      </c>
      <c r="B29" s="137">
        <v>44401.0</v>
      </c>
      <c r="C29" s="172" t="s">
        <v>2698</v>
      </c>
      <c r="D29" s="129" t="s">
        <v>2736</v>
      </c>
      <c r="E29" s="129" t="s">
        <v>2737</v>
      </c>
      <c r="F29" s="131"/>
      <c r="G29" s="129" t="s">
        <v>2738</v>
      </c>
      <c r="H29" s="181"/>
      <c r="I29" s="131"/>
      <c r="J29" s="149" t="s">
        <v>2669</v>
      </c>
      <c r="K29" s="129" t="s">
        <v>2703</v>
      </c>
      <c r="L29" s="131"/>
      <c r="M29" s="139"/>
    </row>
    <row r="30">
      <c r="A30" s="129">
        <v>28.0</v>
      </c>
      <c r="B30" s="130">
        <v>44415.0</v>
      </c>
      <c r="C30" s="172" t="s">
        <v>2698</v>
      </c>
      <c r="D30" s="129" t="s">
        <v>2608</v>
      </c>
      <c r="E30" s="129" t="s">
        <v>2266</v>
      </c>
      <c r="F30" s="182" t="s">
        <v>2739</v>
      </c>
      <c r="G30" s="183" t="s">
        <v>2740</v>
      </c>
      <c r="H30" s="184">
        <v>9.87935305E9</v>
      </c>
      <c r="I30" s="131"/>
      <c r="J30" s="149" t="s">
        <v>2669</v>
      </c>
      <c r="K30" s="129" t="s">
        <v>2703</v>
      </c>
      <c r="L30" s="131"/>
      <c r="M30" s="180" t="s">
        <v>2741</v>
      </c>
    </row>
    <row r="31">
      <c r="A31" s="129">
        <v>29.0</v>
      </c>
      <c r="B31" s="130">
        <v>44436.0</v>
      </c>
      <c r="C31" s="129" t="s">
        <v>2742</v>
      </c>
      <c r="D31" s="129" t="s">
        <v>2743</v>
      </c>
      <c r="E31" s="129" t="s">
        <v>2744</v>
      </c>
      <c r="F31" s="182" t="s">
        <v>2745</v>
      </c>
      <c r="G31" s="129" t="s">
        <v>2746</v>
      </c>
      <c r="H31" s="184">
        <v>9.0413331E9</v>
      </c>
      <c r="I31" s="182" t="s">
        <v>2747</v>
      </c>
      <c r="J31" s="129" t="s">
        <v>2748</v>
      </c>
      <c r="K31" s="129" t="s">
        <v>2703</v>
      </c>
      <c r="L31" s="131"/>
      <c r="M31" s="180" t="s">
        <v>2749</v>
      </c>
    </row>
    <row r="32">
      <c r="M32" s="7"/>
    </row>
    <row r="33">
      <c r="M33" s="7"/>
    </row>
    <row r="34">
      <c r="F34" s="6"/>
      <c r="I34" s="6"/>
      <c r="M34" s="7"/>
    </row>
    <row r="35">
      <c r="M35" s="7"/>
    </row>
    <row r="36">
      <c r="M36" s="7"/>
    </row>
    <row r="37">
      <c r="M37" s="7"/>
    </row>
    <row r="38">
      <c r="M38" s="7"/>
    </row>
    <row r="39">
      <c r="M39" s="7"/>
    </row>
    <row r="40">
      <c r="M40" s="7"/>
    </row>
    <row r="41">
      <c r="M41" s="7"/>
    </row>
    <row r="42">
      <c r="M42" s="7"/>
    </row>
    <row r="43">
      <c r="M43" s="7"/>
    </row>
    <row r="44">
      <c r="M44" s="7"/>
    </row>
    <row r="45">
      <c r="M45" s="7"/>
    </row>
    <row r="46">
      <c r="M46" s="7"/>
    </row>
    <row r="47">
      <c r="M47" s="7"/>
    </row>
    <row r="48">
      <c r="M48" s="7"/>
    </row>
    <row r="49">
      <c r="M49" s="7"/>
    </row>
    <row r="50">
      <c r="M50" s="7"/>
    </row>
    <row r="51">
      <c r="M51" s="7"/>
    </row>
    <row r="52">
      <c r="M52" s="7"/>
    </row>
    <row r="53">
      <c r="M53" s="7"/>
    </row>
    <row r="54">
      <c r="M54" s="7"/>
    </row>
    <row r="55">
      <c r="M55" s="7"/>
    </row>
    <row r="56">
      <c r="M56" s="7"/>
    </row>
    <row r="57">
      <c r="M57" s="7"/>
    </row>
    <row r="58">
      <c r="M58" s="7"/>
    </row>
    <row r="59">
      <c r="M59" s="7"/>
    </row>
    <row r="60">
      <c r="M60" s="7"/>
    </row>
    <row r="61">
      <c r="M61" s="7"/>
    </row>
    <row r="62">
      <c r="M62" s="7"/>
    </row>
    <row r="63">
      <c r="M63" s="7"/>
    </row>
    <row r="64">
      <c r="M64" s="7"/>
    </row>
    <row r="65">
      <c r="M65" s="7"/>
    </row>
    <row r="66">
      <c r="M66" s="7"/>
    </row>
    <row r="67">
      <c r="M67" s="7"/>
    </row>
    <row r="68">
      <c r="M68" s="7"/>
    </row>
    <row r="69">
      <c r="M69" s="7"/>
    </row>
    <row r="70">
      <c r="M70" s="7"/>
    </row>
    <row r="71">
      <c r="M71" s="7"/>
    </row>
    <row r="72">
      <c r="M72" s="7"/>
    </row>
    <row r="73">
      <c r="M73" s="7"/>
    </row>
    <row r="74">
      <c r="M74" s="7"/>
    </row>
    <row r="75">
      <c r="M75" s="7"/>
    </row>
    <row r="76">
      <c r="M76" s="7"/>
    </row>
    <row r="77">
      <c r="M77" s="7"/>
    </row>
    <row r="78">
      <c r="M78" s="7"/>
    </row>
    <row r="79">
      <c r="M79" s="7"/>
    </row>
    <row r="80">
      <c r="M80" s="7"/>
    </row>
    <row r="81">
      <c r="M81" s="7"/>
    </row>
    <row r="82">
      <c r="M82" s="7"/>
    </row>
    <row r="83">
      <c r="M83" s="7"/>
    </row>
    <row r="84">
      <c r="M84" s="7"/>
    </row>
    <row r="85">
      <c r="M85" s="7"/>
    </row>
    <row r="86">
      <c r="M86" s="7"/>
    </row>
    <row r="87">
      <c r="M87" s="7"/>
    </row>
    <row r="88">
      <c r="M88" s="7"/>
    </row>
    <row r="89">
      <c r="M89" s="7"/>
    </row>
    <row r="90">
      <c r="M90" s="7"/>
    </row>
    <row r="91">
      <c r="M91" s="7"/>
    </row>
    <row r="92">
      <c r="M92" s="7"/>
    </row>
    <row r="93">
      <c r="M93" s="7"/>
    </row>
    <row r="94">
      <c r="M94" s="7"/>
    </row>
    <row r="95">
      <c r="M95" s="7"/>
    </row>
    <row r="96">
      <c r="M96" s="7"/>
    </row>
    <row r="97">
      <c r="M97" s="7"/>
    </row>
    <row r="98">
      <c r="M98" s="7"/>
    </row>
    <row r="99">
      <c r="M99" s="7"/>
    </row>
    <row r="100">
      <c r="M100" s="7"/>
    </row>
    <row r="101">
      <c r="M101" s="7"/>
    </row>
    <row r="102">
      <c r="M102" s="7"/>
    </row>
    <row r="103">
      <c r="M103" s="7"/>
    </row>
    <row r="104">
      <c r="M104" s="7"/>
    </row>
    <row r="105">
      <c r="M105" s="7"/>
    </row>
    <row r="106">
      <c r="M106" s="7"/>
    </row>
    <row r="107">
      <c r="M107" s="7"/>
    </row>
    <row r="108">
      <c r="M108" s="7"/>
    </row>
    <row r="109">
      <c r="M109" s="7"/>
    </row>
    <row r="110">
      <c r="M110" s="7"/>
    </row>
    <row r="111">
      <c r="M111" s="7"/>
    </row>
    <row r="112">
      <c r="M112" s="7"/>
    </row>
    <row r="113">
      <c r="M113" s="7"/>
    </row>
    <row r="114">
      <c r="M114" s="7"/>
    </row>
    <row r="115">
      <c r="M115" s="7"/>
    </row>
    <row r="116">
      <c r="M116" s="7"/>
    </row>
    <row r="117">
      <c r="M117" s="7"/>
    </row>
    <row r="118">
      <c r="M118" s="7"/>
    </row>
    <row r="119">
      <c r="M119" s="7"/>
    </row>
    <row r="120">
      <c r="M120" s="7"/>
    </row>
    <row r="121">
      <c r="M121" s="7"/>
    </row>
    <row r="122">
      <c r="M122" s="7"/>
    </row>
    <row r="123">
      <c r="M123" s="7"/>
    </row>
    <row r="124">
      <c r="M124" s="7"/>
    </row>
    <row r="125">
      <c r="M125" s="7"/>
    </row>
    <row r="126">
      <c r="M126" s="7"/>
    </row>
    <row r="127">
      <c r="M127" s="7"/>
    </row>
    <row r="128">
      <c r="M128" s="7"/>
    </row>
    <row r="129">
      <c r="M129" s="7"/>
    </row>
    <row r="130">
      <c r="M130" s="7"/>
    </row>
    <row r="131">
      <c r="M131" s="7"/>
    </row>
    <row r="132">
      <c r="M132" s="7"/>
    </row>
    <row r="133">
      <c r="M133" s="7"/>
    </row>
    <row r="134">
      <c r="M134" s="7"/>
    </row>
    <row r="135">
      <c r="M135" s="7"/>
    </row>
    <row r="136">
      <c r="M136" s="7"/>
    </row>
    <row r="137">
      <c r="M137" s="7"/>
    </row>
    <row r="138">
      <c r="M138" s="7"/>
    </row>
    <row r="139">
      <c r="M139" s="7"/>
    </row>
    <row r="140">
      <c r="M140" s="7"/>
    </row>
    <row r="141">
      <c r="M141" s="7"/>
    </row>
    <row r="142">
      <c r="M142" s="7"/>
    </row>
    <row r="143">
      <c r="M143" s="7"/>
    </row>
    <row r="144">
      <c r="M144" s="7"/>
    </row>
    <row r="145">
      <c r="M145" s="7"/>
    </row>
    <row r="146">
      <c r="M146" s="7"/>
    </row>
    <row r="147">
      <c r="M147" s="7"/>
    </row>
    <row r="148">
      <c r="M148" s="7"/>
    </row>
    <row r="149">
      <c r="M149" s="7"/>
    </row>
    <row r="150">
      <c r="M150" s="7"/>
    </row>
    <row r="151">
      <c r="M151" s="7"/>
    </row>
    <row r="152">
      <c r="M152" s="7"/>
    </row>
    <row r="153">
      <c r="M153" s="7"/>
    </row>
    <row r="154">
      <c r="M154" s="7"/>
    </row>
    <row r="155">
      <c r="M155" s="7"/>
    </row>
    <row r="156">
      <c r="M156" s="7"/>
    </row>
    <row r="157">
      <c r="M157" s="7"/>
    </row>
    <row r="158">
      <c r="M158" s="7"/>
    </row>
    <row r="159">
      <c r="M159" s="7"/>
    </row>
    <row r="160">
      <c r="M160" s="7"/>
    </row>
    <row r="161">
      <c r="M161" s="7"/>
    </row>
    <row r="162">
      <c r="M162" s="7"/>
    </row>
    <row r="163">
      <c r="M163" s="7"/>
    </row>
    <row r="164">
      <c r="M164" s="7"/>
    </row>
    <row r="165">
      <c r="M165" s="7"/>
    </row>
    <row r="166">
      <c r="M166" s="7"/>
    </row>
    <row r="167">
      <c r="M167" s="7"/>
    </row>
    <row r="168">
      <c r="M168" s="7"/>
    </row>
    <row r="169">
      <c r="M169" s="7"/>
    </row>
    <row r="170">
      <c r="M170" s="7"/>
    </row>
    <row r="171">
      <c r="M171" s="7"/>
    </row>
    <row r="172">
      <c r="M172" s="7"/>
    </row>
    <row r="173">
      <c r="M173" s="7"/>
    </row>
    <row r="174">
      <c r="M174" s="7"/>
    </row>
    <row r="175">
      <c r="M175" s="7"/>
    </row>
    <row r="176">
      <c r="M176" s="7"/>
    </row>
    <row r="177">
      <c r="M177" s="7"/>
    </row>
    <row r="178">
      <c r="M178" s="7"/>
    </row>
    <row r="179">
      <c r="M179" s="7"/>
    </row>
    <row r="180">
      <c r="M180" s="7"/>
    </row>
    <row r="181">
      <c r="M181" s="7"/>
    </row>
    <row r="182">
      <c r="M182" s="7"/>
    </row>
    <row r="183">
      <c r="M183" s="7"/>
    </row>
    <row r="184">
      <c r="M184" s="7"/>
    </row>
    <row r="185">
      <c r="M185" s="7"/>
    </row>
    <row r="186">
      <c r="M186" s="7"/>
    </row>
    <row r="187">
      <c r="M187" s="7"/>
    </row>
    <row r="188">
      <c r="M188" s="7"/>
    </row>
    <row r="189">
      <c r="M189" s="7"/>
    </row>
    <row r="190">
      <c r="M190" s="7"/>
    </row>
    <row r="191">
      <c r="M191" s="7"/>
    </row>
    <row r="192">
      <c r="M192" s="7"/>
    </row>
    <row r="193">
      <c r="M193" s="7"/>
    </row>
    <row r="194">
      <c r="M194" s="7"/>
    </row>
    <row r="195">
      <c r="M195" s="7"/>
    </row>
    <row r="196">
      <c r="M196" s="7"/>
    </row>
    <row r="197">
      <c r="M197" s="7"/>
    </row>
    <row r="198">
      <c r="M198" s="7"/>
    </row>
    <row r="199">
      <c r="M199" s="7"/>
    </row>
    <row r="200">
      <c r="M200" s="7"/>
    </row>
    <row r="201">
      <c r="M201" s="7"/>
    </row>
    <row r="202">
      <c r="M202" s="7"/>
    </row>
    <row r="203">
      <c r="M203" s="7"/>
    </row>
    <row r="204">
      <c r="M204" s="7"/>
    </row>
    <row r="205">
      <c r="M205" s="7"/>
    </row>
    <row r="206">
      <c r="M206" s="7"/>
    </row>
    <row r="207">
      <c r="M207" s="7"/>
    </row>
    <row r="208">
      <c r="M208" s="7"/>
    </row>
    <row r="209">
      <c r="M209" s="7"/>
    </row>
    <row r="210">
      <c r="M210" s="7"/>
    </row>
    <row r="211">
      <c r="M211" s="7"/>
    </row>
    <row r="212">
      <c r="M212" s="7"/>
    </row>
    <row r="213">
      <c r="M213" s="7"/>
    </row>
    <row r="214">
      <c r="M214" s="7"/>
    </row>
    <row r="215">
      <c r="M215" s="7"/>
    </row>
    <row r="216">
      <c r="M216" s="7"/>
    </row>
    <row r="217">
      <c r="M217" s="7"/>
    </row>
    <row r="218">
      <c r="M218" s="7"/>
    </row>
    <row r="219">
      <c r="M219" s="7"/>
    </row>
    <row r="220">
      <c r="M220" s="7"/>
    </row>
    <row r="221">
      <c r="M221" s="7"/>
    </row>
    <row r="222">
      <c r="M222" s="7"/>
    </row>
    <row r="223">
      <c r="M223" s="7"/>
    </row>
    <row r="224">
      <c r="M224" s="7"/>
    </row>
    <row r="225">
      <c r="M225" s="7"/>
    </row>
    <row r="226">
      <c r="M226" s="7"/>
    </row>
    <row r="227">
      <c r="M227" s="7"/>
    </row>
    <row r="228">
      <c r="M228" s="7"/>
    </row>
    <row r="229">
      <c r="M229" s="7"/>
    </row>
    <row r="230">
      <c r="M230" s="7"/>
    </row>
    <row r="231">
      <c r="M231" s="7"/>
    </row>
    <row r="232">
      <c r="M232" s="7"/>
    </row>
    <row r="233">
      <c r="M233" s="7"/>
    </row>
    <row r="234">
      <c r="M234" s="7"/>
    </row>
    <row r="235">
      <c r="M235" s="7"/>
    </row>
    <row r="236">
      <c r="M236" s="7"/>
    </row>
    <row r="237">
      <c r="M237" s="7"/>
    </row>
    <row r="238">
      <c r="M238" s="7"/>
    </row>
    <row r="239">
      <c r="M239" s="7"/>
    </row>
    <row r="240">
      <c r="M240" s="7"/>
    </row>
    <row r="241">
      <c r="M241" s="7"/>
    </row>
    <row r="242">
      <c r="M242" s="7"/>
    </row>
    <row r="243">
      <c r="M243" s="7"/>
    </row>
    <row r="244">
      <c r="M244" s="7"/>
    </row>
    <row r="245">
      <c r="M245" s="7"/>
    </row>
    <row r="246">
      <c r="M246" s="7"/>
    </row>
    <row r="247">
      <c r="M247" s="7"/>
    </row>
    <row r="248">
      <c r="M248" s="7"/>
    </row>
    <row r="249">
      <c r="M249" s="7"/>
    </row>
    <row r="250">
      <c r="M250" s="7"/>
    </row>
    <row r="251">
      <c r="M251" s="7"/>
    </row>
    <row r="252">
      <c r="M252" s="7"/>
    </row>
    <row r="253">
      <c r="M253" s="7"/>
    </row>
    <row r="254">
      <c r="M254" s="7"/>
    </row>
    <row r="255">
      <c r="M255" s="7"/>
    </row>
    <row r="256">
      <c r="M256" s="7"/>
    </row>
    <row r="257">
      <c r="M257" s="7"/>
    </row>
    <row r="258">
      <c r="M258" s="7"/>
    </row>
    <row r="259">
      <c r="M259" s="7"/>
    </row>
    <row r="260">
      <c r="M260" s="7"/>
    </row>
    <row r="261">
      <c r="M261" s="7"/>
    </row>
    <row r="262">
      <c r="M262" s="7"/>
    </row>
    <row r="263">
      <c r="M263" s="7"/>
    </row>
    <row r="264">
      <c r="M264" s="7"/>
    </row>
    <row r="265">
      <c r="M265" s="7"/>
    </row>
    <row r="266">
      <c r="M266" s="7"/>
    </row>
    <row r="267">
      <c r="M267" s="7"/>
    </row>
    <row r="268">
      <c r="M268" s="7"/>
    </row>
    <row r="269">
      <c r="M269" s="7"/>
    </row>
    <row r="270">
      <c r="M270" s="7"/>
    </row>
    <row r="271">
      <c r="M271" s="7"/>
    </row>
    <row r="272">
      <c r="M272" s="7"/>
    </row>
    <row r="273">
      <c r="M273" s="7"/>
    </row>
    <row r="274">
      <c r="M274" s="7"/>
    </row>
    <row r="275">
      <c r="M275" s="7"/>
    </row>
    <row r="276">
      <c r="M276" s="7"/>
    </row>
    <row r="277">
      <c r="M277" s="7"/>
    </row>
    <row r="278">
      <c r="M278" s="7"/>
    </row>
    <row r="279">
      <c r="M279" s="7"/>
    </row>
    <row r="280">
      <c r="M280" s="7"/>
    </row>
    <row r="281">
      <c r="M281" s="7"/>
    </row>
    <row r="282">
      <c r="M282" s="7"/>
    </row>
    <row r="283">
      <c r="M283" s="7"/>
    </row>
    <row r="284">
      <c r="M284" s="7"/>
    </row>
    <row r="285">
      <c r="M285" s="7"/>
    </row>
    <row r="286">
      <c r="M286" s="7"/>
    </row>
    <row r="287">
      <c r="M287" s="7"/>
    </row>
    <row r="288">
      <c r="M288" s="7"/>
    </row>
    <row r="289">
      <c r="M289" s="7"/>
    </row>
    <row r="290">
      <c r="M290" s="7"/>
    </row>
    <row r="291">
      <c r="M291" s="7"/>
    </row>
    <row r="292">
      <c r="M292" s="7"/>
    </row>
    <row r="293">
      <c r="M293" s="7"/>
    </row>
    <row r="294">
      <c r="M294" s="7"/>
    </row>
    <row r="295">
      <c r="M295" s="7"/>
    </row>
    <row r="296">
      <c r="M296" s="7"/>
    </row>
    <row r="297">
      <c r="M297" s="7"/>
    </row>
    <row r="298">
      <c r="M298" s="7"/>
    </row>
    <row r="299">
      <c r="M299" s="7"/>
    </row>
    <row r="300">
      <c r="M300" s="7"/>
    </row>
    <row r="301">
      <c r="M301" s="7"/>
    </row>
    <row r="302">
      <c r="M302" s="7"/>
    </row>
    <row r="303">
      <c r="M303" s="7"/>
    </row>
    <row r="304">
      <c r="M304" s="7"/>
    </row>
    <row r="305">
      <c r="M305" s="7"/>
    </row>
    <row r="306">
      <c r="M306" s="7"/>
    </row>
    <row r="307">
      <c r="M307" s="7"/>
    </row>
    <row r="308">
      <c r="M308" s="7"/>
    </row>
    <row r="309">
      <c r="M309" s="7"/>
    </row>
    <row r="310">
      <c r="M310" s="7"/>
    </row>
    <row r="311">
      <c r="M311" s="7"/>
    </row>
    <row r="312">
      <c r="M312" s="7"/>
    </row>
    <row r="313">
      <c r="M313" s="7"/>
    </row>
    <row r="314">
      <c r="M314" s="7"/>
    </row>
    <row r="315">
      <c r="M315" s="7"/>
    </row>
    <row r="316">
      <c r="M316" s="7"/>
    </row>
    <row r="317">
      <c r="M317" s="7"/>
    </row>
    <row r="318">
      <c r="M318" s="7"/>
    </row>
    <row r="319">
      <c r="M319" s="7"/>
    </row>
    <row r="320">
      <c r="M320" s="7"/>
    </row>
    <row r="321">
      <c r="M321" s="7"/>
    </row>
    <row r="322">
      <c r="M322" s="7"/>
    </row>
    <row r="323">
      <c r="M323" s="7"/>
    </row>
    <row r="324">
      <c r="M324" s="7"/>
    </row>
    <row r="325">
      <c r="M325" s="7"/>
    </row>
    <row r="326">
      <c r="M326" s="7"/>
    </row>
    <row r="327">
      <c r="M327" s="7"/>
    </row>
    <row r="328">
      <c r="M328" s="7"/>
    </row>
    <row r="329">
      <c r="M329" s="7"/>
    </row>
    <row r="330">
      <c r="M330" s="7"/>
    </row>
    <row r="331">
      <c r="M331" s="7"/>
    </row>
    <row r="332">
      <c r="M332" s="7"/>
    </row>
    <row r="333">
      <c r="M333" s="7"/>
    </row>
    <row r="334">
      <c r="M334" s="7"/>
    </row>
    <row r="335">
      <c r="M335" s="7"/>
    </row>
    <row r="336">
      <c r="M336" s="7"/>
    </row>
    <row r="337">
      <c r="M337" s="7"/>
    </row>
    <row r="338">
      <c r="M338" s="7"/>
    </row>
    <row r="339">
      <c r="M339" s="7"/>
    </row>
    <row r="340">
      <c r="M340" s="7"/>
    </row>
    <row r="341">
      <c r="M341" s="7"/>
    </row>
    <row r="342">
      <c r="M342" s="7"/>
    </row>
    <row r="343">
      <c r="M343" s="7"/>
    </row>
    <row r="344">
      <c r="M344" s="7"/>
    </row>
    <row r="345">
      <c r="M345" s="7"/>
    </row>
    <row r="346">
      <c r="M346" s="7"/>
    </row>
    <row r="347">
      <c r="M347" s="7"/>
    </row>
    <row r="348">
      <c r="M348" s="7"/>
    </row>
    <row r="349">
      <c r="M349" s="7"/>
    </row>
    <row r="350">
      <c r="M350" s="7"/>
    </row>
    <row r="351">
      <c r="M351" s="7"/>
    </row>
    <row r="352">
      <c r="M352" s="7"/>
    </row>
    <row r="353">
      <c r="M353" s="7"/>
    </row>
    <row r="354">
      <c r="M354" s="7"/>
    </row>
    <row r="355">
      <c r="M355" s="7"/>
    </row>
    <row r="356">
      <c r="M356" s="7"/>
    </row>
    <row r="357">
      <c r="M357" s="7"/>
    </row>
    <row r="358">
      <c r="M358" s="7"/>
    </row>
    <row r="359">
      <c r="M359" s="7"/>
    </row>
    <row r="360">
      <c r="M360" s="7"/>
    </row>
    <row r="361">
      <c r="M361" s="7"/>
    </row>
    <row r="362">
      <c r="M362" s="7"/>
    </row>
    <row r="363">
      <c r="M363" s="7"/>
    </row>
    <row r="364">
      <c r="M364" s="7"/>
    </row>
    <row r="365">
      <c r="M365" s="7"/>
    </row>
    <row r="366">
      <c r="M366" s="7"/>
    </row>
    <row r="367">
      <c r="M367" s="7"/>
    </row>
    <row r="368">
      <c r="M368" s="7"/>
    </row>
    <row r="369">
      <c r="M369" s="7"/>
    </row>
    <row r="370">
      <c r="M370" s="7"/>
    </row>
    <row r="371">
      <c r="M371" s="7"/>
    </row>
    <row r="372">
      <c r="M372" s="7"/>
    </row>
    <row r="373">
      <c r="M373" s="7"/>
    </row>
    <row r="374">
      <c r="M374" s="7"/>
    </row>
    <row r="375">
      <c r="M375" s="7"/>
    </row>
    <row r="376">
      <c r="M376" s="7"/>
    </row>
    <row r="377">
      <c r="M377" s="7"/>
    </row>
    <row r="378">
      <c r="M378" s="7"/>
    </row>
    <row r="379">
      <c r="M379" s="7"/>
    </row>
    <row r="380">
      <c r="M380" s="7"/>
    </row>
    <row r="381">
      <c r="M381" s="7"/>
    </row>
    <row r="382">
      <c r="M382" s="7"/>
    </row>
    <row r="383">
      <c r="M383" s="7"/>
    </row>
    <row r="384">
      <c r="M384" s="7"/>
    </row>
    <row r="385">
      <c r="M385" s="7"/>
    </row>
    <row r="386">
      <c r="M386" s="7"/>
    </row>
    <row r="387">
      <c r="M387" s="7"/>
    </row>
    <row r="388">
      <c r="M388" s="7"/>
    </row>
    <row r="389">
      <c r="M389" s="7"/>
    </row>
    <row r="390">
      <c r="M390" s="7"/>
    </row>
    <row r="391">
      <c r="M391" s="7"/>
    </row>
    <row r="392">
      <c r="M392" s="7"/>
    </row>
    <row r="393">
      <c r="M393" s="7"/>
    </row>
    <row r="394">
      <c r="M394" s="7"/>
    </row>
    <row r="395">
      <c r="M395" s="7"/>
    </row>
    <row r="396">
      <c r="M396" s="7"/>
    </row>
    <row r="397">
      <c r="M397" s="7"/>
    </row>
    <row r="398">
      <c r="M398" s="7"/>
    </row>
    <row r="399">
      <c r="M399" s="7"/>
    </row>
    <row r="400">
      <c r="M400" s="7"/>
    </row>
    <row r="401">
      <c r="M401" s="7"/>
    </row>
    <row r="402">
      <c r="M402" s="7"/>
    </row>
    <row r="403">
      <c r="M403" s="7"/>
    </row>
    <row r="404">
      <c r="M404" s="7"/>
    </row>
    <row r="405">
      <c r="M405" s="7"/>
    </row>
    <row r="406">
      <c r="M406" s="7"/>
    </row>
    <row r="407">
      <c r="M407" s="7"/>
    </row>
    <row r="408">
      <c r="M408" s="7"/>
    </row>
    <row r="409">
      <c r="M409" s="7"/>
    </row>
    <row r="410">
      <c r="M410" s="7"/>
    </row>
    <row r="411">
      <c r="M411" s="7"/>
    </row>
    <row r="412">
      <c r="M412" s="7"/>
    </row>
    <row r="413">
      <c r="M413" s="7"/>
    </row>
    <row r="414">
      <c r="M414" s="7"/>
    </row>
    <row r="415">
      <c r="M415" s="7"/>
    </row>
    <row r="416">
      <c r="M416" s="7"/>
    </row>
    <row r="417">
      <c r="M417" s="7"/>
    </row>
    <row r="418">
      <c r="M418" s="7"/>
    </row>
    <row r="419">
      <c r="M419" s="7"/>
    </row>
    <row r="420">
      <c r="M420" s="7"/>
    </row>
    <row r="421">
      <c r="M421" s="7"/>
    </row>
    <row r="422">
      <c r="M422" s="7"/>
    </row>
    <row r="423">
      <c r="M423" s="7"/>
    </row>
    <row r="424">
      <c r="M424" s="7"/>
    </row>
    <row r="425">
      <c r="M425" s="7"/>
    </row>
    <row r="426">
      <c r="M426" s="7"/>
    </row>
    <row r="427">
      <c r="M427" s="7"/>
    </row>
    <row r="428">
      <c r="M428" s="7"/>
    </row>
    <row r="429">
      <c r="M429" s="7"/>
    </row>
    <row r="430">
      <c r="M430" s="7"/>
    </row>
    <row r="431">
      <c r="M431" s="7"/>
    </row>
    <row r="432">
      <c r="M432" s="7"/>
    </row>
    <row r="433">
      <c r="M433" s="7"/>
    </row>
    <row r="434">
      <c r="M434" s="7"/>
    </row>
    <row r="435">
      <c r="M435" s="7"/>
    </row>
    <row r="436">
      <c r="M436" s="7"/>
    </row>
    <row r="437">
      <c r="M437" s="7"/>
    </row>
    <row r="438">
      <c r="M438" s="7"/>
    </row>
    <row r="439">
      <c r="M439" s="7"/>
    </row>
    <row r="440">
      <c r="M440" s="7"/>
    </row>
    <row r="441">
      <c r="M441" s="7"/>
    </row>
    <row r="442">
      <c r="M442" s="7"/>
    </row>
    <row r="443">
      <c r="M443" s="7"/>
    </row>
    <row r="444">
      <c r="M444" s="7"/>
    </row>
    <row r="445">
      <c r="M445" s="7"/>
    </row>
    <row r="446">
      <c r="M446" s="7"/>
    </row>
    <row r="447">
      <c r="M447" s="7"/>
    </row>
    <row r="448">
      <c r="M448" s="7"/>
    </row>
    <row r="449">
      <c r="M449" s="7"/>
    </row>
    <row r="450">
      <c r="M450" s="7"/>
    </row>
    <row r="451">
      <c r="M451" s="7"/>
    </row>
    <row r="452">
      <c r="M452" s="7"/>
    </row>
    <row r="453">
      <c r="M453" s="7"/>
    </row>
    <row r="454">
      <c r="M454" s="7"/>
    </row>
    <row r="455">
      <c r="M455" s="7"/>
    </row>
    <row r="456">
      <c r="M456" s="7"/>
    </row>
    <row r="457">
      <c r="M457" s="7"/>
    </row>
    <row r="458">
      <c r="M458" s="7"/>
    </row>
    <row r="459">
      <c r="M459" s="7"/>
    </row>
    <row r="460">
      <c r="M460" s="7"/>
    </row>
    <row r="461">
      <c r="M461" s="7"/>
    </row>
    <row r="462">
      <c r="M462" s="7"/>
    </row>
    <row r="463">
      <c r="M463" s="7"/>
    </row>
    <row r="464">
      <c r="M464" s="7"/>
    </row>
    <row r="465">
      <c r="M465" s="7"/>
    </row>
    <row r="466">
      <c r="M466" s="7"/>
    </row>
    <row r="467">
      <c r="M467" s="7"/>
    </row>
    <row r="468">
      <c r="M468" s="7"/>
    </row>
    <row r="469">
      <c r="M469" s="7"/>
    </row>
    <row r="470">
      <c r="M470" s="7"/>
    </row>
    <row r="471">
      <c r="M471" s="7"/>
    </row>
    <row r="472">
      <c r="M472" s="7"/>
    </row>
    <row r="473">
      <c r="M473" s="7"/>
    </row>
    <row r="474">
      <c r="M474" s="7"/>
    </row>
    <row r="475">
      <c r="M475" s="7"/>
    </row>
    <row r="476">
      <c r="M476" s="7"/>
    </row>
    <row r="477">
      <c r="M477" s="7"/>
    </row>
    <row r="478">
      <c r="M478" s="7"/>
    </row>
    <row r="479">
      <c r="M479" s="7"/>
    </row>
    <row r="480">
      <c r="M480" s="7"/>
    </row>
    <row r="481">
      <c r="M481" s="7"/>
    </row>
    <row r="482">
      <c r="M482" s="7"/>
    </row>
    <row r="483">
      <c r="M483" s="7"/>
    </row>
    <row r="484">
      <c r="M484" s="7"/>
    </row>
    <row r="485">
      <c r="M485" s="7"/>
    </row>
    <row r="486">
      <c r="M486" s="7"/>
    </row>
    <row r="487">
      <c r="M487" s="7"/>
    </row>
    <row r="488">
      <c r="M488" s="7"/>
    </row>
    <row r="489">
      <c r="M489" s="7"/>
    </row>
    <row r="490">
      <c r="M490" s="7"/>
    </row>
    <row r="491">
      <c r="M491" s="7"/>
    </row>
    <row r="492">
      <c r="M492" s="7"/>
    </row>
    <row r="493">
      <c r="M493" s="7"/>
    </row>
    <row r="494">
      <c r="M494" s="7"/>
    </row>
    <row r="495">
      <c r="M495" s="7"/>
    </row>
    <row r="496">
      <c r="M496" s="7"/>
    </row>
    <row r="497">
      <c r="M497" s="7"/>
    </row>
    <row r="498">
      <c r="M498" s="7"/>
    </row>
    <row r="499">
      <c r="M499" s="7"/>
    </row>
    <row r="500">
      <c r="M500" s="7"/>
    </row>
    <row r="501">
      <c r="M501" s="7"/>
    </row>
    <row r="502">
      <c r="M502" s="7"/>
    </row>
    <row r="503">
      <c r="M503" s="7"/>
    </row>
    <row r="504">
      <c r="M504" s="7"/>
    </row>
    <row r="505">
      <c r="M505" s="7"/>
    </row>
    <row r="506">
      <c r="M506" s="7"/>
    </row>
    <row r="507">
      <c r="M507" s="7"/>
    </row>
    <row r="508">
      <c r="M508" s="7"/>
    </row>
    <row r="509">
      <c r="M509" s="7"/>
    </row>
    <row r="510">
      <c r="M510" s="7"/>
    </row>
    <row r="511">
      <c r="M511" s="7"/>
    </row>
    <row r="512">
      <c r="M512" s="7"/>
    </row>
    <row r="513">
      <c r="M513" s="7"/>
    </row>
    <row r="514">
      <c r="M514" s="7"/>
    </row>
    <row r="515">
      <c r="M515" s="7"/>
    </row>
    <row r="516">
      <c r="M516" s="7"/>
    </row>
    <row r="517">
      <c r="M517" s="7"/>
    </row>
    <row r="518">
      <c r="M518" s="7"/>
    </row>
    <row r="519">
      <c r="M519" s="7"/>
    </row>
    <row r="520">
      <c r="M520" s="7"/>
    </row>
    <row r="521">
      <c r="M521" s="7"/>
    </row>
    <row r="522">
      <c r="M522" s="7"/>
    </row>
    <row r="523">
      <c r="M523" s="7"/>
    </row>
    <row r="524">
      <c r="M524" s="7"/>
    </row>
    <row r="525">
      <c r="M525" s="7"/>
    </row>
    <row r="526">
      <c r="M526" s="7"/>
    </row>
    <row r="527">
      <c r="M527" s="7"/>
    </row>
    <row r="528">
      <c r="M528" s="7"/>
    </row>
    <row r="529">
      <c r="M529" s="7"/>
    </row>
    <row r="530">
      <c r="M530" s="7"/>
    </row>
    <row r="531">
      <c r="M531" s="7"/>
    </row>
    <row r="532">
      <c r="M532" s="7"/>
    </row>
    <row r="533">
      <c r="M533" s="7"/>
    </row>
    <row r="534">
      <c r="M534" s="7"/>
    </row>
    <row r="535">
      <c r="M535" s="7"/>
    </row>
    <row r="536">
      <c r="M536" s="7"/>
    </row>
    <row r="537">
      <c r="M537" s="7"/>
    </row>
    <row r="538">
      <c r="M538" s="7"/>
    </row>
    <row r="539">
      <c r="M539" s="7"/>
    </row>
    <row r="540">
      <c r="M540" s="7"/>
    </row>
    <row r="541">
      <c r="M541" s="7"/>
    </row>
    <row r="542">
      <c r="M542" s="7"/>
    </row>
    <row r="543">
      <c r="M543" s="7"/>
    </row>
    <row r="544">
      <c r="M544" s="7"/>
    </row>
    <row r="545">
      <c r="M545" s="7"/>
    </row>
    <row r="546">
      <c r="M546" s="7"/>
    </row>
    <row r="547">
      <c r="M547" s="7"/>
    </row>
    <row r="548">
      <c r="M548" s="7"/>
    </row>
    <row r="549">
      <c r="M549" s="7"/>
    </row>
    <row r="550">
      <c r="M550" s="7"/>
    </row>
    <row r="551">
      <c r="M551" s="7"/>
    </row>
    <row r="552">
      <c r="M552" s="7"/>
    </row>
    <row r="553">
      <c r="M553" s="7"/>
    </row>
    <row r="554">
      <c r="M554" s="7"/>
    </row>
    <row r="555">
      <c r="M555" s="7"/>
    </row>
    <row r="556">
      <c r="M556" s="7"/>
    </row>
    <row r="557">
      <c r="M557" s="7"/>
    </row>
    <row r="558">
      <c r="M558" s="7"/>
    </row>
    <row r="559">
      <c r="M559" s="7"/>
    </row>
    <row r="560">
      <c r="M560" s="7"/>
    </row>
    <row r="561">
      <c r="M561" s="7"/>
    </row>
    <row r="562">
      <c r="M562" s="7"/>
    </row>
    <row r="563">
      <c r="M563" s="7"/>
    </row>
    <row r="564">
      <c r="M564" s="7"/>
    </row>
    <row r="565">
      <c r="M565" s="7"/>
    </row>
    <row r="566">
      <c r="M566" s="7"/>
    </row>
    <row r="567">
      <c r="M567" s="7"/>
    </row>
    <row r="568">
      <c r="M568" s="7"/>
    </row>
    <row r="569">
      <c r="M569" s="7"/>
    </row>
    <row r="570">
      <c r="M570" s="7"/>
    </row>
    <row r="571">
      <c r="M571" s="7"/>
    </row>
    <row r="572">
      <c r="M572" s="7"/>
    </row>
    <row r="573">
      <c r="M573" s="7"/>
    </row>
    <row r="574">
      <c r="M574" s="7"/>
    </row>
    <row r="575">
      <c r="M575" s="7"/>
    </row>
    <row r="576">
      <c r="M576" s="7"/>
    </row>
    <row r="577">
      <c r="M577" s="7"/>
    </row>
    <row r="578">
      <c r="M578" s="7"/>
    </row>
    <row r="579">
      <c r="M579" s="7"/>
    </row>
    <row r="580">
      <c r="M580" s="7"/>
    </row>
    <row r="581">
      <c r="M581" s="7"/>
    </row>
    <row r="582">
      <c r="M582" s="7"/>
    </row>
    <row r="583">
      <c r="M583" s="7"/>
    </row>
    <row r="584">
      <c r="M584" s="7"/>
    </row>
    <row r="585">
      <c r="M585" s="7"/>
    </row>
    <row r="586">
      <c r="M586" s="7"/>
    </row>
    <row r="587">
      <c r="M587" s="7"/>
    </row>
    <row r="588">
      <c r="M588" s="7"/>
    </row>
    <row r="589">
      <c r="M589" s="7"/>
    </row>
    <row r="590">
      <c r="M590" s="7"/>
    </row>
    <row r="591">
      <c r="M591" s="7"/>
    </row>
    <row r="592">
      <c r="M592" s="7"/>
    </row>
    <row r="593">
      <c r="M593" s="7"/>
    </row>
    <row r="594">
      <c r="M594" s="7"/>
    </row>
    <row r="595">
      <c r="M595" s="7"/>
    </row>
    <row r="596">
      <c r="M596" s="7"/>
    </row>
    <row r="597">
      <c r="M597" s="7"/>
    </row>
    <row r="598">
      <c r="M598" s="7"/>
    </row>
    <row r="599">
      <c r="M599" s="7"/>
    </row>
    <row r="600">
      <c r="M600" s="7"/>
    </row>
    <row r="601">
      <c r="M601" s="7"/>
    </row>
    <row r="602">
      <c r="M602" s="7"/>
    </row>
    <row r="603">
      <c r="M603" s="7"/>
    </row>
    <row r="604">
      <c r="M604" s="7"/>
    </row>
    <row r="605">
      <c r="M605" s="7"/>
    </row>
    <row r="606">
      <c r="M606" s="7"/>
    </row>
    <row r="607">
      <c r="M607" s="7"/>
    </row>
    <row r="608">
      <c r="M608" s="7"/>
    </row>
    <row r="609">
      <c r="M609" s="7"/>
    </row>
    <row r="610">
      <c r="M610" s="7"/>
    </row>
    <row r="611">
      <c r="M611" s="7"/>
    </row>
    <row r="612">
      <c r="M612" s="7"/>
    </row>
    <row r="613">
      <c r="M613" s="7"/>
    </row>
    <row r="614">
      <c r="M614" s="7"/>
    </row>
    <row r="615">
      <c r="M615" s="7"/>
    </row>
    <row r="616">
      <c r="M616" s="7"/>
    </row>
    <row r="617">
      <c r="M617" s="7"/>
    </row>
    <row r="618">
      <c r="M618" s="7"/>
    </row>
    <row r="619">
      <c r="M619" s="7"/>
    </row>
    <row r="620">
      <c r="M620" s="7"/>
    </row>
    <row r="621">
      <c r="M621" s="7"/>
    </row>
    <row r="622">
      <c r="M622" s="7"/>
    </row>
    <row r="623">
      <c r="M623" s="7"/>
    </row>
    <row r="624">
      <c r="M624" s="7"/>
    </row>
    <row r="625">
      <c r="M625" s="7"/>
    </row>
    <row r="626">
      <c r="M626" s="7"/>
    </row>
    <row r="627">
      <c r="M627" s="7"/>
    </row>
    <row r="628">
      <c r="M628" s="7"/>
    </row>
    <row r="629">
      <c r="M629" s="7"/>
    </row>
    <row r="630">
      <c r="M630" s="7"/>
    </row>
    <row r="631">
      <c r="M631" s="7"/>
    </row>
    <row r="632">
      <c r="M632" s="7"/>
    </row>
    <row r="633">
      <c r="M633" s="7"/>
    </row>
    <row r="634">
      <c r="M634" s="7"/>
    </row>
    <row r="635">
      <c r="M635" s="7"/>
    </row>
    <row r="636">
      <c r="M636" s="7"/>
    </row>
    <row r="637">
      <c r="M637" s="7"/>
    </row>
    <row r="638">
      <c r="M638" s="7"/>
    </row>
    <row r="639">
      <c r="M639" s="7"/>
    </row>
    <row r="640">
      <c r="M640" s="7"/>
    </row>
    <row r="641">
      <c r="M641" s="7"/>
    </row>
    <row r="642">
      <c r="M642" s="7"/>
    </row>
    <row r="643">
      <c r="M643" s="7"/>
    </row>
    <row r="644">
      <c r="M644" s="7"/>
    </row>
    <row r="645">
      <c r="M645" s="7"/>
    </row>
    <row r="646">
      <c r="M646" s="7"/>
    </row>
    <row r="647">
      <c r="M647" s="7"/>
    </row>
    <row r="648">
      <c r="M648" s="7"/>
    </row>
    <row r="649">
      <c r="M649" s="7"/>
    </row>
    <row r="650">
      <c r="M650" s="7"/>
    </row>
    <row r="651">
      <c r="M651" s="7"/>
    </row>
    <row r="652">
      <c r="M652" s="7"/>
    </row>
    <row r="653">
      <c r="M653" s="7"/>
    </row>
    <row r="654">
      <c r="M654" s="7"/>
    </row>
    <row r="655">
      <c r="M655" s="7"/>
    </row>
    <row r="656">
      <c r="M656" s="7"/>
    </row>
    <row r="657">
      <c r="M657" s="7"/>
    </row>
    <row r="658">
      <c r="M658" s="7"/>
    </row>
    <row r="659">
      <c r="M659" s="7"/>
    </row>
    <row r="660">
      <c r="M660" s="7"/>
    </row>
    <row r="661">
      <c r="M661" s="7"/>
    </row>
    <row r="662">
      <c r="M662" s="7"/>
    </row>
    <row r="663">
      <c r="M663" s="7"/>
    </row>
    <row r="664">
      <c r="M664" s="7"/>
    </row>
    <row r="665">
      <c r="M665" s="7"/>
    </row>
    <row r="666">
      <c r="M666" s="7"/>
    </row>
    <row r="667">
      <c r="M667" s="7"/>
    </row>
    <row r="668">
      <c r="M668" s="7"/>
    </row>
    <row r="669">
      <c r="M669" s="7"/>
    </row>
    <row r="670">
      <c r="M670" s="7"/>
    </row>
    <row r="671">
      <c r="M671" s="7"/>
    </row>
    <row r="672">
      <c r="M672" s="7"/>
    </row>
    <row r="673">
      <c r="M673" s="7"/>
    </row>
    <row r="674">
      <c r="M674" s="7"/>
    </row>
    <row r="675">
      <c r="M675" s="7"/>
    </row>
    <row r="676">
      <c r="M676" s="7"/>
    </row>
    <row r="677">
      <c r="M677" s="7"/>
    </row>
    <row r="678">
      <c r="M678" s="7"/>
    </row>
    <row r="679">
      <c r="M679" s="7"/>
    </row>
    <row r="680">
      <c r="M680" s="7"/>
    </row>
    <row r="681">
      <c r="M681" s="7"/>
    </row>
    <row r="682">
      <c r="M682" s="7"/>
    </row>
    <row r="683">
      <c r="M683" s="7"/>
    </row>
    <row r="684">
      <c r="M684" s="7"/>
    </row>
    <row r="685">
      <c r="M685" s="7"/>
    </row>
    <row r="686">
      <c r="M686" s="7"/>
    </row>
    <row r="687">
      <c r="M687" s="7"/>
    </row>
    <row r="688">
      <c r="M688" s="7"/>
    </row>
    <row r="689">
      <c r="M689" s="7"/>
    </row>
    <row r="690">
      <c r="M690" s="7"/>
    </row>
    <row r="691">
      <c r="M691" s="7"/>
    </row>
    <row r="692">
      <c r="M692" s="7"/>
    </row>
    <row r="693">
      <c r="M693" s="7"/>
    </row>
    <row r="694">
      <c r="M694" s="7"/>
    </row>
    <row r="695">
      <c r="M695" s="7"/>
    </row>
    <row r="696">
      <c r="M696" s="7"/>
    </row>
    <row r="697">
      <c r="M697" s="7"/>
    </row>
    <row r="698">
      <c r="M698" s="7"/>
    </row>
    <row r="699">
      <c r="M699" s="7"/>
    </row>
    <row r="700">
      <c r="M700" s="7"/>
    </row>
    <row r="701">
      <c r="M701" s="7"/>
    </row>
    <row r="702">
      <c r="M702" s="7"/>
    </row>
    <row r="703">
      <c r="M703" s="7"/>
    </row>
    <row r="704">
      <c r="M704" s="7"/>
    </row>
    <row r="705">
      <c r="M705" s="7"/>
    </row>
    <row r="706">
      <c r="M706" s="7"/>
    </row>
    <row r="707">
      <c r="M707" s="7"/>
    </row>
    <row r="708">
      <c r="M708" s="7"/>
    </row>
    <row r="709">
      <c r="M709" s="7"/>
    </row>
    <row r="710">
      <c r="M710" s="7"/>
    </row>
    <row r="711">
      <c r="M711" s="7"/>
    </row>
    <row r="712">
      <c r="M712" s="7"/>
    </row>
    <row r="713">
      <c r="M713" s="7"/>
    </row>
    <row r="714">
      <c r="M714" s="7"/>
    </row>
    <row r="715">
      <c r="M715" s="7"/>
    </row>
    <row r="716">
      <c r="M716" s="7"/>
    </row>
    <row r="717">
      <c r="M717" s="7"/>
    </row>
    <row r="718">
      <c r="M718" s="7"/>
    </row>
    <row r="719">
      <c r="M719" s="7"/>
    </row>
    <row r="720">
      <c r="M720" s="7"/>
    </row>
    <row r="721">
      <c r="M721" s="7"/>
    </row>
    <row r="722">
      <c r="M722" s="7"/>
    </row>
    <row r="723">
      <c r="M723" s="7"/>
    </row>
    <row r="724">
      <c r="M724" s="7"/>
    </row>
    <row r="725">
      <c r="M725" s="7"/>
    </row>
    <row r="726">
      <c r="M726" s="7"/>
    </row>
    <row r="727">
      <c r="M727" s="7"/>
    </row>
    <row r="728">
      <c r="M728" s="7"/>
    </row>
    <row r="729">
      <c r="M729" s="7"/>
    </row>
    <row r="730">
      <c r="M730" s="7"/>
    </row>
    <row r="731">
      <c r="M731" s="7"/>
    </row>
    <row r="732">
      <c r="M732" s="7"/>
    </row>
    <row r="733">
      <c r="M733" s="7"/>
    </row>
    <row r="734">
      <c r="M734" s="7"/>
    </row>
    <row r="735">
      <c r="M735" s="7"/>
    </row>
    <row r="736">
      <c r="M736" s="7"/>
    </row>
    <row r="737">
      <c r="M737" s="7"/>
    </row>
    <row r="738">
      <c r="M738" s="7"/>
    </row>
    <row r="739">
      <c r="M739" s="7"/>
    </row>
    <row r="740">
      <c r="M740" s="7"/>
    </row>
    <row r="741">
      <c r="M741" s="7"/>
    </row>
    <row r="742">
      <c r="M742" s="7"/>
    </row>
    <row r="743">
      <c r="M743" s="7"/>
    </row>
    <row r="744">
      <c r="M744" s="7"/>
    </row>
    <row r="745">
      <c r="M745" s="7"/>
    </row>
    <row r="746">
      <c r="M746" s="7"/>
    </row>
    <row r="747">
      <c r="M747" s="7"/>
    </row>
    <row r="748">
      <c r="M748" s="7"/>
    </row>
    <row r="749">
      <c r="M749" s="7"/>
    </row>
    <row r="750">
      <c r="M750" s="7"/>
    </row>
    <row r="751">
      <c r="M751" s="7"/>
    </row>
    <row r="752">
      <c r="M752" s="7"/>
    </row>
    <row r="753">
      <c r="M753" s="7"/>
    </row>
    <row r="754">
      <c r="M754" s="7"/>
    </row>
    <row r="755">
      <c r="M755" s="7"/>
    </row>
    <row r="756">
      <c r="M756" s="7"/>
    </row>
    <row r="757">
      <c r="M757" s="7"/>
    </row>
    <row r="758">
      <c r="M758" s="7"/>
    </row>
    <row r="759">
      <c r="M759" s="7"/>
    </row>
    <row r="760">
      <c r="M760" s="7"/>
    </row>
    <row r="761">
      <c r="M761" s="7"/>
    </row>
    <row r="762">
      <c r="M762" s="7"/>
    </row>
    <row r="763">
      <c r="M763" s="7"/>
    </row>
    <row r="764">
      <c r="M764" s="7"/>
    </row>
    <row r="765">
      <c r="M765" s="7"/>
    </row>
    <row r="766">
      <c r="M766" s="7"/>
    </row>
    <row r="767">
      <c r="M767" s="7"/>
    </row>
    <row r="768">
      <c r="M768" s="7"/>
    </row>
    <row r="769">
      <c r="M769" s="7"/>
    </row>
    <row r="770">
      <c r="M770" s="7"/>
    </row>
    <row r="771">
      <c r="M771" s="7"/>
    </row>
    <row r="772">
      <c r="M772" s="7"/>
    </row>
    <row r="773">
      <c r="M773" s="7"/>
    </row>
    <row r="774">
      <c r="M774" s="7"/>
    </row>
    <row r="775">
      <c r="M775" s="7"/>
    </row>
    <row r="776">
      <c r="M776" s="7"/>
    </row>
    <row r="777">
      <c r="M777" s="7"/>
    </row>
    <row r="778">
      <c r="M778" s="7"/>
    </row>
    <row r="779">
      <c r="M779" s="7"/>
    </row>
    <row r="780">
      <c r="M780" s="7"/>
    </row>
    <row r="781">
      <c r="M781" s="7"/>
    </row>
    <row r="782">
      <c r="M782" s="7"/>
    </row>
    <row r="783">
      <c r="M783" s="7"/>
    </row>
    <row r="784">
      <c r="M784" s="7"/>
    </row>
    <row r="785">
      <c r="M785" s="7"/>
    </row>
    <row r="786">
      <c r="M786" s="7"/>
    </row>
    <row r="787">
      <c r="M787" s="7"/>
    </row>
    <row r="788">
      <c r="M788" s="7"/>
    </row>
    <row r="789">
      <c r="M789" s="7"/>
    </row>
    <row r="790">
      <c r="M790" s="7"/>
    </row>
    <row r="791">
      <c r="M791" s="7"/>
    </row>
    <row r="792">
      <c r="M792" s="7"/>
    </row>
    <row r="793">
      <c r="M793" s="7"/>
    </row>
    <row r="794">
      <c r="M794" s="7"/>
    </row>
    <row r="795">
      <c r="M795" s="7"/>
    </row>
    <row r="796">
      <c r="M796" s="7"/>
    </row>
    <row r="797">
      <c r="M797" s="7"/>
    </row>
    <row r="798">
      <c r="M798" s="7"/>
    </row>
    <row r="799">
      <c r="M799" s="7"/>
    </row>
    <row r="800">
      <c r="M800" s="7"/>
    </row>
    <row r="801">
      <c r="M801" s="7"/>
    </row>
    <row r="802">
      <c r="M802" s="7"/>
    </row>
    <row r="803">
      <c r="M803" s="7"/>
    </row>
    <row r="804">
      <c r="M804" s="7"/>
    </row>
    <row r="805">
      <c r="M805" s="7"/>
    </row>
    <row r="806">
      <c r="M806" s="7"/>
    </row>
    <row r="807">
      <c r="M807" s="7"/>
    </row>
    <row r="808">
      <c r="M808" s="7"/>
    </row>
    <row r="809">
      <c r="M809" s="7"/>
    </row>
    <row r="810">
      <c r="M810" s="7"/>
    </row>
    <row r="811">
      <c r="M811" s="7"/>
    </row>
    <row r="812">
      <c r="M812" s="7"/>
    </row>
    <row r="813">
      <c r="M813" s="7"/>
    </row>
    <row r="814">
      <c r="M814" s="7"/>
    </row>
    <row r="815">
      <c r="M815" s="7"/>
    </row>
    <row r="816">
      <c r="M816" s="7"/>
    </row>
    <row r="817">
      <c r="M817" s="7"/>
    </row>
    <row r="818">
      <c r="M818" s="7"/>
    </row>
    <row r="819">
      <c r="M819" s="7"/>
    </row>
    <row r="820">
      <c r="M820" s="7"/>
    </row>
    <row r="821">
      <c r="M821" s="7"/>
    </row>
    <row r="822">
      <c r="M822" s="7"/>
    </row>
    <row r="823">
      <c r="M823" s="7"/>
    </row>
    <row r="824">
      <c r="M824" s="7"/>
    </row>
    <row r="825">
      <c r="M825" s="7"/>
    </row>
    <row r="826">
      <c r="M826" s="7"/>
    </row>
    <row r="827">
      <c r="M827" s="7"/>
    </row>
    <row r="828">
      <c r="M828" s="7"/>
    </row>
    <row r="829">
      <c r="M829" s="7"/>
    </row>
    <row r="830">
      <c r="M830" s="7"/>
    </row>
    <row r="831">
      <c r="M831" s="7"/>
    </row>
    <row r="832">
      <c r="M832" s="7"/>
    </row>
    <row r="833">
      <c r="M833" s="7"/>
    </row>
    <row r="834">
      <c r="M834" s="7"/>
    </row>
    <row r="835">
      <c r="M835" s="7"/>
    </row>
    <row r="836">
      <c r="M836" s="7"/>
    </row>
    <row r="837">
      <c r="M837" s="7"/>
    </row>
    <row r="838">
      <c r="M838" s="7"/>
    </row>
    <row r="839">
      <c r="M839" s="7"/>
    </row>
    <row r="840">
      <c r="M840" s="7"/>
    </row>
    <row r="841">
      <c r="M841" s="7"/>
    </row>
    <row r="842">
      <c r="M842" s="7"/>
    </row>
    <row r="843">
      <c r="M843" s="7"/>
    </row>
    <row r="844">
      <c r="M844" s="7"/>
    </row>
    <row r="845">
      <c r="M845" s="7"/>
    </row>
    <row r="846">
      <c r="M846" s="7"/>
    </row>
    <row r="847">
      <c r="M847" s="7"/>
    </row>
    <row r="848">
      <c r="M848" s="7"/>
    </row>
    <row r="849">
      <c r="M849" s="7"/>
    </row>
    <row r="850">
      <c r="M850" s="7"/>
    </row>
    <row r="851">
      <c r="M851" s="7"/>
    </row>
    <row r="852">
      <c r="M852" s="7"/>
    </row>
    <row r="853">
      <c r="M853" s="7"/>
    </row>
    <row r="854">
      <c r="M854" s="7"/>
    </row>
    <row r="855">
      <c r="M855" s="7"/>
    </row>
    <row r="856">
      <c r="M856" s="7"/>
    </row>
    <row r="857">
      <c r="M857" s="7"/>
    </row>
    <row r="858">
      <c r="M858" s="7"/>
    </row>
    <row r="859">
      <c r="M859" s="7"/>
    </row>
    <row r="860">
      <c r="M860" s="7"/>
    </row>
    <row r="861">
      <c r="M861" s="7"/>
    </row>
    <row r="862">
      <c r="M862" s="7"/>
    </row>
    <row r="863">
      <c r="M863" s="7"/>
    </row>
    <row r="864">
      <c r="M864" s="7"/>
    </row>
    <row r="865">
      <c r="M865" s="7"/>
    </row>
    <row r="866">
      <c r="M866" s="7"/>
    </row>
    <row r="867">
      <c r="M867" s="7"/>
    </row>
    <row r="868">
      <c r="M868" s="7"/>
    </row>
    <row r="869">
      <c r="M869" s="7"/>
    </row>
    <row r="870">
      <c r="M870" s="7"/>
    </row>
    <row r="871">
      <c r="M871" s="7"/>
    </row>
    <row r="872">
      <c r="M872" s="7"/>
    </row>
    <row r="873">
      <c r="M873" s="7"/>
    </row>
    <row r="874">
      <c r="M874" s="7"/>
    </row>
    <row r="875">
      <c r="M875" s="7"/>
    </row>
    <row r="876">
      <c r="M876" s="7"/>
    </row>
    <row r="877">
      <c r="M877" s="7"/>
    </row>
    <row r="878">
      <c r="M878" s="7"/>
    </row>
    <row r="879">
      <c r="M879" s="7"/>
    </row>
    <row r="880">
      <c r="M880" s="7"/>
    </row>
    <row r="881">
      <c r="M881" s="7"/>
    </row>
    <row r="882">
      <c r="M882" s="7"/>
    </row>
    <row r="883">
      <c r="M883" s="7"/>
    </row>
    <row r="884">
      <c r="M884" s="7"/>
    </row>
    <row r="885">
      <c r="M885" s="7"/>
    </row>
    <row r="886">
      <c r="M886" s="7"/>
    </row>
    <row r="887">
      <c r="M887" s="7"/>
    </row>
    <row r="888">
      <c r="M888" s="7"/>
    </row>
    <row r="889">
      <c r="M889" s="7"/>
    </row>
    <row r="890">
      <c r="M890" s="7"/>
    </row>
    <row r="891">
      <c r="M891" s="7"/>
    </row>
    <row r="892">
      <c r="M892" s="7"/>
    </row>
    <row r="893">
      <c r="M893" s="7"/>
    </row>
    <row r="894">
      <c r="M894" s="7"/>
    </row>
    <row r="895">
      <c r="M895" s="7"/>
    </row>
    <row r="896">
      <c r="M896" s="7"/>
    </row>
    <row r="897">
      <c r="M897" s="7"/>
    </row>
    <row r="898">
      <c r="M898" s="7"/>
    </row>
    <row r="899">
      <c r="M899" s="7"/>
    </row>
    <row r="900">
      <c r="M900" s="7"/>
    </row>
    <row r="901">
      <c r="M901" s="7"/>
    </row>
    <row r="902">
      <c r="M902" s="7"/>
    </row>
    <row r="903">
      <c r="M903" s="7"/>
    </row>
    <row r="904">
      <c r="M904" s="7"/>
    </row>
    <row r="905">
      <c r="M905" s="7"/>
    </row>
    <row r="906">
      <c r="M906" s="7"/>
    </row>
    <row r="907">
      <c r="M907" s="7"/>
    </row>
    <row r="908">
      <c r="M908" s="7"/>
    </row>
    <row r="909">
      <c r="M909" s="7"/>
    </row>
    <row r="910">
      <c r="M910" s="7"/>
    </row>
    <row r="911">
      <c r="M911" s="7"/>
    </row>
    <row r="912">
      <c r="M912" s="7"/>
    </row>
    <row r="913">
      <c r="M913" s="7"/>
    </row>
    <row r="914">
      <c r="M914" s="7"/>
    </row>
    <row r="915">
      <c r="M915" s="7"/>
    </row>
    <row r="916">
      <c r="M916" s="7"/>
    </row>
    <row r="917">
      <c r="M917" s="7"/>
    </row>
    <row r="918">
      <c r="M918" s="7"/>
    </row>
    <row r="919">
      <c r="M919" s="7"/>
    </row>
    <row r="920">
      <c r="M920" s="7"/>
    </row>
    <row r="921">
      <c r="M921" s="7"/>
    </row>
    <row r="922">
      <c r="M922" s="7"/>
    </row>
    <row r="923">
      <c r="M923" s="7"/>
    </row>
    <row r="924">
      <c r="M924" s="7"/>
    </row>
    <row r="925">
      <c r="M925" s="7"/>
    </row>
    <row r="926">
      <c r="M926" s="7"/>
    </row>
    <row r="927">
      <c r="M927" s="7"/>
    </row>
    <row r="928">
      <c r="M928" s="7"/>
    </row>
    <row r="929">
      <c r="M929" s="7"/>
    </row>
    <row r="930">
      <c r="M930" s="7"/>
    </row>
    <row r="931">
      <c r="M931" s="7"/>
    </row>
    <row r="932">
      <c r="M932" s="7"/>
    </row>
    <row r="933">
      <c r="M933" s="7"/>
    </row>
    <row r="934">
      <c r="M934" s="7"/>
    </row>
    <row r="935">
      <c r="M935" s="7"/>
    </row>
    <row r="936">
      <c r="M936" s="7"/>
    </row>
    <row r="937">
      <c r="M937" s="7"/>
    </row>
    <row r="938">
      <c r="M938" s="7"/>
    </row>
    <row r="939">
      <c r="M939" s="7"/>
    </row>
    <row r="940">
      <c r="M940" s="7"/>
    </row>
    <row r="941">
      <c r="M941" s="7"/>
    </row>
    <row r="942">
      <c r="M942" s="7"/>
    </row>
    <row r="943">
      <c r="M943" s="7"/>
    </row>
    <row r="944">
      <c r="M944" s="7"/>
    </row>
    <row r="945">
      <c r="M945" s="7"/>
    </row>
    <row r="946">
      <c r="M946" s="7"/>
    </row>
    <row r="947">
      <c r="M947" s="7"/>
    </row>
    <row r="948">
      <c r="M948" s="7"/>
    </row>
    <row r="949">
      <c r="M949" s="7"/>
    </row>
    <row r="950">
      <c r="M950" s="7"/>
    </row>
    <row r="951">
      <c r="M951" s="7"/>
    </row>
    <row r="952">
      <c r="M952" s="7"/>
    </row>
    <row r="953">
      <c r="M953" s="7"/>
    </row>
    <row r="954">
      <c r="M954" s="7"/>
    </row>
    <row r="955">
      <c r="M955" s="7"/>
    </row>
    <row r="956">
      <c r="M956" s="7"/>
    </row>
    <row r="957">
      <c r="M957" s="7"/>
    </row>
    <row r="958">
      <c r="M958" s="7"/>
    </row>
    <row r="959">
      <c r="M959" s="7"/>
    </row>
    <row r="960">
      <c r="M960" s="7"/>
    </row>
    <row r="961">
      <c r="M961" s="7"/>
    </row>
    <row r="962">
      <c r="M962" s="7"/>
    </row>
    <row r="963">
      <c r="M963" s="7"/>
    </row>
    <row r="964">
      <c r="M964" s="7"/>
    </row>
    <row r="965">
      <c r="M965" s="7"/>
    </row>
    <row r="966">
      <c r="M966" s="7"/>
    </row>
    <row r="967">
      <c r="M967" s="7"/>
    </row>
    <row r="968">
      <c r="M968" s="7"/>
    </row>
    <row r="969">
      <c r="M969" s="7"/>
    </row>
    <row r="970">
      <c r="M970" s="7"/>
    </row>
    <row r="971">
      <c r="M971" s="7"/>
    </row>
    <row r="972">
      <c r="M972" s="7"/>
    </row>
    <row r="973">
      <c r="M973" s="7"/>
    </row>
    <row r="974">
      <c r="M974" s="7"/>
    </row>
    <row r="975">
      <c r="M975" s="7"/>
    </row>
    <row r="976">
      <c r="M976" s="7"/>
    </row>
    <row r="977">
      <c r="M977" s="7"/>
    </row>
    <row r="978">
      <c r="M978" s="7"/>
    </row>
    <row r="979">
      <c r="M979" s="7"/>
    </row>
    <row r="980">
      <c r="M980" s="7"/>
    </row>
    <row r="981">
      <c r="M981" s="7"/>
    </row>
    <row r="982">
      <c r="M982" s="7"/>
    </row>
    <row r="983">
      <c r="M983" s="7"/>
    </row>
    <row r="984">
      <c r="M984" s="7"/>
    </row>
    <row r="985">
      <c r="M985" s="7"/>
    </row>
    <row r="986">
      <c r="M986" s="7"/>
    </row>
    <row r="987">
      <c r="M987" s="7"/>
    </row>
    <row r="988">
      <c r="M988" s="7"/>
    </row>
    <row r="989">
      <c r="M989" s="7"/>
    </row>
    <row r="990">
      <c r="M990" s="7"/>
    </row>
    <row r="991">
      <c r="M991" s="7"/>
    </row>
    <row r="992">
      <c r="M992" s="7"/>
    </row>
    <row r="993">
      <c r="M993" s="7"/>
    </row>
    <row r="994">
      <c r="M994" s="7"/>
    </row>
    <row r="995">
      <c r="M995" s="7"/>
    </row>
    <row r="996">
      <c r="M996" s="7"/>
    </row>
    <row r="997">
      <c r="M997" s="7"/>
    </row>
    <row r="998">
      <c r="M998" s="7"/>
    </row>
    <row r="999">
      <c r="M999" s="7"/>
    </row>
    <row r="1000">
      <c r="M1000" s="7"/>
    </row>
  </sheetData>
  <hyperlinks>
    <hyperlink r:id="rId1" ref="A1"/>
    <hyperlink r:id="rId2" ref="F21"/>
    <hyperlink r:id="rId3" ref="D22"/>
    <hyperlink r:id="rId4" ref="E22"/>
    <hyperlink r:id="rId5" ref="D23"/>
    <hyperlink r:id="rId6" ref="F23"/>
    <hyperlink r:id="rId7" ref="D24"/>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18.38"/>
    <col customWidth="1" min="4" max="4" width="15.25"/>
    <col customWidth="1" min="5" max="5" width="25.38"/>
    <col customWidth="1" min="6" max="6" width="27.13"/>
    <col customWidth="1" min="7" max="7" width="19.25"/>
    <col customWidth="1" min="9" max="9" width="34.13"/>
    <col customWidth="1" min="10" max="10" width="26.63"/>
    <col customWidth="1" min="13" max="13" width="34.13"/>
  </cols>
  <sheetData>
    <row r="1">
      <c r="A1" s="185" t="s">
        <v>2750</v>
      </c>
      <c r="B1" s="185" t="s">
        <v>2301</v>
      </c>
      <c r="C1" s="185" t="s">
        <v>2751</v>
      </c>
      <c r="D1" s="185" t="s">
        <v>2752</v>
      </c>
      <c r="E1" s="185" t="s">
        <v>2753</v>
      </c>
      <c r="F1" s="185" t="s">
        <v>2754</v>
      </c>
      <c r="G1" s="185" t="s">
        <v>2755</v>
      </c>
      <c r="H1" s="185" t="s">
        <v>2756</v>
      </c>
      <c r="I1" s="185" t="s">
        <v>2757</v>
      </c>
      <c r="J1" s="186"/>
      <c r="K1" s="186"/>
      <c r="L1" s="186"/>
      <c r="M1" s="186"/>
      <c r="N1" s="186"/>
      <c r="O1" s="187"/>
      <c r="P1" s="187"/>
      <c r="Q1" s="187"/>
      <c r="R1" s="187"/>
      <c r="S1" s="187"/>
      <c r="T1" s="187"/>
      <c r="U1" s="187"/>
      <c r="V1" s="187"/>
      <c r="W1" s="187"/>
      <c r="X1" s="187"/>
      <c r="Y1" s="187"/>
      <c r="Z1" s="187"/>
      <c r="AA1" s="187"/>
      <c r="AB1" s="187"/>
      <c r="AC1" s="187"/>
      <c r="AD1" s="187"/>
      <c r="AE1" s="187"/>
      <c r="AF1" s="187"/>
      <c r="AG1" s="187"/>
      <c r="AH1" s="187"/>
      <c r="AI1" s="187"/>
    </row>
    <row r="2">
      <c r="A2" s="188">
        <v>1.0</v>
      </c>
      <c r="B2" s="189">
        <v>44628.0</v>
      </c>
      <c r="C2" s="188"/>
      <c r="D2" s="188"/>
      <c r="E2" s="188"/>
      <c r="F2" s="188" t="s">
        <v>2758</v>
      </c>
      <c r="G2" s="188">
        <v>9.582962692E9</v>
      </c>
      <c r="H2" s="190" t="s">
        <v>2553</v>
      </c>
      <c r="I2" s="191" t="s">
        <v>2759</v>
      </c>
      <c r="J2" s="188" t="s">
        <v>2760</v>
      </c>
      <c r="K2" s="187"/>
      <c r="L2" s="187"/>
      <c r="M2" s="192"/>
      <c r="N2" s="187"/>
      <c r="O2" s="187"/>
      <c r="P2" s="187"/>
      <c r="Q2" s="187"/>
      <c r="R2" s="187"/>
      <c r="S2" s="187"/>
      <c r="T2" s="187"/>
      <c r="U2" s="187"/>
      <c r="V2" s="187"/>
      <c r="W2" s="187"/>
      <c r="X2" s="187"/>
      <c r="Y2" s="187"/>
      <c r="Z2" s="187"/>
      <c r="AA2" s="187"/>
      <c r="AB2" s="187"/>
      <c r="AC2" s="187"/>
      <c r="AD2" s="187"/>
      <c r="AE2" s="187"/>
      <c r="AF2" s="187"/>
      <c r="AG2" s="187"/>
      <c r="AH2" s="187"/>
      <c r="AI2" s="187"/>
    </row>
    <row r="3">
      <c r="A3" s="188">
        <f t="shared" ref="A3:A11" si="1">1+A2</f>
        <v>2</v>
      </c>
      <c r="B3" s="189">
        <v>44628.0</v>
      </c>
      <c r="C3" s="188" t="s">
        <v>2761</v>
      </c>
      <c r="D3" s="188" t="s">
        <v>2762</v>
      </c>
      <c r="E3" s="188">
        <v>284001.0</v>
      </c>
      <c r="F3" s="188" t="s">
        <v>2763</v>
      </c>
      <c r="G3" s="188">
        <v>9.455719038E9</v>
      </c>
      <c r="H3" s="188" t="s">
        <v>2559</v>
      </c>
      <c r="I3" s="193" t="s">
        <v>2764</v>
      </c>
      <c r="J3" s="188"/>
      <c r="K3" s="187"/>
      <c r="L3" s="187"/>
      <c r="M3" s="192"/>
      <c r="N3" s="187"/>
      <c r="O3" s="187"/>
      <c r="P3" s="187"/>
      <c r="Q3" s="187"/>
      <c r="R3" s="187"/>
      <c r="S3" s="187"/>
      <c r="T3" s="187"/>
      <c r="U3" s="187"/>
      <c r="V3" s="187"/>
      <c r="W3" s="187"/>
      <c r="X3" s="187"/>
      <c r="Y3" s="187"/>
      <c r="Z3" s="187"/>
      <c r="AA3" s="187"/>
      <c r="AB3" s="187"/>
      <c r="AC3" s="187"/>
      <c r="AD3" s="187"/>
      <c r="AE3" s="187"/>
      <c r="AF3" s="187"/>
      <c r="AG3" s="187"/>
      <c r="AH3" s="187"/>
      <c r="AI3" s="187"/>
    </row>
    <row r="4">
      <c r="A4" s="188">
        <f t="shared" si="1"/>
        <v>3</v>
      </c>
      <c r="B4" s="189">
        <v>44628.0</v>
      </c>
      <c r="C4" s="188" t="s">
        <v>2765</v>
      </c>
      <c r="D4" s="188" t="s">
        <v>2766</v>
      </c>
      <c r="E4" s="188">
        <v>520002.0</v>
      </c>
      <c r="F4" s="188" t="s">
        <v>2767</v>
      </c>
      <c r="G4" s="188">
        <v>9.392135185E9</v>
      </c>
      <c r="H4" s="187"/>
      <c r="I4" s="188" t="s">
        <v>2768</v>
      </c>
      <c r="J4" s="187"/>
      <c r="K4" s="188" t="s">
        <v>2459</v>
      </c>
      <c r="L4" s="187"/>
      <c r="M4" s="192"/>
      <c r="N4" s="187"/>
      <c r="O4" s="187"/>
      <c r="P4" s="187"/>
      <c r="Q4" s="187"/>
      <c r="R4" s="187"/>
      <c r="S4" s="187"/>
      <c r="T4" s="187"/>
      <c r="U4" s="187"/>
      <c r="V4" s="187"/>
      <c r="W4" s="187"/>
      <c r="X4" s="187"/>
      <c r="Y4" s="187"/>
      <c r="Z4" s="187"/>
      <c r="AA4" s="187"/>
      <c r="AB4" s="187"/>
      <c r="AC4" s="187"/>
      <c r="AD4" s="187"/>
      <c r="AE4" s="187"/>
      <c r="AF4" s="187"/>
      <c r="AG4" s="187"/>
      <c r="AH4" s="187"/>
      <c r="AI4" s="187"/>
    </row>
    <row r="5">
      <c r="A5" s="188">
        <f t="shared" si="1"/>
        <v>4</v>
      </c>
      <c r="B5" s="189">
        <v>44628.0</v>
      </c>
      <c r="C5" s="187"/>
      <c r="D5" s="187"/>
      <c r="E5" s="187"/>
      <c r="F5" s="188" t="s">
        <v>2769</v>
      </c>
      <c r="G5" s="188">
        <v>9.3609361E9</v>
      </c>
      <c r="H5" s="187"/>
      <c r="I5" s="188" t="s">
        <v>2770</v>
      </c>
      <c r="J5" s="187"/>
      <c r="K5" s="187"/>
      <c r="L5" s="187"/>
      <c r="M5" s="192"/>
      <c r="N5" s="187"/>
      <c r="O5" s="187"/>
      <c r="P5" s="187"/>
      <c r="Q5" s="187"/>
      <c r="R5" s="187"/>
      <c r="S5" s="187"/>
      <c r="T5" s="187"/>
      <c r="U5" s="187"/>
      <c r="V5" s="187"/>
      <c r="W5" s="187"/>
      <c r="X5" s="187"/>
      <c r="Y5" s="187"/>
      <c r="Z5" s="187"/>
      <c r="AA5" s="187"/>
      <c r="AB5" s="187"/>
      <c r="AC5" s="187"/>
      <c r="AD5" s="187"/>
      <c r="AE5" s="187"/>
      <c r="AF5" s="187"/>
      <c r="AG5" s="187"/>
      <c r="AH5" s="187"/>
      <c r="AI5" s="187"/>
    </row>
    <row r="6">
      <c r="A6" s="188">
        <f t="shared" si="1"/>
        <v>5</v>
      </c>
      <c r="B6" s="189">
        <v>44628.0</v>
      </c>
      <c r="C6" s="188"/>
      <c r="D6" s="188"/>
      <c r="E6" s="188"/>
      <c r="F6" s="188" t="s">
        <v>2771</v>
      </c>
      <c r="G6" s="188">
        <v>9.902222173E9</v>
      </c>
      <c r="H6" s="188" t="s">
        <v>2772</v>
      </c>
      <c r="I6" s="190" t="s">
        <v>2773</v>
      </c>
      <c r="J6" s="187"/>
      <c r="K6" s="187"/>
      <c r="L6" s="187"/>
      <c r="M6" s="192"/>
      <c r="N6" s="187"/>
      <c r="O6" s="187"/>
      <c r="P6" s="187"/>
      <c r="Q6" s="187"/>
      <c r="R6" s="187"/>
      <c r="S6" s="187"/>
      <c r="T6" s="187"/>
      <c r="U6" s="187"/>
      <c r="V6" s="187"/>
      <c r="W6" s="187"/>
      <c r="X6" s="187"/>
      <c r="Y6" s="187"/>
      <c r="Z6" s="187"/>
      <c r="AA6" s="187"/>
      <c r="AB6" s="187"/>
      <c r="AC6" s="187"/>
      <c r="AD6" s="187"/>
      <c r="AE6" s="187"/>
      <c r="AF6" s="187"/>
      <c r="AG6" s="187"/>
      <c r="AH6" s="187"/>
      <c r="AI6" s="187"/>
    </row>
    <row r="7">
      <c r="A7" s="188">
        <f t="shared" si="1"/>
        <v>6</v>
      </c>
      <c r="B7" s="189">
        <v>44628.0</v>
      </c>
      <c r="C7" s="187"/>
      <c r="D7" s="187"/>
      <c r="E7" s="187"/>
      <c r="F7" s="188" t="s">
        <v>2774</v>
      </c>
      <c r="G7" s="187"/>
      <c r="H7" s="188"/>
      <c r="I7" s="187"/>
      <c r="J7" s="187"/>
      <c r="K7" s="187"/>
      <c r="L7" s="187"/>
      <c r="M7" s="192"/>
      <c r="N7" s="187"/>
      <c r="O7" s="187"/>
      <c r="P7" s="187"/>
      <c r="Q7" s="187"/>
      <c r="R7" s="187"/>
      <c r="S7" s="187"/>
      <c r="T7" s="187"/>
      <c r="U7" s="187"/>
      <c r="V7" s="187"/>
      <c r="W7" s="187"/>
      <c r="X7" s="187"/>
      <c r="Y7" s="187"/>
      <c r="Z7" s="187"/>
      <c r="AA7" s="187"/>
      <c r="AB7" s="187"/>
      <c r="AC7" s="187"/>
      <c r="AD7" s="187"/>
      <c r="AE7" s="187"/>
      <c r="AF7" s="187"/>
      <c r="AG7" s="187"/>
      <c r="AH7" s="187"/>
      <c r="AI7" s="187"/>
    </row>
    <row r="8">
      <c r="A8" s="188">
        <f t="shared" si="1"/>
        <v>7</v>
      </c>
      <c r="B8" s="189">
        <v>44628.0</v>
      </c>
      <c r="C8" s="188" t="s">
        <v>2775</v>
      </c>
      <c r="D8" s="188"/>
      <c r="E8" s="188"/>
      <c r="F8" s="188" t="s">
        <v>2776</v>
      </c>
      <c r="G8" s="188">
        <v>9.943653641E9</v>
      </c>
      <c r="H8" s="188" t="s">
        <v>2777</v>
      </c>
      <c r="I8" s="188" t="s">
        <v>2778</v>
      </c>
      <c r="J8" s="187"/>
      <c r="K8" s="187"/>
      <c r="L8" s="187"/>
      <c r="M8" s="192"/>
      <c r="N8" s="187"/>
      <c r="O8" s="187"/>
      <c r="P8" s="187"/>
      <c r="Q8" s="187"/>
      <c r="R8" s="187"/>
      <c r="S8" s="187"/>
      <c r="T8" s="187"/>
      <c r="U8" s="187"/>
      <c r="V8" s="187"/>
      <c r="W8" s="187"/>
      <c r="X8" s="187"/>
      <c r="Y8" s="187"/>
      <c r="Z8" s="187"/>
      <c r="AA8" s="187"/>
      <c r="AB8" s="187"/>
      <c r="AC8" s="187"/>
      <c r="AD8" s="187"/>
      <c r="AE8" s="187"/>
      <c r="AF8" s="187"/>
      <c r="AG8" s="187"/>
      <c r="AH8" s="187"/>
      <c r="AI8" s="187"/>
    </row>
    <row r="9">
      <c r="A9" s="188">
        <f t="shared" si="1"/>
        <v>8</v>
      </c>
      <c r="B9" s="189">
        <v>44628.0</v>
      </c>
      <c r="C9" s="188"/>
      <c r="D9" s="188"/>
      <c r="E9" s="188"/>
      <c r="F9" s="188" t="s">
        <v>2779</v>
      </c>
      <c r="G9" s="188">
        <v>8.884044912E9</v>
      </c>
      <c r="H9" s="188" t="s">
        <v>2780</v>
      </c>
      <c r="I9" s="188" t="s">
        <v>2781</v>
      </c>
      <c r="J9" s="187"/>
      <c r="K9" s="187"/>
      <c r="L9" s="187"/>
      <c r="M9" s="192"/>
      <c r="N9" s="187"/>
      <c r="O9" s="187"/>
      <c r="P9" s="187"/>
      <c r="Q9" s="187"/>
      <c r="R9" s="187"/>
      <c r="S9" s="187"/>
      <c r="T9" s="187"/>
      <c r="U9" s="187"/>
      <c r="V9" s="187"/>
      <c r="W9" s="187"/>
      <c r="X9" s="187"/>
      <c r="Y9" s="187"/>
      <c r="Z9" s="187"/>
      <c r="AA9" s="187"/>
      <c r="AB9" s="187"/>
      <c r="AC9" s="187"/>
      <c r="AD9" s="187"/>
      <c r="AE9" s="187"/>
      <c r="AF9" s="187"/>
      <c r="AG9" s="187"/>
      <c r="AH9" s="187"/>
      <c r="AI9" s="187"/>
    </row>
    <row r="10">
      <c r="A10" s="188">
        <f t="shared" si="1"/>
        <v>9</v>
      </c>
      <c r="B10" s="189">
        <v>44628.0</v>
      </c>
      <c r="C10" s="188"/>
      <c r="D10" s="188"/>
      <c r="E10" s="188"/>
      <c r="F10" s="188" t="s">
        <v>2782</v>
      </c>
      <c r="G10" s="188">
        <v>9.849247626E9</v>
      </c>
      <c r="H10" s="188" t="s">
        <v>2783</v>
      </c>
      <c r="I10" s="188" t="s">
        <v>2784</v>
      </c>
      <c r="J10" s="187"/>
      <c r="K10" s="187"/>
      <c r="L10" s="187"/>
      <c r="M10" s="192"/>
      <c r="N10" s="187"/>
      <c r="O10" s="187"/>
      <c r="P10" s="187"/>
      <c r="Q10" s="187"/>
      <c r="R10" s="187"/>
      <c r="S10" s="187"/>
      <c r="T10" s="187"/>
      <c r="U10" s="187"/>
      <c r="V10" s="187"/>
      <c r="W10" s="187"/>
      <c r="X10" s="187"/>
      <c r="Y10" s="187"/>
      <c r="Z10" s="187"/>
      <c r="AA10" s="187"/>
      <c r="AB10" s="187"/>
      <c r="AC10" s="187"/>
      <c r="AD10" s="187"/>
      <c r="AE10" s="187"/>
      <c r="AF10" s="187"/>
      <c r="AG10" s="187"/>
      <c r="AH10" s="187"/>
      <c r="AI10" s="187"/>
    </row>
    <row r="11">
      <c r="A11" s="188">
        <f t="shared" si="1"/>
        <v>10</v>
      </c>
      <c r="B11" s="189">
        <v>44628.0</v>
      </c>
      <c r="C11" s="188" t="s">
        <v>2785</v>
      </c>
      <c r="D11" s="188"/>
      <c r="E11" s="188"/>
      <c r="F11" s="188" t="s">
        <v>2786</v>
      </c>
      <c r="G11" s="188">
        <v>9.719700801E9</v>
      </c>
      <c r="H11" s="188" t="s">
        <v>2787</v>
      </c>
      <c r="I11" s="193" t="s">
        <v>2788</v>
      </c>
      <c r="J11" s="188" t="s">
        <v>2789</v>
      </c>
      <c r="K11" s="187"/>
      <c r="L11" s="187"/>
      <c r="M11" s="192"/>
      <c r="N11" s="187"/>
      <c r="O11" s="187"/>
      <c r="P11" s="187"/>
      <c r="Q11" s="187"/>
      <c r="R11" s="187"/>
      <c r="S11" s="187"/>
      <c r="T11" s="187"/>
      <c r="U11" s="187"/>
      <c r="V11" s="187"/>
      <c r="W11" s="187"/>
      <c r="X11" s="187"/>
      <c r="Y11" s="187"/>
      <c r="Z11" s="187"/>
      <c r="AA11" s="187"/>
      <c r="AB11" s="187"/>
      <c r="AC11" s="187"/>
      <c r="AD11" s="187"/>
      <c r="AE11" s="187"/>
      <c r="AF11" s="187"/>
      <c r="AG11" s="187"/>
      <c r="AH11" s="187"/>
      <c r="AI11" s="187"/>
    </row>
    <row r="12">
      <c r="A12" s="194"/>
      <c r="B12" s="194"/>
      <c r="C12" s="194"/>
      <c r="D12" s="194"/>
      <c r="E12" s="194"/>
      <c r="F12" s="194"/>
      <c r="G12" s="194"/>
      <c r="H12" s="194"/>
      <c r="I12" s="195"/>
      <c r="J12" s="194"/>
      <c r="K12" s="194"/>
      <c r="L12" s="194"/>
      <c r="M12" s="194"/>
      <c r="N12" s="194"/>
      <c r="O12" s="194"/>
      <c r="P12" s="194"/>
      <c r="Q12" s="194"/>
      <c r="R12" s="194"/>
      <c r="S12" s="194"/>
      <c r="T12" s="194"/>
      <c r="U12" s="194"/>
      <c r="V12" s="194"/>
      <c r="W12" s="194"/>
      <c r="X12" s="194"/>
      <c r="Y12" s="194"/>
      <c r="Z12" s="194"/>
      <c r="AA12" s="194"/>
      <c r="AB12" s="194"/>
      <c r="AC12" s="194"/>
      <c r="AD12" s="194"/>
      <c r="AE12" s="194"/>
      <c r="AF12" s="194"/>
      <c r="AG12" s="194"/>
      <c r="AH12" s="194"/>
      <c r="AI12" s="194"/>
    </row>
    <row r="13">
      <c r="A13" s="188">
        <f>1+'Followups '!A1</f>
        <v>12</v>
      </c>
      <c r="B13" s="189">
        <v>44628.0</v>
      </c>
      <c r="C13" s="188" t="s">
        <v>2790</v>
      </c>
      <c r="D13" s="196" t="s">
        <v>2791</v>
      </c>
      <c r="E13" s="196">
        <v>443001.0</v>
      </c>
      <c r="F13" s="196" t="s">
        <v>2792</v>
      </c>
      <c r="G13" s="188">
        <v>9.82269779E9</v>
      </c>
      <c r="H13" s="188" t="s">
        <v>2793</v>
      </c>
      <c r="I13" s="197" t="s">
        <v>2794</v>
      </c>
      <c r="J13" s="188" t="s">
        <v>2795</v>
      </c>
      <c r="K13" s="187"/>
      <c r="L13" s="187"/>
      <c r="M13" s="192"/>
      <c r="N13" s="187"/>
      <c r="O13" s="187"/>
      <c r="P13" s="187"/>
      <c r="Q13" s="187"/>
      <c r="R13" s="187"/>
      <c r="S13" s="187"/>
      <c r="T13" s="187"/>
      <c r="U13" s="187"/>
      <c r="V13" s="187"/>
      <c r="W13" s="187"/>
      <c r="X13" s="187"/>
      <c r="Y13" s="187"/>
      <c r="Z13" s="187"/>
      <c r="AA13" s="187"/>
      <c r="AB13" s="187"/>
      <c r="AC13" s="187"/>
      <c r="AD13" s="187"/>
      <c r="AE13" s="187"/>
      <c r="AF13" s="187"/>
      <c r="AG13" s="187"/>
      <c r="AH13" s="187"/>
      <c r="AI13" s="187"/>
    </row>
    <row r="14">
      <c r="A14" s="188">
        <f t="shared" ref="A14:A16" si="2">1+A13</f>
        <v>13</v>
      </c>
      <c r="B14" s="189">
        <v>44628.0</v>
      </c>
      <c r="C14" s="188" t="s">
        <v>2796</v>
      </c>
      <c r="D14" s="188" t="s">
        <v>2797</v>
      </c>
      <c r="E14" s="188">
        <v>627011.0</v>
      </c>
      <c r="F14" s="196" t="s">
        <v>2571</v>
      </c>
      <c r="G14" s="188">
        <v>8.294028777E9</v>
      </c>
      <c r="H14" s="187"/>
      <c r="I14" s="188" t="s">
        <v>2798</v>
      </c>
      <c r="J14" s="187"/>
      <c r="K14" s="187"/>
      <c r="L14" s="187"/>
      <c r="M14" s="192"/>
      <c r="N14" s="187"/>
      <c r="O14" s="187"/>
      <c r="P14" s="187"/>
      <c r="Q14" s="187"/>
      <c r="R14" s="187"/>
      <c r="S14" s="187"/>
      <c r="T14" s="187"/>
      <c r="U14" s="187"/>
      <c r="V14" s="187"/>
      <c r="W14" s="187"/>
      <c r="X14" s="187"/>
      <c r="Y14" s="187"/>
      <c r="Z14" s="187"/>
      <c r="AA14" s="187"/>
      <c r="AB14" s="187"/>
      <c r="AC14" s="187"/>
      <c r="AD14" s="187"/>
      <c r="AE14" s="187"/>
      <c r="AF14" s="187"/>
      <c r="AG14" s="187"/>
      <c r="AH14" s="187"/>
      <c r="AI14" s="187"/>
    </row>
    <row r="15">
      <c r="A15" s="188">
        <f t="shared" si="2"/>
        <v>14</v>
      </c>
      <c r="B15" s="189">
        <v>44628.0</v>
      </c>
      <c r="C15" s="188" t="s">
        <v>2799</v>
      </c>
      <c r="D15" s="188" t="s">
        <v>2800</v>
      </c>
      <c r="E15" s="188"/>
      <c r="F15" s="188"/>
      <c r="G15" s="188">
        <v>9.906834665E9</v>
      </c>
      <c r="H15" s="187"/>
      <c r="I15" s="188" t="s">
        <v>2801</v>
      </c>
      <c r="J15" s="187"/>
      <c r="K15" s="187"/>
      <c r="L15" s="187"/>
      <c r="M15" s="192"/>
      <c r="N15" s="187"/>
      <c r="O15" s="187"/>
      <c r="P15" s="187"/>
      <c r="Q15" s="187"/>
      <c r="R15" s="187"/>
      <c r="S15" s="187"/>
      <c r="T15" s="187"/>
      <c r="U15" s="187"/>
      <c r="V15" s="187"/>
      <c r="W15" s="187"/>
      <c r="X15" s="187"/>
      <c r="Y15" s="187"/>
      <c r="Z15" s="187"/>
      <c r="AA15" s="187"/>
      <c r="AB15" s="187"/>
      <c r="AC15" s="187"/>
      <c r="AD15" s="187"/>
      <c r="AE15" s="187"/>
      <c r="AF15" s="187"/>
      <c r="AG15" s="187"/>
      <c r="AH15" s="187"/>
      <c r="AI15" s="187"/>
    </row>
    <row r="16">
      <c r="A16" s="188">
        <f t="shared" si="2"/>
        <v>15</v>
      </c>
      <c r="B16" s="189">
        <v>44628.0</v>
      </c>
      <c r="C16" s="188" t="s">
        <v>2802</v>
      </c>
      <c r="D16" s="198" t="s">
        <v>2803</v>
      </c>
      <c r="E16" s="188"/>
      <c r="F16" s="188"/>
      <c r="G16" s="187"/>
      <c r="H16" s="187"/>
      <c r="I16" s="188" t="s">
        <v>2804</v>
      </c>
      <c r="J16" s="187"/>
      <c r="K16" s="187"/>
      <c r="L16" s="187"/>
      <c r="M16" s="192"/>
      <c r="N16" s="187"/>
      <c r="O16" s="187"/>
      <c r="P16" s="187"/>
      <c r="Q16" s="187"/>
      <c r="R16" s="187"/>
      <c r="S16" s="187"/>
      <c r="T16" s="187"/>
      <c r="U16" s="187"/>
      <c r="V16" s="187"/>
      <c r="W16" s="187"/>
      <c r="X16" s="187"/>
      <c r="Y16" s="187"/>
      <c r="Z16" s="187"/>
      <c r="AA16" s="187"/>
      <c r="AB16" s="187"/>
      <c r="AC16" s="187"/>
      <c r="AD16" s="187"/>
      <c r="AE16" s="187"/>
      <c r="AF16" s="187"/>
      <c r="AG16" s="187"/>
      <c r="AH16" s="187"/>
      <c r="AI16" s="187"/>
    </row>
    <row r="17">
      <c r="A17" s="194"/>
      <c r="B17" s="194"/>
      <c r="C17" s="194"/>
      <c r="D17" s="194"/>
      <c r="E17" s="194"/>
      <c r="F17" s="194"/>
      <c r="G17" s="194"/>
      <c r="H17" s="194"/>
      <c r="I17" s="195"/>
      <c r="J17" s="194"/>
      <c r="K17" s="194"/>
      <c r="L17" s="194"/>
      <c r="M17" s="194"/>
      <c r="N17" s="194"/>
      <c r="O17" s="194"/>
      <c r="P17" s="194"/>
      <c r="Q17" s="194"/>
      <c r="R17" s="194"/>
      <c r="S17" s="194"/>
      <c r="T17" s="194"/>
      <c r="U17" s="194"/>
      <c r="V17" s="194"/>
      <c r="W17" s="194"/>
      <c r="X17" s="194"/>
      <c r="Y17" s="194"/>
      <c r="Z17" s="194"/>
      <c r="AA17" s="194"/>
      <c r="AB17" s="194"/>
      <c r="AC17" s="194"/>
      <c r="AD17" s="194"/>
      <c r="AE17" s="194"/>
      <c r="AF17" s="194"/>
      <c r="AG17" s="194"/>
      <c r="AH17" s="194"/>
      <c r="AI17" s="194"/>
    </row>
    <row r="18">
      <c r="A18" s="188">
        <f>1+'Followups '!A2</f>
        <v>17</v>
      </c>
      <c r="B18" s="189">
        <v>44630.0</v>
      </c>
      <c r="C18" s="188" t="s">
        <v>2805</v>
      </c>
      <c r="D18" s="188" t="s">
        <v>2806</v>
      </c>
      <c r="E18" s="188">
        <v>576213.0</v>
      </c>
      <c r="F18" s="188" t="s">
        <v>2807</v>
      </c>
      <c r="G18" s="188">
        <v>9.880722819E9</v>
      </c>
      <c r="H18" s="187"/>
      <c r="I18" s="190" t="s">
        <v>2808</v>
      </c>
      <c r="J18" s="188" t="s">
        <v>2337</v>
      </c>
      <c r="K18" s="187"/>
      <c r="L18" s="187"/>
      <c r="M18" s="192"/>
      <c r="N18" s="187"/>
      <c r="O18" s="187"/>
      <c r="P18" s="187"/>
      <c r="Q18" s="187"/>
      <c r="R18" s="187"/>
      <c r="S18" s="187"/>
      <c r="T18" s="187"/>
      <c r="U18" s="187"/>
      <c r="V18" s="187"/>
      <c r="W18" s="187"/>
      <c r="X18" s="187"/>
      <c r="Y18" s="187"/>
      <c r="Z18" s="187"/>
      <c r="AA18" s="187"/>
      <c r="AB18" s="187"/>
      <c r="AC18" s="187"/>
      <c r="AD18" s="187"/>
      <c r="AE18" s="187"/>
      <c r="AF18" s="187"/>
      <c r="AG18" s="187"/>
      <c r="AH18" s="187"/>
      <c r="AI18" s="187"/>
    </row>
    <row r="19">
      <c r="A19" s="188">
        <f t="shared" ref="A19:A39" si="3">1+A18</f>
        <v>18</v>
      </c>
      <c r="B19" s="189">
        <v>44630.0</v>
      </c>
      <c r="C19" s="188" t="s">
        <v>2809</v>
      </c>
      <c r="D19" s="188" t="s">
        <v>2810</v>
      </c>
      <c r="E19" s="188">
        <v>670612.0</v>
      </c>
      <c r="F19" s="188" t="s">
        <v>2811</v>
      </c>
      <c r="G19" s="188">
        <v>9.585528583E9</v>
      </c>
      <c r="H19" s="188" t="s">
        <v>2812</v>
      </c>
      <c r="I19" s="193" t="s">
        <v>2813</v>
      </c>
      <c r="J19" s="188" t="s">
        <v>2337</v>
      </c>
      <c r="K19" s="187"/>
      <c r="L19" s="187"/>
      <c r="M19" s="192"/>
      <c r="N19" s="187"/>
      <c r="O19" s="187"/>
      <c r="P19" s="187"/>
      <c r="Q19" s="187"/>
      <c r="R19" s="187"/>
      <c r="S19" s="187"/>
      <c r="T19" s="187"/>
      <c r="U19" s="187"/>
      <c r="V19" s="187"/>
      <c r="W19" s="187"/>
      <c r="X19" s="187"/>
      <c r="Y19" s="187"/>
      <c r="Z19" s="187"/>
      <c r="AA19" s="187"/>
      <c r="AB19" s="187"/>
      <c r="AC19" s="187"/>
      <c r="AD19" s="187"/>
      <c r="AE19" s="187"/>
      <c r="AF19" s="187"/>
      <c r="AG19" s="187"/>
      <c r="AH19" s="187"/>
      <c r="AI19" s="187"/>
    </row>
    <row r="20">
      <c r="A20" s="188">
        <f t="shared" si="3"/>
        <v>19</v>
      </c>
      <c r="B20" s="189">
        <v>44630.0</v>
      </c>
      <c r="C20" s="188" t="s">
        <v>2814</v>
      </c>
      <c r="D20" s="188" t="s">
        <v>2815</v>
      </c>
      <c r="E20" s="188">
        <v>480001.0</v>
      </c>
      <c r="F20" s="188" t="s">
        <v>2816</v>
      </c>
      <c r="G20" s="188">
        <v>9.479718859E9</v>
      </c>
      <c r="H20" s="188" t="s">
        <v>2817</v>
      </c>
      <c r="I20" s="193" t="s">
        <v>2818</v>
      </c>
      <c r="J20" s="188" t="s">
        <v>2337</v>
      </c>
      <c r="K20" s="187"/>
      <c r="L20" s="187"/>
      <c r="M20" s="192"/>
      <c r="N20" s="187"/>
      <c r="O20" s="187"/>
      <c r="P20" s="187"/>
      <c r="Q20" s="187"/>
      <c r="R20" s="187"/>
      <c r="S20" s="187"/>
      <c r="T20" s="187"/>
      <c r="U20" s="187"/>
      <c r="V20" s="187"/>
      <c r="W20" s="187"/>
      <c r="X20" s="187"/>
      <c r="Y20" s="187"/>
      <c r="Z20" s="187"/>
      <c r="AA20" s="187"/>
      <c r="AB20" s="187"/>
      <c r="AC20" s="187"/>
      <c r="AD20" s="187"/>
      <c r="AE20" s="187"/>
      <c r="AF20" s="187"/>
      <c r="AG20" s="187"/>
      <c r="AH20" s="187"/>
      <c r="AI20" s="187"/>
    </row>
    <row r="21">
      <c r="A21" s="188">
        <f t="shared" si="3"/>
        <v>20</v>
      </c>
      <c r="B21" s="189">
        <v>44630.0</v>
      </c>
      <c r="C21" s="188" t="s">
        <v>2819</v>
      </c>
      <c r="D21" s="188" t="s">
        <v>2820</v>
      </c>
      <c r="E21" s="188">
        <v>203207.0</v>
      </c>
      <c r="F21" s="190" t="s">
        <v>2821</v>
      </c>
      <c r="G21" s="188">
        <v>9.350110289E9</v>
      </c>
      <c r="H21" s="187"/>
      <c r="I21" s="190" t="s">
        <v>2822</v>
      </c>
      <c r="J21" s="192"/>
      <c r="K21" s="192"/>
      <c r="L21" s="192"/>
      <c r="M21" s="190" t="s">
        <v>2823</v>
      </c>
      <c r="N21" s="192"/>
      <c r="O21" s="192"/>
      <c r="P21" s="187"/>
      <c r="Q21" s="187"/>
      <c r="R21" s="187"/>
      <c r="S21" s="187"/>
      <c r="T21" s="187"/>
      <c r="U21" s="187"/>
      <c r="V21" s="187"/>
      <c r="W21" s="187"/>
      <c r="X21" s="187"/>
      <c r="Y21" s="187"/>
      <c r="Z21" s="187"/>
      <c r="AA21" s="187"/>
      <c r="AB21" s="187"/>
      <c r="AC21" s="187"/>
      <c r="AD21" s="187"/>
      <c r="AE21" s="187"/>
      <c r="AF21" s="187"/>
      <c r="AG21" s="187"/>
      <c r="AH21" s="187"/>
      <c r="AI21" s="187"/>
    </row>
    <row r="22">
      <c r="A22" s="188">
        <f t="shared" si="3"/>
        <v>21</v>
      </c>
      <c r="B22" s="189">
        <v>44630.0</v>
      </c>
      <c r="C22" s="188" t="s">
        <v>2824</v>
      </c>
      <c r="D22" s="188" t="s">
        <v>2825</v>
      </c>
      <c r="E22" s="187"/>
      <c r="F22" s="188" t="s">
        <v>2826</v>
      </c>
      <c r="G22" s="188">
        <v>8.717051111E9</v>
      </c>
      <c r="H22" s="187"/>
      <c r="I22" s="190" t="s">
        <v>2827</v>
      </c>
      <c r="J22" s="190"/>
      <c r="K22" s="192"/>
      <c r="L22" s="192"/>
      <c r="M22" s="190" t="s">
        <v>2828</v>
      </c>
      <c r="N22" s="187"/>
      <c r="O22" s="187"/>
      <c r="P22" s="187"/>
      <c r="Q22" s="187"/>
      <c r="R22" s="187"/>
      <c r="S22" s="187"/>
      <c r="T22" s="187"/>
      <c r="U22" s="187"/>
      <c r="V22" s="187"/>
      <c r="W22" s="187"/>
      <c r="X22" s="187"/>
      <c r="Y22" s="187"/>
      <c r="Z22" s="187"/>
      <c r="AA22" s="187"/>
      <c r="AB22" s="187"/>
      <c r="AC22" s="187"/>
      <c r="AD22" s="187"/>
      <c r="AE22" s="187"/>
      <c r="AF22" s="187"/>
      <c r="AG22" s="187"/>
      <c r="AH22" s="187"/>
      <c r="AI22" s="187"/>
    </row>
    <row r="23">
      <c r="A23" s="188">
        <f t="shared" si="3"/>
        <v>22</v>
      </c>
      <c r="B23" s="189">
        <v>44630.0</v>
      </c>
      <c r="C23" s="187"/>
      <c r="D23" s="187"/>
      <c r="E23" s="187"/>
      <c r="F23" s="199" t="s">
        <v>2829</v>
      </c>
      <c r="G23" s="188">
        <v>6.005496663E9</v>
      </c>
      <c r="H23" s="187"/>
      <c r="I23" s="190" t="s">
        <v>2830</v>
      </c>
      <c r="J23" s="192"/>
      <c r="K23" s="192"/>
      <c r="L23" s="190" t="s">
        <v>2459</v>
      </c>
      <c r="M23" s="190" t="s">
        <v>2831</v>
      </c>
      <c r="N23" s="187"/>
      <c r="O23" s="187"/>
      <c r="P23" s="187"/>
      <c r="Q23" s="187"/>
      <c r="R23" s="187"/>
      <c r="S23" s="187"/>
      <c r="T23" s="187"/>
      <c r="U23" s="187"/>
      <c r="V23" s="187"/>
      <c r="W23" s="187"/>
      <c r="X23" s="187"/>
      <c r="Y23" s="187"/>
      <c r="Z23" s="187"/>
      <c r="AA23" s="187"/>
      <c r="AB23" s="187"/>
      <c r="AC23" s="187"/>
      <c r="AD23" s="187"/>
      <c r="AE23" s="187"/>
      <c r="AF23" s="187"/>
      <c r="AG23" s="187"/>
      <c r="AH23" s="187"/>
      <c r="AI23" s="187"/>
    </row>
    <row r="24">
      <c r="A24" s="188">
        <f t="shared" si="3"/>
        <v>23</v>
      </c>
      <c r="B24" s="189">
        <v>44630.0</v>
      </c>
      <c r="C24" s="187"/>
      <c r="D24" s="187"/>
      <c r="E24" s="188"/>
      <c r="F24" s="188" t="s">
        <v>2832</v>
      </c>
      <c r="G24" s="188">
        <v>9.997319911E9</v>
      </c>
      <c r="H24" s="187"/>
      <c r="I24" s="190" t="s">
        <v>2833</v>
      </c>
      <c r="J24" s="192"/>
      <c r="K24" s="192"/>
      <c r="L24" s="192"/>
      <c r="M24" s="192"/>
      <c r="N24" s="187"/>
      <c r="O24" s="187"/>
      <c r="P24" s="187"/>
      <c r="Q24" s="187"/>
      <c r="R24" s="187"/>
      <c r="S24" s="187"/>
      <c r="T24" s="187"/>
      <c r="U24" s="187"/>
      <c r="V24" s="187"/>
      <c r="W24" s="187"/>
      <c r="X24" s="187"/>
      <c r="Y24" s="187"/>
      <c r="Z24" s="187"/>
      <c r="AA24" s="187"/>
      <c r="AB24" s="187"/>
      <c r="AC24" s="187"/>
      <c r="AD24" s="187"/>
      <c r="AE24" s="187"/>
      <c r="AF24" s="187"/>
      <c r="AG24" s="187"/>
      <c r="AH24" s="187"/>
      <c r="AI24" s="187"/>
    </row>
    <row r="25">
      <c r="A25" s="188">
        <f t="shared" si="3"/>
        <v>24</v>
      </c>
      <c r="B25" s="189">
        <v>44630.0</v>
      </c>
      <c r="C25" s="187"/>
      <c r="D25" s="187"/>
      <c r="E25" s="188"/>
      <c r="F25" s="188" t="s">
        <v>2834</v>
      </c>
      <c r="G25" s="188">
        <v>8.006009599E9</v>
      </c>
      <c r="H25" s="187"/>
      <c r="I25" s="190" t="s">
        <v>2830</v>
      </c>
      <c r="J25" s="192"/>
      <c r="K25" s="192"/>
      <c r="L25" s="192"/>
      <c r="M25" s="192" t="s">
        <v>2835</v>
      </c>
      <c r="N25" s="187"/>
      <c r="O25" s="187"/>
      <c r="P25" s="187"/>
      <c r="Q25" s="187"/>
      <c r="R25" s="187"/>
      <c r="S25" s="187"/>
      <c r="T25" s="187"/>
      <c r="U25" s="187"/>
      <c r="V25" s="187"/>
      <c r="W25" s="187"/>
      <c r="X25" s="187"/>
      <c r="Y25" s="187"/>
      <c r="Z25" s="187"/>
      <c r="AA25" s="187"/>
      <c r="AB25" s="187"/>
      <c r="AC25" s="187"/>
      <c r="AD25" s="187"/>
      <c r="AE25" s="187"/>
      <c r="AF25" s="187"/>
      <c r="AG25" s="187"/>
      <c r="AH25" s="187"/>
      <c r="AI25" s="187"/>
    </row>
    <row r="26">
      <c r="A26" s="188">
        <f t="shared" si="3"/>
        <v>25</v>
      </c>
      <c r="B26" s="189">
        <v>44630.0</v>
      </c>
      <c r="C26" s="187"/>
      <c r="D26" s="187"/>
      <c r="E26" s="187"/>
      <c r="F26" s="188" t="s">
        <v>2836</v>
      </c>
      <c r="G26" s="188">
        <v>9.775070692E9</v>
      </c>
      <c r="H26" s="187"/>
      <c r="I26" s="190" t="s">
        <v>2837</v>
      </c>
      <c r="J26" s="192"/>
      <c r="K26" s="192"/>
      <c r="L26" s="192"/>
      <c r="M26" s="192"/>
      <c r="N26" s="187"/>
      <c r="O26" s="187"/>
      <c r="P26" s="187"/>
      <c r="Q26" s="187"/>
      <c r="R26" s="187"/>
      <c r="S26" s="187"/>
      <c r="T26" s="187"/>
      <c r="U26" s="187"/>
      <c r="V26" s="187"/>
      <c r="W26" s="187"/>
      <c r="X26" s="187"/>
      <c r="Y26" s="187"/>
      <c r="Z26" s="187"/>
      <c r="AA26" s="187"/>
      <c r="AB26" s="187"/>
      <c r="AC26" s="187"/>
      <c r="AD26" s="187"/>
      <c r="AE26" s="187"/>
      <c r="AF26" s="187"/>
      <c r="AG26" s="187"/>
      <c r="AH26" s="187"/>
      <c r="AI26" s="187"/>
    </row>
    <row r="27">
      <c r="A27" s="188">
        <f t="shared" si="3"/>
        <v>26</v>
      </c>
      <c r="B27" s="189">
        <v>44630.0</v>
      </c>
      <c r="C27" s="187"/>
      <c r="D27" s="187"/>
      <c r="E27" s="187"/>
      <c r="F27" s="188" t="s">
        <v>2838</v>
      </c>
      <c r="G27" s="199">
        <v>8.275480481E9</v>
      </c>
      <c r="H27" s="188" t="s">
        <v>2839</v>
      </c>
      <c r="I27" s="188" t="s">
        <v>2840</v>
      </c>
      <c r="J27" s="187"/>
      <c r="K27" s="187"/>
      <c r="L27" s="187"/>
      <c r="M27" s="190" t="s">
        <v>2735</v>
      </c>
      <c r="N27" s="187"/>
      <c r="O27" s="187"/>
      <c r="P27" s="187"/>
      <c r="Q27" s="187"/>
      <c r="R27" s="187"/>
      <c r="S27" s="187"/>
      <c r="T27" s="187"/>
      <c r="U27" s="187"/>
      <c r="V27" s="187"/>
      <c r="W27" s="187"/>
      <c r="X27" s="187"/>
      <c r="Y27" s="187"/>
      <c r="Z27" s="187"/>
      <c r="AA27" s="187"/>
      <c r="AB27" s="187"/>
      <c r="AC27" s="187"/>
      <c r="AD27" s="187"/>
      <c r="AE27" s="187"/>
      <c r="AF27" s="187"/>
      <c r="AG27" s="187"/>
      <c r="AH27" s="187"/>
      <c r="AI27" s="187"/>
    </row>
    <row r="28">
      <c r="A28" s="188">
        <f t="shared" si="3"/>
        <v>27</v>
      </c>
      <c r="B28" s="189">
        <v>44630.0</v>
      </c>
      <c r="C28" s="188" t="s">
        <v>2841</v>
      </c>
      <c r="D28" s="188" t="s">
        <v>2842</v>
      </c>
      <c r="E28" s="188">
        <v>695011.0</v>
      </c>
      <c r="F28" s="188" t="s">
        <v>2843</v>
      </c>
      <c r="G28" s="188">
        <v>9.961339952E9</v>
      </c>
      <c r="H28" s="187"/>
      <c r="I28" s="188" t="s">
        <v>2844</v>
      </c>
      <c r="J28" s="188" t="s">
        <v>2845</v>
      </c>
      <c r="K28" s="187"/>
      <c r="L28" s="187"/>
      <c r="M28" s="192"/>
      <c r="N28" s="187"/>
      <c r="O28" s="187"/>
      <c r="P28" s="187"/>
      <c r="Q28" s="187"/>
      <c r="R28" s="187"/>
      <c r="S28" s="187"/>
      <c r="T28" s="187"/>
      <c r="U28" s="187"/>
      <c r="V28" s="187"/>
      <c r="W28" s="187"/>
      <c r="X28" s="187"/>
      <c r="Y28" s="187"/>
      <c r="Z28" s="187"/>
      <c r="AA28" s="187"/>
      <c r="AB28" s="187"/>
      <c r="AC28" s="187"/>
      <c r="AD28" s="187"/>
      <c r="AE28" s="187"/>
      <c r="AF28" s="187"/>
      <c r="AG28" s="187"/>
      <c r="AH28" s="187"/>
      <c r="AI28" s="187"/>
    </row>
    <row r="29">
      <c r="A29" s="188">
        <f t="shared" si="3"/>
        <v>28</v>
      </c>
      <c r="B29" s="189">
        <v>44630.0</v>
      </c>
      <c r="C29" s="187"/>
      <c r="D29" s="187"/>
      <c r="E29" s="187"/>
      <c r="F29" s="188" t="s">
        <v>2846</v>
      </c>
      <c r="G29" s="188">
        <v>9.795639336E9</v>
      </c>
      <c r="H29" s="187"/>
      <c r="I29" s="188" t="s">
        <v>2847</v>
      </c>
      <c r="J29" s="187"/>
      <c r="K29" s="187"/>
      <c r="L29" s="187"/>
      <c r="M29" s="190"/>
      <c r="N29" s="187"/>
      <c r="O29" s="187"/>
      <c r="P29" s="187"/>
      <c r="Q29" s="187"/>
      <c r="R29" s="187"/>
      <c r="S29" s="187"/>
      <c r="T29" s="187"/>
      <c r="U29" s="187"/>
      <c r="V29" s="187"/>
      <c r="W29" s="187"/>
      <c r="X29" s="187"/>
      <c r="Y29" s="187"/>
      <c r="Z29" s="187"/>
      <c r="AA29" s="187"/>
      <c r="AB29" s="187"/>
      <c r="AC29" s="187"/>
      <c r="AD29" s="187"/>
      <c r="AE29" s="187"/>
      <c r="AF29" s="187"/>
      <c r="AG29" s="187"/>
      <c r="AH29" s="187"/>
      <c r="AI29" s="187"/>
    </row>
    <row r="30">
      <c r="A30" s="188">
        <f t="shared" si="3"/>
        <v>29</v>
      </c>
      <c r="B30" s="189">
        <v>44630.0</v>
      </c>
      <c r="C30" s="188"/>
      <c r="D30" s="188"/>
      <c r="E30" s="188"/>
      <c r="F30" s="188" t="s">
        <v>2848</v>
      </c>
      <c r="G30" s="188">
        <v>8.974503457E9</v>
      </c>
      <c r="H30" s="187"/>
      <c r="I30" s="188" t="s">
        <v>2849</v>
      </c>
      <c r="J30" s="188" t="s">
        <v>2850</v>
      </c>
      <c r="K30" s="187"/>
      <c r="L30" s="187"/>
      <c r="M30" s="192"/>
      <c r="N30" s="187"/>
      <c r="O30" s="187"/>
      <c r="P30" s="187"/>
      <c r="Q30" s="187"/>
      <c r="R30" s="187"/>
      <c r="S30" s="187"/>
      <c r="T30" s="187"/>
      <c r="U30" s="187"/>
      <c r="V30" s="187"/>
      <c r="W30" s="187"/>
      <c r="X30" s="187"/>
      <c r="Y30" s="187"/>
      <c r="Z30" s="187"/>
      <c r="AA30" s="187"/>
      <c r="AB30" s="187"/>
      <c r="AC30" s="187"/>
      <c r="AD30" s="187"/>
      <c r="AE30" s="187"/>
      <c r="AF30" s="187"/>
      <c r="AG30" s="187"/>
      <c r="AH30" s="187"/>
      <c r="AI30" s="187"/>
    </row>
    <row r="31">
      <c r="A31" s="188">
        <f t="shared" si="3"/>
        <v>30</v>
      </c>
      <c r="B31" s="189">
        <v>44630.0</v>
      </c>
      <c r="C31" s="187"/>
      <c r="D31" s="187"/>
      <c r="E31" s="187"/>
      <c r="F31" s="188" t="s">
        <v>2851</v>
      </c>
      <c r="G31" s="188">
        <v>8.88139521E8</v>
      </c>
      <c r="H31" s="187"/>
      <c r="I31" s="188" t="s">
        <v>2852</v>
      </c>
      <c r="J31" s="187"/>
      <c r="K31" s="187"/>
      <c r="L31" s="187"/>
      <c r="M31" s="190"/>
      <c r="N31" s="187"/>
      <c r="O31" s="187"/>
      <c r="P31" s="187"/>
      <c r="Q31" s="187"/>
      <c r="R31" s="187"/>
      <c r="S31" s="187"/>
      <c r="T31" s="187"/>
      <c r="U31" s="187"/>
      <c r="V31" s="187"/>
      <c r="W31" s="187"/>
      <c r="X31" s="187"/>
      <c r="Y31" s="187"/>
      <c r="Z31" s="187"/>
      <c r="AA31" s="187"/>
      <c r="AB31" s="187"/>
      <c r="AC31" s="187"/>
      <c r="AD31" s="187"/>
      <c r="AE31" s="187"/>
      <c r="AF31" s="187"/>
      <c r="AG31" s="187"/>
      <c r="AH31" s="187"/>
      <c r="AI31" s="187"/>
    </row>
    <row r="32">
      <c r="A32" s="188">
        <f t="shared" si="3"/>
        <v>31</v>
      </c>
      <c r="B32" s="189">
        <v>44630.0</v>
      </c>
      <c r="C32" s="188"/>
      <c r="D32" s="188"/>
      <c r="E32" s="188"/>
      <c r="F32" s="188" t="s">
        <v>2853</v>
      </c>
      <c r="G32" s="188">
        <v>7.889979841E9</v>
      </c>
      <c r="H32" s="187"/>
      <c r="I32" s="188" t="s">
        <v>2854</v>
      </c>
      <c r="J32" s="187"/>
      <c r="K32" s="187"/>
      <c r="L32" s="187"/>
      <c r="M32" s="192"/>
      <c r="N32" s="187"/>
      <c r="O32" s="187"/>
      <c r="P32" s="187"/>
      <c r="Q32" s="187"/>
      <c r="R32" s="187"/>
      <c r="S32" s="187"/>
      <c r="T32" s="187"/>
      <c r="U32" s="187"/>
      <c r="V32" s="187"/>
      <c r="W32" s="187"/>
      <c r="X32" s="187"/>
      <c r="Y32" s="187"/>
      <c r="Z32" s="187"/>
      <c r="AA32" s="187"/>
      <c r="AB32" s="187"/>
      <c r="AC32" s="187"/>
      <c r="AD32" s="187"/>
      <c r="AE32" s="187"/>
      <c r="AF32" s="187"/>
      <c r="AG32" s="187"/>
      <c r="AH32" s="187"/>
      <c r="AI32" s="187"/>
    </row>
    <row r="33">
      <c r="A33" s="188">
        <f t="shared" si="3"/>
        <v>32</v>
      </c>
      <c r="B33" s="189">
        <v>44630.0</v>
      </c>
      <c r="C33" s="187"/>
      <c r="D33" s="187"/>
      <c r="E33" s="187"/>
      <c r="F33" s="188" t="s">
        <v>2855</v>
      </c>
      <c r="G33" s="188" t="s">
        <v>2856</v>
      </c>
      <c r="H33" s="188" t="s">
        <v>2857</v>
      </c>
      <c r="I33" s="188" t="s">
        <v>2858</v>
      </c>
      <c r="J33" s="187"/>
      <c r="K33" s="187"/>
      <c r="L33" s="187"/>
      <c r="M33" s="190" t="s">
        <v>2859</v>
      </c>
      <c r="N33" s="187"/>
      <c r="O33" s="187"/>
      <c r="P33" s="187"/>
      <c r="Q33" s="187"/>
      <c r="R33" s="187"/>
      <c r="S33" s="187"/>
      <c r="T33" s="187"/>
      <c r="U33" s="187"/>
      <c r="V33" s="187"/>
      <c r="W33" s="187"/>
      <c r="X33" s="187"/>
      <c r="Y33" s="187"/>
      <c r="Z33" s="187"/>
      <c r="AA33" s="187"/>
      <c r="AB33" s="187"/>
      <c r="AC33" s="187"/>
      <c r="AD33" s="187"/>
      <c r="AE33" s="187"/>
      <c r="AF33" s="187"/>
      <c r="AG33" s="187"/>
      <c r="AH33" s="187"/>
      <c r="AI33" s="187"/>
    </row>
    <row r="34">
      <c r="A34" s="188">
        <f t="shared" si="3"/>
        <v>33</v>
      </c>
      <c r="B34" s="189">
        <v>44630.0</v>
      </c>
      <c r="C34" s="188"/>
      <c r="D34" s="188"/>
      <c r="E34" s="188"/>
      <c r="F34" s="188" t="s">
        <v>2860</v>
      </c>
      <c r="G34" s="188">
        <v>7.051748554E9</v>
      </c>
      <c r="H34" s="187"/>
      <c r="I34" s="188" t="s">
        <v>2861</v>
      </c>
      <c r="J34" s="187"/>
      <c r="K34" s="187"/>
      <c r="L34" s="187"/>
      <c r="M34" s="192"/>
      <c r="N34" s="187"/>
      <c r="O34" s="187"/>
      <c r="P34" s="187"/>
      <c r="Q34" s="187"/>
      <c r="R34" s="187"/>
      <c r="S34" s="187"/>
      <c r="T34" s="187"/>
      <c r="U34" s="187"/>
      <c r="V34" s="187"/>
      <c r="W34" s="187"/>
      <c r="X34" s="187"/>
      <c r="Y34" s="187"/>
      <c r="Z34" s="187"/>
      <c r="AA34" s="187"/>
      <c r="AB34" s="187"/>
      <c r="AC34" s="187"/>
      <c r="AD34" s="187"/>
      <c r="AE34" s="187"/>
      <c r="AF34" s="187"/>
      <c r="AG34" s="187"/>
      <c r="AH34" s="187"/>
      <c r="AI34" s="187"/>
    </row>
    <row r="35">
      <c r="A35" s="188">
        <f t="shared" si="3"/>
        <v>34</v>
      </c>
      <c r="B35" s="189">
        <v>44630.0</v>
      </c>
      <c r="C35" s="187"/>
      <c r="D35" s="187"/>
      <c r="E35" s="187"/>
      <c r="F35" s="188" t="s">
        <v>2862</v>
      </c>
      <c r="G35" s="188">
        <v>8.859515194E9</v>
      </c>
      <c r="H35" s="187"/>
      <c r="I35" s="188" t="s">
        <v>2863</v>
      </c>
      <c r="J35" s="187"/>
      <c r="K35" s="187"/>
      <c r="L35" s="187"/>
      <c r="M35" s="190" t="s">
        <v>2864</v>
      </c>
      <c r="N35" s="187"/>
      <c r="O35" s="187"/>
      <c r="P35" s="187"/>
      <c r="Q35" s="187"/>
      <c r="R35" s="187"/>
      <c r="S35" s="187"/>
      <c r="T35" s="187"/>
      <c r="U35" s="187"/>
      <c r="V35" s="187"/>
      <c r="W35" s="187"/>
      <c r="X35" s="187"/>
      <c r="Y35" s="187"/>
      <c r="Z35" s="187"/>
      <c r="AA35" s="187"/>
      <c r="AB35" s="187"/>
      <c r="AC35" s="187"/>
      <c r="AD35" s="187"/>
      <c r="AE35" s="187"/>
      <c r="AF35" s="187"/>
      <c r="AG35" s="187"/>
      <c r="AH35" s="187"/>
      <c r="AI35" s="187"/>
    </row>
    <row r="36">
      <c r="A36" s="188">
        <f t="shared" si="3"/>
        <v>35</v>
      </c>
      <c r="B36" s="189">
        <v>44630.0</v>
      </c>
      <c r="C36" s="188"/>
      <c r="D36" s="188"/>
      <c r="E36" s="188"/>
      <c r="F36" s="188" t="s">
        <v>2865</v>
      </c>
      <c r="G36" s="188">
        <v>9.450086024E9</v>
      </c>
      <c r="H36" s="188"/>
      <c r="I36" s="188" t="s">
        <v>2866</v>
      </c>
      <c r="J36" s="187"/>
      <c r="K36" s="187"/>
      <c r="L36" s="187"/>
      <c r="M36" s="190" t="s">
        <v>2867</v>
      </c>
      <c r="N36" s="187"/>
      <c r="O36" s="188"/>
      <c r="P36" s="187"/>
      <c r="Q36" s="187"/>
      <c r="R36" s="187"/>
      <c r="S36" s="187"/>
      <c r="T36" s="187"/>
      <c r="U36" s="187"/>
      <c r="V36" s="187"/>
      <c r="W36" s="187"/>
      <c r="X36" s="187"/>
      <c r="Y36" s="187"/>
      <c r="Z36" s="187"/>
      <c r="AA36" s="187"/>
      <c r="AB36" s="187"/>
      <c r="AC36" s="187"/>
      <c r="AD36" s="187"/>
      <c r="AE36" s="187"/>
      <c r="AF36" s="187"/>
      <c r="AG36" s="187"/>
      <c r="AH36" s="187"/>
      <c r="AI36" s="187"/>
    </row>
    <row r="37">
      <c r="A37" s="188">
        <f t="shared" si="3"/>
        <v>36</v>
      </c>
      <c r="B37" s="189">
        <v>44630.0</v>
      </c>
      <c r="C37" s="187"/>
      <c r="D37" s="187"/>
      <c r="E37" s="187"/>
      <c r="F37" s="188" t="s">
        <v>2868</v>
      </c>
      <c r="G37" s="188">
        <v>7.987088647E9</v>
      </c>
      <c r="H37" s="187"/>
      <c r="I37" s="188" t="s">
        <v>2869</v>
      </c>
      <c r="J37" s="187"/>
      <c r="K37" s="187"/>
      <c r="L37" s="187"/>
      <c r="M37" s="192"/>
      <c r="N37" s="187"/>
      <c r="O37" s="187"/>
      <c r="P37" s="187"/>
      <c r="Q37" s="187"/>
      <c r="R37" s="187"/>
      <c r="S37" s="187"/>
      <c r="T37" s="187"/>
      <c r="U37" s="187"/>
      <c r="V37" s="187"/>
      <c r="W37" s="187"/>
      <c r="X37" s="187"/>
      <c r="Y37" s="187"/>
      <c r="Z37" s="187"/>
      <c r="AA37" s="187"/>
      <c r="AB37" s="187"/>
      <c r="AC37" s="187"/>
      <c r="AD37" s="187"/>
      <c r="AE37" s="187"/>
      <c r="AF37" s="187"/>
      <c r="AG37" s="187"/>
      <c r="AH37" s="187"/>
      <c r="AI37" s="187"/>
    </row>
    <row r="38">
      <c r="A38" s="188">
        <f t="shared" si="3"/>
        <v>37</v>
      </c>
      <c r="B38" s="189">
        <v>44630.0</v>
      </c>
      <c r="C38" s="188"/>
      <c r="D38" s="188"/>
      <c r="E38" s="188"/>
      <c r="F38" s="188" t="s">
        <v>2870</v>
      </c>
      <c r="G38" s="199">
        <v>9.161232323E9</v>
      </c>
      <c r="H38" s="187"/>
      <c r="I38" s="188" t="s">
        <v>2871</v>
      </c>
      <c r="J38" s="187"/>
      <c r="K38" s="187"/>
      <c r="L38" s="187"/>
      <c r="M38" s="190"/>
      <c r="N38" s="187"/>
      <c r="O38" s="187"/>
      <c r="P38" s="187"/>
      <c r="Q38" s="187"/>
      <c r="R38" s="187"/>
      <c r="S38" s="187"/>
      <c r="T38" s="187"/>
      <c r="U38" s="187"/>
      <c r="V38" s="187"/>
      <c r="W38" s="187"/>
      <c r="X38" s="187"/>
      <c r="Y38" s="187"/>
      <c r="Z38" s="187"/>
      <c r="AA38" s="187"/>
      <c r="AB38" s="187"/>
      <c r="AC38" s="187"/>
      <c r="AD38" s="187"/>
      <c r="AE38" s="187"/>
      <c r="AF38" s="187"/>
      <c r="AG38" s="187"/>
      <c r="AH38" s="187"/>
      <c r="AI38" s="187"/>
    </row>
    <row r="39">
      <c r="A39" s="188">
        <f t="shared" si="3"/>
        <v>38</v>
      </c>
      <c r="B39" s="189">
        <v>44630.0</v>
      </c>
      <c r="C39" s="187"/>
      <c r="D39" s="187"/>
      <c r="E39" s="187"/>
      <c r="F39" s="188" t="s">
        <v>2872</v>
      </c>
      <c r="G39" s="188">
        <v>9.931862385E9</v>
      </c>
      <c r="H39" s="187"/>
      <c r="I39" s="188" t="s">
        <v>2873</v>
      </c>
      <c r="J39" s="187"/>
      <c r="K39" s="187"/>
      <c r="L39" s="187"/>
      <c r="M39" s="190"/>
      <c r="N39" s="187"/>
      <c r="O39" s="187"/>
      <c r="P39" s="187"/>
      <c r="Q39" s="187"/>
      <c r="R39" s="187"/>
      <c r="S39" s="187"/>
      <c r="T39" s="187"/>
      <c r="U39" s="187"/>
      <c r="V39" s="187"/>
      <c r="W39" s="187"/>
      <c r="X39" s="187"/>
      <c r="Y39" s="187"/>
      <c r="Z39" s="187"/>
      <c r="AA39" s="187"/>
      <c r="AB39" s="187"/>
      <c r="AC39" s="187"/>
      <c r="AD39" s="187"/>
      <c r="AE39" s="187"/>
      <c r="AF39" s="187"/>
      <c r="AG39" s="187"/>
      <c r="AH39" s="187"/>
      <c r="AI39" s="187"/>
    </row>
    <row r="40">
      <c r="A40" s="194"/>
      <c r="B40" s="194"/>
      <c r="C40" s="194"/>
      <c r="D40" s="194"/>
      <c r="E40" s="194"/>
      <c r="F40" s="194"/>
      <c r="G40" s="194"/>
      <c r="H40" s="194"/>
      <c r="I40" s="195"/>
      <c r="J40" s="194"/>
      <c r="K40" s="194"/>
      <c r="L40" s="194"/>
      <c r="M40" s="194"/>
      <c r="N40" s="194"/>
      <c r="O40" s="194"/>
      <c r="P40" s="194"/>
      <c r="Q40" s="194"/>
      <c r="R40" s="194"/>
      <c r="S40" s="194"/>
      <c r="T40" s="194"/>
      <c r="U40" s="194"/>
      <c r="V40" s="194"/>
      <c r="W40" s="194"/>
      <c r="X40" s="194"/>
      <c r="Y40" s="194"/>
      <c r="Z40" s="194"/>
      <c r="AA40" s="194"/>
      <c r="AB40" s="194"/>
      <c r="AC40" s="194"/>
      <c r="AD40" s="194"/>
      <c r="AE40" s="194"/>
      <c r="AF40" s="194"/>
      <c r="AG40" s="194"/>
      <c r="AH40" s="194"/>
      <c r="AI40" s="194"/>
    </row>
    <row r="41">
      <c r="A41" s="188">
        <f>1+'Followups '!A3</f>
        <v>40</v>
      </c>
      <c r="B41" s="189">
        <v>44630.0</v>
      </c>
      <c r="C41" s="188"/>
      <c r="D41" s="188"/>
      <c r="E41" s="188"/>
      <c r="F41" s="188" t="s">
        <v>2874</v>
      </c>
      <c r="G41" s="188">
        <v>9.89495321E9</v>
      </c>
      <c r="H41" s="188"/>
      <c r="I41" s="188" t="s">
        <v>2875</v>
      </c>
      <c r="J41" s="187"/>
      <c r="K41" s="187"/>
      <c r="L41" s="187"/>
      <c r="M41" s="192"/>
      <c r="N41" s="187"/>
      <c r="O41" s="187"/>
      <c r="P41" s="187"/>
      <c r="Q41" s="187"/>
      <c r="R41" s="187"/>
      <c r="S41" s="187"/>
      <c r="T41" s="187"/>
      <c r="U41" s="187"/>
      <c r="V41" s="187"/>
      <c r="W41" s="187"/>
      <c r="X41" s="187"/>
      <c r="Y41" s="187"/>
      <c r="Z41" s="187"/>
      <c r="AA41" s="187"/>
      <c r="AB41" s="187"/>
      <c r="AC41" s="187"/>
      <c r="AD41" s="187"/>
      <c r="AE41" s="187"/>
      <c r="AF41" s="187"/>
      <c r="AG41" s="187"/>
      <c r="AH41" s="187"/>
      <c r="AI41" s="187"/>
    </row>
    <row r="42">
      <c r="A42" s="188">
        <f t="shared" ref="A42:A44" si="4">1+A41</f>
        <v>41</v>
      </c>
      <c r="B42" s="189">
        <v>44630.0</v>
      </c>
      <c r="C42" s="187"/>
      <c r="D42" s="187"/>
      <c r="E42" s="187"/>
      <c r="F42" s="188" t="s">
        <v>2876</v>
      </c>
      <c r="G42" s="188" t="s">
        <v>2877</v>
      </c>
      <c r="H42" s="188" t="s">
        <v>2878</v>
      </c>
      <c r="I42" s="197" t="s">
        <v>2879</v>
      </c>
      <c r="J42" s="187"/>
      <c r="K42" s="188"/>
      <c r="L42" s="187"/>
      <c r="M42" s="190" t="s">
        <v>2880</v>
      </c>
      <c r="N42" s="187"/>
      <c r="O42" s="187"/>
      <c r="P42" s="187"/>
      <c r="Q42" s="187"/>
      <c r="R42" s="187"/>
      <c r="S42" s="187"/>
      <c r="T42" s="187"/>
      <c r="U42" s="187"/>
      <c r="V42" s="187"/>
      <c r="W42" s="187"/>
      <c r="X42" s="187"/>
      <c r="Y42" s="187"/>
      <c r="Z42" s="187"/>
      <c r="AA42" s="187"/>
      <c r="AB42" s="187"/>
      <c r="AC42" s="187"/>
      <c r="AD42" s="187"/>
      <c r="AE42" s="187"/>
      <c r="AF42" s="187"/>
      <c r="AG42" s="187"/>
      <c r="AH42" s="187"/>
      <c r="AI42" s="187"/>
    </row>
    <row r="43">
      <c r="A43" s="188">
        <f t="shared" si="4"/>
        <v>42</v>
      </c>
      <c r="B43" s="189">
        <v>44630.0</v>
      </c>
      <c r="C43" s="199" t="s">
        <v>2881</v>
      </c>
      <c r="D43" s="199" t="s">
        <v>2882</v>
      </c>
      <c r="E43" s="199"/>
      <c r="F43" s="188" t="s">
        <v>2883</v>
      </c>
      <c r="G43" s="188">
        <v>9.813075457E9</v>
      </c>
      <c r="H43" s="188" t="s">
        <v>2884</v>
      </c>
      <c r="I43" s="193" t="s">
        <v>2885</v>
      </c>
      <c r="J43" s="187"/>
      <c r="K43" s="187"/>
      <c r="L43" s="187"/>
      <c r="M43" s="192"/>
      <c r="N43" s="187"/>
      <c r="O43" s="187"/>
      <c r="P43" s="187"/>
      <c r="Q43" s="187"/>
      <c r="R43" s="187"/>
      <c r="S43" s="187"/>
      <c r="T43" s="187"/>
      <c r="U43" s="187"/>
      <c r="V43" s="187"/>
      <c r="W43" s="187"/>
      <c r="X43" s="187"/>
      <c r="Y43" s="187"/>
      <c r="Z43" s="187"/>
      <c r="AA43" s="187"/>
      <c r="AB43" s="187"/>
      <c r="AC43" s="187"/>
      <c r="AD43" s="187"/>
      <c r="AE43" s="187"/>
      <c r="AF43" s="187"/>
      <c r="AG43" s="187"/>
      <c r="AH43" s="187"/>
      <c r="AI43" s="187"/>
    </row>
    <row r="44" ht="57.0" customHeight="1">
      <c r="A44" s="188">
        <f t="shared" si="4"/>
        <v>43</v>
      </c>
      <c r="B44" s="189">
        <v>44630.0</v>
      </c>
      <c r="C44" s="187"/>
      <c r="D44" s="187"/>
      <c r="E44" s="187"/>
      <c r="F44" s="188" t="s">
        <v>2886</v>
      </c>
      <c r="G44" s="188">
        <v>8.295241333E9</v>
      </c>
      <c r="H44" s="187"/>
      <c r="I44" s="188" t="s">
        <v>2887</v>
      </c>
      <c r="J44" s="187"/>
      <c r="K44" s="187"/>
      <c r="L44" s="187"/>
      <c r="M44" s="192"/>
      <c r="N44" s="187"/>
      <c r="O44" s="187"/>
      <c r="P44" s="187"/>
      <c r="Q44" s="187"/>
      <c r="R44" s="187"/>
      <c r="S44" s="187"/>
      <c r="T44" s="187"/>
      <c r="U44" s="187"/>
      <c r="V44" s="187"/>
      <c r="W44" s="187"/>
      <c r="X44" s="187"/>
      <c r="Y44" s="187"/>
      <c r="Z44" s="187"/>
      <c r="AA44" s="187"/>
      <c r="AB44" s="187"/>
      <c r="AC44" s="187"/>
      <c r="AD44" s="187"/>
      <c r="AE44" s="187"/>
      <c r="AF44" s="187"/>
      <c r="AG44" s="187"/>
      <c r="AH44" s="187"/>
      <c r="AI44" s="187"/>
    </row>
    <row r="45">
      <c r="A45" s="194"/>
      <c r="B45" s="194"/>
      <c r="C45" s="194"/>
      <c r="D45" s="194"/>
      <c r="E45" s="194"/>
      <c r="F45" s="194"/>
      <c r="G45" s="194"/>
      <c r="H45" s="194"/>
      <c r="I45" s="195"/>
      <c r="J45" s="194"/>
      <c r="K45" s="194"/>
      <c r="L45" s="194"/>
      <c r="M45" s="194"/>
      <c r="N45" s="194"/>
      <c r="O45" s="194"/>
      <c r="P45" s="194"/>
      <c r="Q45" s="194"/>
      <c r="R45" s="194"/>
      <c r="S45" s="194"/>
      <c r="T45" s="194"/>
      <c r="U45" s="194"/>
      <c r="V45" s="194"/>
      <c r="W45" s="194"/>
      <c r="X45" s="194"/>
      <c r="Y45" s="194"/>
      <c r="Z45" s="194"/>
      <c r="AA45" s="194"/>
      <c r="AB45" s="194"/>
      <c r="AC45" s="194"/>
      <c r="AD45" s="194"/>
      <c r="AE45" s="194"/>
      <c r="AF45" s="194"/>
      <c r="AG45" s="194"/>
      <c r="AH45" s="194"/>
      <c r="AI45" s="194"/>
    </row>
    <row r="46">
      <c r="A46" s="188">
        <f>1+'Followups '!A4</f>
        <v>45</v>
      </c>
      <c r="B46" s="189">
        <v>44630.0</v>
      </c>
      <c r="C46" s="187"/>
      <c r="D46" s="188" t="s">
        <v>2888</v>
      </c>
      <c r="E46" s="187"/>
      <c r="F46" s="188" t="s">
        <v>2889</v>
      </c>
      <c r="G46" s="188">
        <v>9.906568931E9</v>
      </c>
      <c r="H46" s="187"/>
      <c r="I46" s="200" t="s">
        <v>2890</v>
      </c>
      <c r="J46" s="187"/>
      <c r="K46" s="187"/>
      <c r="L46" s="192"/>
      <c r="M46" s="192"/>
      <c r="N46" s="187"/>
      <c r="O46" s="187"/>
      <c r="P46" s="187"/>
      <c r="Q46" s="187"/>
      <c r="R46" s="187"/>
      <c r="S46" s="187"/>
      <c r="T46" s="187"/>
      <c r="U46" s="187"/>
      <c r="V46" s="187"/>
      <c r="W46" s="187"/>
      <c r="X46" s="187"/>
      <c r="Y46" s="187"/>
      <c r="Z46" s="187"/>
      <c r="AA46" s="187"/>
      <c r="AB46" s="187"/>
      <c r="AC46" s="187"/>
      <c r="AD46" s="187"/>
      <c r="AE46" s="187"/>
      <c r="AF46" s="187"/>
      <c r="AG46" s="187"/>
      <c r="AH46" s="187"/>
      <c r="AI46" s="187"/>
    </row>
    <row r="47">
      <c r="A47" s="188">
        <f t="shared" ref="A47:A57" si="5">1+A46</f>
        <v>46</v>
      </c>
      <c r="B47" s="201">
        <v>44630.0</v>
      </c>
      <c r="C47" s="192"/>
      <c r="D47" s="190" t="s">
        <v>2891</v>
      </c>
      <c r="E47" s="192"/>
      <c r="F47" s="190" t="s">
        <v>2892</v>
      </c>
      <c r="G47" s="190">
        <v>9.421767554E9</v>
      </c>
      <c r="H47" s="192"/>
      <c r="I47" s="190" t="s">
        <v>2893</v>
      </c>
      <c r="J47" s="190" t="s">
        <v>2894</v>
      </c>
      <c r="K47" s="192"/>
      <c r="L47" s="192"/>
      <c r="M47" s="192"/>
      <c r="N47" s="187"/>
      <c r="O47" s="187"/>
      <c r="P47" s="187"/>
      <c r="Q47" s="187"/>
      <c r="R47" s="187"/>
      <c r="S47" s="187"/>
      <c r="T47" s="187"/>
      <c r="U47" s="187"/>
      <c r="V47" s="187"/>
      <c r="W47" s="187"/>
      <c r="X47" s="187"/>
      <c r="Y47" s="187"/>
      <c r="Z47" s="187"/>
      <c r="AA47" s="187"/>
      <c r="AB47" s="187"/>
      <c r="AC47" s="187"/>
      <c r="AD47" s="187"/>
      <c r="AE47" s="187"/>
      <c r="AF47" s="187"/>
      <c r="AG47" s="187"/>
      <c r="AH47" s="187"/>
      <c r="AI47" s="187"/>
    </row>
    <row r="48">
      <c r="A48" s="188">
        <f t="shared" si="5"/>
        <v>47</v>
      </c>
      <c r="B48" s="189">
        <v>44630.0</v>
      </c>
      <c r="C48" s="188"/>
      <c r="D48" s="188"/>
      <c r="E48" s="188"/>
      <c r="F48" s="188" t="s">
        <v>2895</v>
      </c>
      <c r="G48" s="188">
        <v>9.894148481E9</v>
      </c>
      <c r="H48" s="187"/>
      <c r="I48" s="188" t="s">
        <v>2896</v>
      </c>
      <c r="J48" s="187"/>
      <c r="K48" s="187"/>
      <c r="L48" s="192"/>
      <c r="M48" s="190" t="s">
        <v>2897</v>
      </c>
      <c r="N48" s="187"/>
      <c r="O48" s="187"/>
      <c r="P48" s="187"/>
      <c r="Q48" s="187"/>
      <c r="R48" s="187"/>
      <c r="S48" s="187"/>
      <c r="T48" s="187"/>
      <c r="U48" s="187"/>
      <c r="V48" s="187"/>
      <c r="W48" s="187"/>
      <c r="X48" s="187"/>
      <c r="Y48" s="187"/>
      <c r="Z48" s="187"/>
      <c r="AA48" s="187"/>
      <c r="AB48" s="187"/>
      <c r="AC48" s="187"/>
      <c r="AD48" s="187"/>
      <c r="AE48" s="187"/>
      <c r="AF48" s="187"/>
      <c r="AG48" s="187"/>
      <c r="AH48" s="187"/>
      <c r="AI48" s="187"/>
    </row>
    <row r="49">
      <c r="A49" s="188">
        <f t="shared" si="5"/>
        <v>48</v>
      </c>
      <c r="B49" s="189">
        <v>44630.0</v>
      </c>
      <c r="C49" s="187"/>
      <c r="D49" s="190" t="s">
        <v>2898</v>
      </c>
      <c r="E49" s="192"/>
      <c r="F49" s="202" t="s">
        <v>2899</v>
      </c>
      <c r="G49" s="190">
        <v>6.381047001E9</v>
      </c>
      <c r="H49" s="187"/>
      <c r="I49" s="190" t="s">
        <v>2900</v>
      </c>
      <c r="J49" s="190" t="s">
        <v>2901</v>
      </c>
      <c r="K49" s="192"/>
      <c r="L49" s="190" t="s">
        <v>2902</v>
      </c>
      <c r="M49" s="192"/>
      <c r="N49" s="187"/>
      <c r="O49" s="187"/>
      <c r="P49" s="187"/>
      <c r="Q49" s="187"/>
      <c r="R49" s="187"/>
      <c r="S49" s="187"/>
      <c r="T49" s="187"/>
      <c r="U49" s="187"/>
      <c r="V49" s="187"/>
      <c r="W49" s="187"/>
      <c r="X49" s="187"/>
      <c r="Y49" s="187"/>
      <c r="Z49" s="187"/>
      <c r="AA49" s="187"/>
      <c r="AB49" s="187"/>
      <c r="AC49" s="187"/>
      <c r="AD49" s="187"/>
      <c r="AE49" s="187"/>
      <c r="AF49" s="187"/>
      <c r="AG49" s="187"/>
      <c r="AH49" s="187"/>
      <c r="AI49" s="187"/>
    </row>
    <row r="50">
      <c r="A50" s="188">
        <f t="shared" si="5"/>
        <v>49</v>
      </c>
      <c r="B50" s="189">
        <v>44630.0</v>
      </c>
      <c r="C50" s="188"/>
      <c r="D50" s="190" t="s">
        <v>2903</v>
      </c>
      <c r="E50" s="190"/>
      <c r="F50" s="190" t="s">
        <v>2904</v>
      </c>
      <c r="G50" s="190">
        <v>8.767400609E9</v>
      </c>
      <c r="H50" s="188" t="s">
        <v>2905</v>
      </c>
      <c r="I50" s="188" t="s">
        <v>2906</v>
      </c>
      <c r="J50" s="190" t="s">
        <v>2907</v>
      </c>
      <c r="K50" s="192"/>
      <c r="L50" s="192"/>
      <c r="M50" s="192"/>
      <c r="N50" s="187"/>
      <c r="O50" s="187"/>
      <c r="P50" s="187"/>
      <c r="Q50" s="187"/>
      <c r="R50" s="187"/>
      <c r="S50" s="187"/>
      <c r="T50" s="187"/>
      <c r="U50" s="187"/>
      <c r="V50" s="187"/>
      <c r="W50" s="187"/>
      <c r="X50" s="187"/>
      <c r="Y50" s="187"/>
      <c r="Z50" s="187"/>
      <c r="AA50" s="187"/>
      <c r="AB50" s="187"/>
      <c r="AC50" s="187"/>
      <c r="AD50" s="187"/>
      <c r="AE50" s="187"/>
      <c r="AF50" s="187"/>
      <c r="AG50" s="187"/>
      <c r="AH50" s="187"/>
      <c r="AI50" s="187"/>
    </row>
    <row r="51">
      <c r="A51" s="188">
        <f t="shared" si="5"/>
        <v>50</v>
      </c>
      <c r="B51" s="189">
        <v>44630.0</v>
      </c>
      <c r="C51" s="188"/>
      <c r="D51" s="190" t="s">
        <v>2908</v>
      </c>
      <c r="E51" s="190"/>
      <c r="F51" s="190" t="s">
        <v>2909</v>
      </c>
      <c r="G51" s="190">
        <v>7.086062514E9</v>
      </c>
      <c r="H51" s="187"/>
      <c r="I51" s="200" t="s">
        <v>2910</v>
      </c>
      <c r="J51" s="190" t="s">
        <v>2911</v>
      </c>
      <c r="K51" s="192"/>
      <c r="L51" s="192"/>
      <c r="M51" s="192"/>
      <c r="N51" s="187"/>
      <c r="O51" s="187"/>
      <c r="P51" s="187"/>
      <c r="Q51" s="187"/>
      <c r="R51" s="187"/>
      <c r="S51" s="187"/>
      <c r="T51" s="187"/>
      <c r="U51" s="187"/>
      <c r="V51" s="187"/>
      <c r="W51" s="187"/>
      <c r="X51" s="187"/>
      <c r="Y51" s="187"/>
      <c r="Z51" s="187"/>
      <c r="AA51" s="187"/>
      <c r="AB51" s="187"/>
      <c r="AC51" s="187"/>
      <c r="AD51" s="187"/>
      <c r="AE51" s="187"/>
      <c r="AF51" s="187"/>
      <c r="AG51" s="187"/>
      <c r="AH51" s="187"/>
      <c r="AI51" s="187"/>
    </row>
    <row r="52">
      <c r="A52" s="188">
        <f t="shared" si="5"/>
        <v>51</v>
      </c>
      <c r="B52" s="189">
        <v>44630.0</v>
      </c>
      <c r="C52" s="188"/>
      <c r="D52" s="188"/>
      <c r="E52" s="188"/>
      <c r="F52" s="188" t="s">
        <v>2912</v>
      </c>
      <c r="G52" s="188">
        <v>9.989811696E9</v>
      </c>
      <c r="H52" s="187"/>
      <c r="I52" s="188" t="s">
        <v>2913</v>
      </c>
      <c r="J52" s="187"/>
      <c r="K52" s="187"/>
      <c r="L52" s="192"/>
      <c r="M52" s="190"/>
      <c r="N52" s="187"/>
      <c r="O52" s="187"/>
      <c r="P52" s="187"/>
      <c r="Q52" s="187"/>
      <c r="R52" s="187"/>
      <c r="S52" s="187"/>
      <c r="T52" s="187"/>
      <c r="U52" s="187"/>
      <c r="V52" s="187"/>
      <c r="W52" s="187"/>
      <c r="X52" s="187"/>
      <c r="Y52" s="187"/>
      <c r="Z52" s="187"/>
      <c r="AA52" s="187"/>
      <c r="AB52" s="187"/>
      <c r="AC52" s="187"/>
      <c r="AD52" s="187"/>
      <c r="AE52" s="187"/>
      <c r="AF52" s="187"/>
      <c r="AG52" s="187"/>
      <c r="AH52" s="187"/>
      <c r="AI52" s="187"/>
    </row>
    <row r="53">
      <c r="A53" s="188">
        <f t="shared" si="5"/>
        <v>52</v>
      </c>
      <c r="B53" s="189">
        <v>44630.0</v>
      </c>
      <c r="C53" s="188"/>
      <c r="D53" s="188"/>
      <c r="E53" s="188"/>
      <c r="F53" s="188" t="s">
        <v>2914</v>
      </c>
      <c r="G53" s="188">
        <v>9.596250093E9</v>
      </c>
      <c r="H53" s="188" t="s">
        <v>2915</v>
      </c>
      <c r="I53" s="188" t="s">
        <v>2916</v>
      </c>
      <c r="J53" s="188" t="s">
        <v>2917</v>
      </c>
      <c r="K53" s="187"/>
      <c r="L53" s="192"/>
      <c r="M53" s="192"/>
      <c r="N53" s="187"/>
      <c r="O53" s="187"/>
      <c r="P53" s="187"/>
      <c r="Q53" s="187"/>
      <c r="R53" s="187"/>
      <c r="S53" s="187"/>
      <c r="T53" s="187"/>
      <c r="U53" s="187"/>
      <c r="V53" s="187"/>
      <c r="W53" s="187"/>
      <c r="X53" s="187"/>
      <c r="Y53" s="187"/>
      <c r="Z53" s="187"/>
      <c r="AA53" s="187"/>
      <c r="AB53" s="187"/>
      <c r="AC53" s="187"/>
      <c r="AD53" s="187"/>
      <c r="AE53" s="187"/>
      <c r="AF53" s="187"/>
      <c r="AG53" s="187"/>
      <c r="AH53" s="187"/>
      <c r="AI53" s="187"/>
    </row>
    <row r="54">
      <c r="A54" s="188">
        <f t="shared" si="5"/>
        <v>53</v>
      </c>
      <c r="B54" s="189">
        <v>44630.0</v>
      </c>
      <c r="C54" s="187"/>
      <c r="D54" s="187"/>
      <c r="E54" s="187"/>
      <c r="F54" s="188" t="s">
        <v>2918</v>
      </c>
      <c r="G54" s="188">
        <v>7.323825342E9</v>
      </c>
      <c r="H54" s="188" t="s">
        <v>2919</v>
      </c>
      <c r="I54" s="188" t="s">
        <v>2920</v>
      </c>
      <c r="J54" s="188" t="s">
        <v>2921</v>
      </c>
      <c r="K54" s="187"/>
      <c r="L54" s="192"/>
      <c r="M54" s="192"/>
      <c r="N54" s="187"/>
      <c r="O54" s="187"/>
      <c r="P54" s="187"/>
      <c r="Q54" s="187"/>
      <c r="R54" s="187"/>
      <c r="S54" s="187"/>
      <c r="T54" s="187"/>
      <c r="U54" s="187"/>
      <c r="V54" s="187"/>
      <c r="W54" s="187"/>
      <c r="X54" s="187"/>
      <c r="Y54" s="187"/>
      <c r="Z54" s="187"/>
      <c r="AA54" s="187"/>
      <c r="AB54" s="187"/>
      <c r="AC54" s="187"/>
      <c r="AD54" s="187"/>
      <c r="AE54" s="187"/>
      <c r="AF54" s="187"/>
      <c r="AG54" s="187"/>
      <c r="AH54" s="187"/>
      <c r="AI54" s="187"/>
    </row>
    <row r="55">
      <c r="A55" s="188">
        <f t="shared" si="5"/>
        <v>54</v>
      </c>
      <c r="B55" s="189">
        <v>44630.0</v>
      </c>
      <c r="C55" s="188"/>
      <c r="D55" s="188"/>
      <c r="E55" s="188"/>
      <c r="F55" s="188" t="s">
        <v>2922</v>
      </c>
      <c r="G55" s="188">
        <v>9.775070692E9</v>
      </c>
      <c r="H55" s="188" t="s">
        <v>2923</v>
      </c>
      <c r="I55" s="188" t="s">
        <v>2924</v>
      </c>
      <c r="J55" s="188" t="s">
        <v>2921</v>
      </c>
      <c r="K55" s="187"/>
      <c r="L55" s="192"/>
      <c r="M55" s="192"/>
      <c r="N55" s="187"/>
      <c r="O55" s="187"/>
      <c r="P55" s="187"/>
      <c r="Q55" s="187"/>
      <c r="R55" s="187"/>
      <c r="S55" s="187"/>
      <c r="T55" s="187"/>
      <c r="U55" s="187"/>
      <c r="V55" s="187"/>
      <c r="W55" s="187"/>
      <c r="X55" s="187"/>
      <c r="Y55" s="187"/>
      <c r="Z55" s="187"/>
      <c r="AA55" s="187"/>
      <c r="AB55" s="187"/>
      <c r="AC55" s="187"/>
      <c r="AD55" s="187"/>
      <c r="AE55" s="187"/>
      <c r="AF55" s="187"/>
      <c r="AG55" s="187"/>
      <c r="AH55" s="187"/>
      <c r="AI55" s="187"/>
    </row>
    <row r="56">
      <c r="A56" s="188">
        <f t="shared" si="5"/>
        <v>55</v>
      </c>
      <c r="B56" s="189">
        <v>44630.0</v>
      </c>
      <c r="C56" s="187"/>
      <c r="D56" s="187"/>
      <c r="E56" s="187"/>
      <c r="F56" s="188" t="s">
        <v>2895</v>
      </c>
      <c r="G56" s="188">
        <v>9.894148481E9</v>
      </c>
      <c r="H56" s="188" t="s">
        <v>2925</v>
      </c>
      <c r="I56" s="188" t="s">
        <v>2926</v>
      </c>
      <c r="J56" s="188" t="s">
        <v>2921</v>
      </c>
      <c r="K56" s="187"/>
      <c r="L56" s="192"/>
      <c r="M56" s="192"/>
      <c r="N56" s="187"/>
      <c r="O56" s="187"/>
      <c r="P56" s="187"/>
      <c r="Q56" s="187"/>
      <c r="R56" s="187"/>
      <c r="S56" s="187"/>
      <c r="T56" s="187"/>
      <c r="U56" s="187"/>
      <c r="V56" s="187"/>
      <c r="W56" s="187"/>
      <c r="X56" s="187"/>
      <c r="Y56" s="187"/>
      <c r="Z56" s="187"/>
      <c r="AA56" s="187"/>
      <c r="AB56" s="187"/>
      <c r="AC56" s="187"/>
      <c r="AD56" s="187"/>
      <c r="AE56" s="187"/>
      <c r="AF56" s="187"/>
      <c r="AG56" s="187"/>
      <c r="AH56" s="187"/>
      <c r="AI56" s="187"/>
    </row>
    <row r="57">
      <c r="A57" s="188">
        <f t="shared" si="5"/>
        <v>56</v>
      </c>
      <c r="B57" s="189">
        <v>44630.0</v>
      </c>
      <c r="C57" s="188"/>
      <c r="D57" s="188"/>
      <c r="E57" s="188"/>
      <c r="F57" s="188" t="s">
        <v>2927</v>
      </c>
      <c r="G57" s="188">
        <v>7.005101358E9</v>
      </c>
      <c r="H57" s="188" t="s">
        <v>2928</v>
      </c>
      <c r="I57" s="188" t="s">
        <v>2929</v>
      </c>
      <c r="J57" s="188" t="s">
        <v>2930</v>
      </c>
      <c r="K57" s="187"/>
      <c r="L57" s="192"/>
      <c r="M57" s="192"/>
      <c r="N57" s="187"/>
      <c r="O57" s="187"/>
      <c r="P57" s="187"/>
      <c r="Q57" s="187"/>
      <c r="R57" s="187"/>
      <c r="S57" s="187"/>
      <c r="T57" s="187"/>
      <c r="U57" s="187"/>
      <c r="V57" s="187"/>
      <c r="W57" s="187"/>
      <c r="X57" s="187"/>
      <c r="Y57" s="187"/>
      <c r="Z57" s="187"/>
      <c r="AA57" s="187"/>
      <c r="AB57" s="187"/>
      <c r="AC57" s="187"/>
      <c r="AD57" s="187"/>
      <c r="AE57" s="187"/>
      <c r="AF57" s="187"/>
      <c r="AG57" s="187"/>
      <c r="AH57" s="187"/>
      <c r="AI57" s="187"/>
    </row>
    <row r="58">
      <c r="A58" s="194"/>
      <c r="B58" s="194"/>
      <c r="C58" s="194"/>
      <c r="D58" s="194"/>
      <c r="E58" s="194"/>
      <c r="F58" s="194"/>
      <c r="G58" s="194"/>
      <c r="H58" s="194"/>
      <c r="I58" s="195"/>
      <c r="J58" s="194"/>
      <c r="K58" s="194"/>
      <c r="L58" s="194"/>
      <c r="M58" s="194"/>
      <c r="N58" s="194"/>
      <c r="O58" s="194"/>
      <c r="P58" s="194"/>
      <c r="Q58" s="194"/>
      <c r="R58" s="194"/>
      <c r="S58" s="194"/>
      <c r="T58" s="194"/>
      <c r="U58" s="194"/>
      <c r="V58" s="194"/>
      <c r="W58" s="194"/>
      <c r="X58" s="194"/>
      <c r="Y58" s="194"/>
      <c r="Z58" s="194"/>
      <c r="AA58" s="194"/>
      <c r="AB58" s="194"/>
      <c r="AC58" s="194"/>
      <c r="AD58" s="194"/>
      <c r="AE58" s="194"/>
      <c r="AF58" s="194"/>
      <c r="AG58" s="194"/>
      <c r="AH58" s="194"/>
      <c r="AI58" s="194"/>
    </row>
    <row r="59">
      <c r="A59" s="188">
        <f>1+'Followups '!A5</f>
        <v>58</v>
      </c>
      <c r="B59" s="188"/>
      <c r="C59" s="188" t="s">
        <v>2931</v>
      </c>
      <c r="D59" s="188" t="s">
        <v>2932</v>
      </c>
      <c r="E59" s="188"/>
      <c r="F59" s="188" t="s">
        <v>2933</v>
      </c>
      <c r="G59" s="188">
        <v>8.050532203E9</v>
      </c>
      <c r="H59" s="188" t="s">
        <v>2934</v>
      </c>
      <c r="I59" s="188" t="s">
        <v>2935</v>
      </c>
      <c r="J59" s="187"/>
      <c r="K59" s="187"/>
      <c r="L59" s="192"/>
      <c r="M59" s="192"/>
      <c r="N59" s="187"/>
      <c r="O59" s="187"/>
      <c r="P59" s="187"/>
      <c r="Q59" s="187"/>
      <c r="R59" s="187"/>
      <c r="S59" s="187"/>
      <c r="T59" s="187"/>
      <c r="U59" s="187"/>
      <c r="V59" s="187"/>
      <c r="W59" s="187"/>
      <c r="X59" s="187"/>
      <c r="Y59" s="187"/>
      <c r="Z59" s="187"/>
      <c r="AA59" s="187"/>
      <c r="AB59" s="187"/>
      <c r="AC59" s="187"/>
      <c r="AD59" s="187"/>
      <c r="AE59" s="187"/>
      <c r="AF59" s="187"/>
      <c r="AG59" s="187"/>
      <c r="AH59" s="187"/>
      <c r="AI59" s="187"/>
    </row>
    <row r="60">
      <c r="A60" s="188">
        <f t="shared" ref="A60:A80" si="6">1+A59</f>
        <v>59</v>
      </c>
      <c r="B60" s="187"/>
      <c r="C60" s="187"/>
      <c r="D60" s="187"/>
      <c r="E60" s="187"/>
      <c r="F60" s="188" t="s">
        <v>2936</v>
      </c>
      <c r="G60" s="188">
        <v>9.41211605E9</v>
      </c>
      <c r="H60" s="187"/>
      <c r="I60" s="188" t="s">
        <v>2937</v>
      </c>
      <c r="J60" s="187"/>
      <c r="K60" s="187"/>
      <c r="L60" s="192"/>
      <c r="M60" s="192"/>
      <c r="N60" s="187"/>
      <c r="O60" s="187"/>
      <c r="P60" s="187"/>
      <c r="Q60" s="187"/>
      <c r="R60" s="187"/>
      <c r="S60" s="187"/>
      <c r="T60" s="187"/>
      <c r="U60" s="187"/>
      <c r="V60" s="187"/>
      <c r="W60" s="187"/>
      <c r="X60" s="187"/>
      <c r="Y60" s="187"/>
      <c r="Z60" s="187"/>
      <c r="AA60" s="187"/>
      <c r="AB60" s="187"/>
      <c r="AC60" s="187"/>
      <c r="AD60" s="187"/>
      <c r="AE60" s="187"/>
      <c r="AF60" s="187"/>
      <c r="AG60" s="187"/>
      <c r="AH60" s="187"/>
      <c r="AI60" s="187"/>
    </row>
    <row r="61">
      <c r="A61" s="188">
        <f t="shared" si="6"/>
        <v>60</v>
      </c>
      <c r="B61" s="188"/>
      <c r="C61" s="188"/>
      <c r="D61" s="188"/>
      <c r="E61" s="188"/>
      <c r="F61" s="188" t="s">
        <v>2938</v>
      </c>
      <c r="G61" s="188">
        <v>9.032425489E9</v>
      </c>
      <c r="H61" s="187"/>
      <c r="I61" s="188" t="s">
        <v>2939</v>
      </c>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187"/>
      <c r="AH61" s="187"/>
      <c r="AI61" s="187"/>
    </row>
    <row r="62">
      <c r="A62" s="188">
        <f t="shared" si="6"/>
        <v>61</v>
      </c>
      <c r="B62" s="187"/>
      <c r="C62" s="187"/>
      <c r="D62" s="187"/>
      <c r="E62" s="187"/>
      <c r="F62" s="188" t="s">
        <v>2940</v>
      </c>
      <c r="G62" s="188">
        <v>9.92302261E9</v>
      </c>
      <c r="H62" s="187"/>
      <c r="I62" s="188" t="s">
        <v>2941</v>
      </c>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row>
    <row r="63">
      <c r="A63" s="188">
        <f t="shared" si="6"/>
        <v>62</v>
      </c>
      <c r="B63" s="188"/>
      <c r="C63" s="188"/>
      <c r="D63" s="188" t="s">
        <v>2942</v>
      </c>
      <c r="E63" s="188"/>
      <c r="F63" s="188" t="s">
        <v>2943</v>
      </c>
      <c r="G63" s="188" t="s">
        <v>2944</v>
      </c>
      <c r="H63" s="188" t="s">
        <v>2945</v>
      </c>
      <c r="I63" s="200" t="s">
        <v>2946</v>
      </c>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187"/>
      <c r="AH63" s="187"/>
      <c r="AI63" s="187"/>
    </row>
    <row r="64">
      <c r="A64" s="188">
        <f t="shared" si="6"/>
        <v>63</v>
      </c>
      <c r="B64" s="187"/>
      <c r="C64" s="187"/>
      <c r="D64" s="188" t="s">
        <v>2947</v>
      </c>
      <c r="E64" s="187"/>
      <c r="F64" s="188" t="s">
        <v>2948</v>
      </c>
      <c r="G64" s="188">
        <v>7.005439807E9</v>
      </c>
      <c r="H64" s="188" t="s">
        <v>2949</v>
      </c>
      <c r="I64" s="188" t="s">
        <v>2950</v>
      </c>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row>
    <row r="65">
      <c r="A65" s="188">
        <f t="shared" si="6"/>
        <v>64</v>
      </c>
      <c r="B65" s="188"/>
      <c r="C65" s="188"/>
      <c r="D65" s="188" t="s">
        <v>2942</v>
      </c>
      <c r="E65" s="188"/>
      <c r="F65" s="188" t="s">
        <v>2951</v>
      </c>
      <c r="G65" s="188">
        <v>9.122643601E9</v>
      </c>
      <c r="H65" s="187"/>
      <c r="I65" s="188" t="s">
        <v>2952</v>
      </c>
      <c r="J65" s="187"/>
      <c r="K65" s="187"/>
      <c r="L65" s="187"/>
      <c r="M65" s="187"/>
      <c r="N65" s="187"/>
      <c r="O65" s="187"/>
      <c r="P65" s="187"/>
      <c r="Q65" s="187"/>
      <c r="R65" s="187"/>
      <c r="S65" s="187"/>
      <c r="T65" s="187"/>
      <c r="U65" s="187"/>
      <c r="V65" s="187"/>
      <c r="W65" s="187"/>
      <c r="X65" s="187"/>
      <c r="Y65" s="187"/>
      <c r="Z65" s="187"/>
      <c r="AA65" s="187"/>
      <c r="AB65" s="187"/>
      <c r="AC65" s="187"/>
      <c r="AD65" s="187"/>
      <c r="AE65" s="187"/>
      <c r="AF65" s="187"/>
      <c r="AG65" s="187"/>
      <c r="AH65" s="187"/>
      <c r="AI65" s="187"/>
    </row>
    <row r="66">
      <c r="A66" s="188">
        <f t="shared" si="6"/>
        <v>65</v>
      </c>
      <c r="B66" s="188"/>
      <c r="C66" s="188"/>
      <c r="D66" s="188" t="s">
        <v>2953</v>
      </c>
      <c r="E66" s="188"/>
      <c r="F66" s="188" t="s">
        <v>2954</v>
      </c>
      <c r="G66" s="188">
        <v>7.7600762E9</v>
      </c>
      <c r="H66" s="187"/>
      <c r="I66" s="188" t="s">
        <v>2955</v>
      </c>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187"/>
      <c r="AH66" s="187"/>
      <c r="AI66" s="187"/>
    </row>
    <row r="67">
      <c r="A67" s="188">
        <f t="shared" si="6"/>
        <v>66</v>
      </c>
      <c r="B67" s="187"/>
      <c r="C67" s="187"/>
      <c r="D67" s="187"/>
      <c r="E67" s="187"/>
      <c r="F67" s="188" t="s">
        <v>2956</v>
      </c>
      <c r="G67" s="188">
        <v>8.34052861E9</v>
      </c>
      <c r="H67" s="187"/>
      <c r="I67" s="188" t="s">
        <v>2957</v>
      </c>
      <c r="J67" s="187"/>
      <c r="K67" s="187"/>
      <c r="L67" s="187"/>
      <c r="M67" s="187"/>
      <c r="N67" s="187"/>
      <c r="O67" s="187"/>
      <c r="P67" s="187"/>
      <c r="Q67" s="187"/>
      <c r="R67" s="187"/>
      <c r="S67" s="187"/>
      <c r="T67" s="187"/>
      <c r="U67" s="187"/>
      <c r="V67" s="187"/>
      <c r="W67" s="187"/>
      <c r="X67" s="187"/>
      <c r="Y67" s="187"/>
      <c r="Z67" s="187"/>
      <c r="AA67" s="187"/>
      <c r="AB67" s="187"/>
      <c r="AC67" s="187"/>
      <c r="AD67" s="187"/>
      <c r="AE67" s="187"/>
      <c r="AF67" s="187"/>
      <c r="AG67" s="187"/>
      <c r="AH67" s="187"/>
      <c r="AI67" s="187"/>
    </row>
    <row r="68">
      <c r="A68" s="188">
        <f t="shared" si="6"/>
        <v>67</v>
      </c>
      <c r="B68" s="188"/>
      <c r="C68" s="188" t="s">
        <v>2958</v>
      </c>
      <c r="D68" s="188" t="s">
        <v>2959</v>
      </c>
      <c r="E68" s="188"/>
      <c r="F68" s="188" t="s">
        <v>2960</v>
      </c>
      <c r="G68" s="188">
        <v>9.438204848E9</v>
      </c>
      <c r="H68" s="188" t="s">
        <v>2961</v>
      </c>
      <c r="I68" s="193" t="s">
        <v>2962</v>
      </c>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187"/>
      <c r="AH68" s="187"/>
      <c r="AI68" s="187"/>
    </row>
    <row r="69">
      <c r="A69" s="188">
        <f t="shared" si="6"/>
        <v>68</v>
      </c>
      <c r="B69" s="187"/>
      <c r="C69" s="188" t="s">
        <v>2963</v>
      </c>
      <c r="D69" s="188" t="s">
        <v>2964</v>
      </c>
      <c r="E69" s="188">
        <v>462003.0</v>
      </c>
      <c r="F69" s="188" t="s">
        <v>2965</v>
      </c>
      <c r="G69" s="188">
        <v>9.926999632E9</v>
      </c>
      <c r="H69" s="187"/>
      <c r="I69" s="193" t="s">
        <v>2966</v>
      </c>
      <c r="J69" s="187"/>
      <c r="K69" s="187"/>
      <c r="L69" s="187"/>
      <c r="M69" s="187"/>
      <c r="N69" s="187"/>
      <c r="O69" s="187"/>
      <c r="P69" s="187"/>
      <c r="Q69" s="187"/>
      <c r="R69" s="187"/>
      <c r="S69" s="187"/>
      <c r="T69" s="187"/>
      <c r="U69" s="187"/>
      <c r="V69" s="187"/>
      <c r="W69" s="187"/>
      <c r="X69" s="187"/>
      <c r="Y69" s="187"/>
      <c r="Z69" s="187"/>
      <c r="AA69" s="187"/>
      <c r="AB69" s="187"/>
      <c r="AC69" s="187"/>
      <c r="AD69" s="187"/>
      <c r="AE69" s="187"/>
      <c r="AF69" s="187"/>
      <c r="AG69" s="187"/>
      <c r="AH69" s="187"/>
      <c r="AI69" s="187"/>
    </row>
    <row r="70">
      <c r="A70" s="203">
        <f t="shared" si="6"/>
        <v>69</v>
      </c>
      <c r="B70" s="203"/>
      <c r="C70" s="203" t="s">
        <v>2967</v>
      </c>
      <c r="D70" s="203" t="s">
        <v>2968</v>
      </c>
      <c r="E70" s="203">
        <v>143001.0</v>
      </c>
      <c r="F70" s="203" t="s">
        <v>2969</v>
      </c>
      <c r="G70" s="203">
        <v>9.876883599E9</v>
      </c>
      <c r="H70" s="204"/>
      <c r="I70" s="203" t="s">
        <v>2970</v>
      </c>
      <c r="J70" s="203" t="s">
        <v>2971</v>
      </c>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row>
    <row r="71">
      <c r="A71" s="188">
        <f t="shared" si="6"/>
        <v>70</v>
      </c>
      <c r="B71" s="187"/>
      <c r="C71" s="187"/>
      <c r="D71" s="187"/>
      <c r="E71" s="187"/>
      <c r="F71" s="188" t="s">
        <v>2972</v>
      </c>
      <c r="G71" s="188">
        <v>9.553024574E9</v>
      </c>
      <c r="H71" s="187"/>
      <c r="I71" s="188" t="s">
        <v>2973</v>
      </c>
      <c r="J71" s="187"/>
      <c r="K71" s="187"/>
      <c r="L71" s="187"/>
      <c r="M71" s="187"/>
      <c r="N71" s="187"/>
      <c r="O71" s="187"/>
      <c r="P71" s="187"/>
      <c r="Q71" s="187"/>
      <c r="R71" s="187"/>
      <c r="S71" s="187"/>
      <c r="T71" s="187"/>
      <c r="U71" s="187"/>
      <c r="V71" s="187"/>
      <c r="W71" s="187"/>
      <c r="X71" s="187"/>
      <c r="Y71" s="187"/>
      <c r="Z71" s="187"/>
      <c r="AA71" s="187"/>
      <c r="AB71" s="187"/>
      <c r="AC71" s="187"/>
      <c r="AD71" s="187"/>
      <c r="AE71" s="187"/>
      <c r="AF71" s="187"/>
      <c r="AG71" s="187"/>
      <c r="AH71" s="187"/>
      <c r="AI71" s="187"/>
    </row>
    <row r="72">
      <c r="A72" s="188">
        <f t="shared" si="6"/>
        <v>71</v>
      </c>
      <c r="B72" s="188"/>
      <c r="C72" s="188"/>
      <c r="D72" s="188" t="s">
        <v>2383</v>
      </c>
      <c r="E72" s="188"/>
      <c r="F72" s="188" t="s">
        <v>2974</v>
      </c>
      <c r="G72" s="188">
        <v>9.54110348E9</v>
      </c>
      <c r="H72" s="187"/>
      <c r="I72" s="188" t="s">
        <v>2975</v>
      </c>
      <c r="J72" s="188" t="s">
        <v>2976</v>
      </c>
      <c r="K72" s="187"/>
      <c r="L72" s="187"/>
      <c r="M72" s="187"/>
      <c r="N72" s="187"/>
      <c r="O72" s="187"/>
      <c r="P72" s="187"/>
      <c r="Q72" s="187"/>
      <c r="R72" s="187"/>
      <c r="S72" s="187"/>
      <c r="T72" s="187"/>
      <c r="U72" s="187"/>
      <c r="V72" s="187"/>
      <c r="W72" s="187"/>
      <c r="X72" s="187"/>
      <c r="Y72" s="187"/>
      <c r="Z72" s="187"/>
      <c r="AA72" s="187"/>
      <c r="AB72" s="187"/>
      <c r="AC72" s="187"/>
      <c r="AD72" s="187"/>
      <c r="AE72" s="187"/>
      <c r="AF72" s="187"/>
      <c r="AG72" s="187"/>
      <c r="AH72" s="187"/>
      <c r="AI72" s="187"/>
    </row>
    <row r="73">
      <c r="A73" s="188">
        <f t="shared" si="6"/>
        <v>72</v>
      </c>
      <c r="B73" s="188"/>
      <c r="C73" s="188"/>
      <c r="D73" s="188"/>
      <c r="E73" s="188"/>
      <c r="F73" s="188" t="s">
        <v>2977</v>
      </c>
      <c r="G73" s="188">
        <v>9.740420233E9</v>
      </c>
      <c r="H73" s="188" t="s">
        <v>2978</v>
      </c>
      <c r="I73" s="188" t="s">
        <v>2979</v>
      </c>
      <c r="J73" s="187"/>
      <c r="K73" s="187"/>
      <c r="L73" s="187"/>
      <c r="M73" s="187"/>
      <c r="N73" s="187"/>
      <c r="O73" s="187"/>
      <c r="P73" s="187"/>
      <c r="Q73" s="187"/>
      <c r="R73" s="187"/>
      <c r="S73" s="187"/>
      <c r="T73" s="187"/>
      <c r="U73" s="187"/>
      <c r="V73" s="187"/>
      <c r="W73" s="187"/>
      <c r="X73" s="187"/>
      <c r="Y73" s="187"/>
      <c r="Z73" s="187"/>
      <c r="AA73" s="187"/>
      <c r="AB73" s="187"/>
      <c r="AC73" s="187"/>
      <c r="AD73" s="187"/>
      <c r="AE73" s="187"/>
      <c r="AF73" s="187"/>
      <c r="AG73" s="187"/>
      <c r="AH73" s="187"/>
      <c r="AI73" s="187"/>
    </row>
    <row r="74">
      <c r="A74" s="188">
        <f t="shared" si="6"/>
        <v>73</v>
      </c>
      <c r="B74" s="187"/>
      <c r="C74" s="187"/>
      <c r="D74" s="187"/>
      <c r="E74" s="187"/>
      <c r="F74" s="188" t="s">
        <v>2980</v>
      </c>
      <c r="G74" s="188">
        <v>8.800932223E9</v>
      </c>
      <c r="H74" s="187"/>
      <c r="I74" s="188" t="s">
        <v>2981</v>
      </c>
      <c r="J74" s="188" t="s">
        <v>2982</v>
      </c>
      <c r="K74" s="187"/>
      <c r="L74" s="187"/>
      <c r="M74" s="187"/>
      <c r="N74" s="187"/>
      <c r="O74" s="187"/>
      <c r="P74" s="187"/>
      <c r="Q74" s="187"/>
      <c r="R74" s="187"/>
      <c r="S74" s="187"/>
      <c r="T74" s="187"/>
      <c r="U74" s="187"/>
      <c r="V74" s="187"/>
      <c r="W74" s="187"/>
      <c r="X74" s="187"/>
      <c r="Y74" s="187"/>
      <c r="Z74" s="187"/>
      <c r="AA74" s="187"/>
      <c r="AB74" s="187"/>
      <c r="AC74" s="187"/>
      <c r="AD74" s="187"/>
      <c r="AE74" s="187"/>
      <c r="AF74" s="187"/>
      <c r="AG74" s="187"/>
      <c r="AH74" s="187"/>
      <c r="AI74" s="187"/>
    </row>
    <row r="75">
      <c r="A75" s="188">
        <f t="shared" si="6"/>
        <v>74</v>
      </c>
      <c r="B75" s="190"/>
      <c r="C75" s="190"/>
      <c r="D75" s="190"/>
      <c r="E75" s="190"/>
      <c r="F75" s="190" t="s">
        <v>2983</v>
      </c>
      <c r="G75" s="190">
        <v>7.702833266E9</v>
      </c>
      <c r="H75" s="190" t="s">
        <v>2984</v>
      </c>
      <c r="I75" s="190" t="s">
        <v>2985</v>
      </c>
      <c r="J75" s="190" t="s">
        <v>2986</v>
      </c>
      <c r="K75" s="190" t="s">
        <v>2987</v>
      </c>
      <c r="L75" s="192"/>
      <c r="M75" s="192"/>
      <c r="N75" s="192"/>
      <c r="O75" s="192"/>
      <c r="P75" s="192"/>
      <c r="Q75" s="192"/>
      <c r="R75" s="192"/>
      <c r="S75" s="192"/>
      <c r="T75" s="192"/>
      <c r="U75" s="192"/>
      <c r="V75" s="192"/>
      <c r="W75" s="192"/>
      <c r="X75" s="192"/>
      <c r="Y75" s="192"/>
      <c r="Z75" s="192"/>
      <c r="AA75" s="192"/>
      <c r="AB75" s="192"/>
      <c r="AC75" s="192"/>
      <c r="AD75" s="192"/>
      <c r="AE75" s="192"/>
      <c r="AF75" s="192"/>
      <c r="AG75" s="192"/>
      <c r="AH75" s="192"/>
      <c r="AI75" s="192"/>
    </row>
    <row r="76">
      <c r="A76" s="188">
        <f t="shared" si="6"/>
        <v>75</v>
      </c>
      <c r="B76" s="192"/>
      <c r="C76" s="192"/>
      <c r="D76" s="192"/>
      <c r="E76" s="192"/>
      <c r="F76" s="190" t="s">
        <v>2988</v>
      </c>
      <c r="G76" s="190">
        <v>9.993249591E9</v>
      </c>
      <c r="H76" s="192"/>
      <c r="I76" s="190" t="s">
        <v>2989</v>
      </c>
      <c r="J76" s="192"/>
      <c r="K76" s="192"/>
      <c r="L76" s="192"/>
      <c r="M76" s="192"/>
      <c r="N76" s="192"/>
      <c r="O76" s="192"/>
      <c r="P76" s="192"/>
      <c r="Q76" s="192"/>
      <c r="R76" s="192"/>
      <c r="S76" s="192"/>
      <c r="T76" s="192"/>
      <c r="U76" s="192"/>
      <c r="V76" s="192"/>
      <c r="W76" s="192"/>
      <c r="X76" s="192"/>
      <c r="Y76" s="192"/>
      <c r="Z76" s="192"/>
      <c r="AA76" s="192"/>
      <c r="AB76" s="192"/>
      <c r="AC76" s="192"/>
      <c r="AD76" s="192"/>
      <c r="AE76" s="192"/>
      <c r="AF76" s="192"/>
      <c r="AG76" s="192"/>
      <c r="AH76" s="192"/>
      <c r="AI76" s="192"/>
    </row>
    <row r="77">
      <c r="A77" s="188">
        <f t="shared" si="6"/>
        <v>76</v>
      </c>
      <c r="B77" s="190"/>
      <c r="C77" s="190"/>
      <c r="D77" s="190"/>
      <c r="E77" s="190"/>
      <c r="F77" s="190" t="s">
        <v>2990</v>
      </c>
      <c r="G77" s="190">
        <v>9.972534544E9</v>
      </c>
      <c r="H77" s="192"/>
      <c r="I77" s="190" t="s">
        <v>2991</v>
      </c>
      <c r="J77" s="190" t="s">
        <v>2992</v>
      </c>
      <c r="K77" s="192"/>
      <c r="L77" s="192"/>
      <c r="M77" s="192"/>
      <c r="N77" s="192"/>
      <c r="O77" s="192"/>
      <c r="P77" s="192"/>
      <c r="Q77" s="192"/>
      <c r="R77" s="192"/>
      <c r="S77" s="192"/>
      <c r="T77" s="192"/>
      <c r="U77" s="192"/>
      <c r="V77" s="192"/>
      <c r="W77" s="192"/>
      <c r="X77" s="192"/>
      <c r="Y77" s="192"/>
      <c r="Z77" s="192"/>
      <c r="AA77" s="192"/>
      <c r="AB77" s="192"/>
      <c r="AC77" s="192"/>
      <c r="AD77" s="192"/>
      <c r="AE77" s="192"/>
      <c r="AF77" s="192"/>
      <c r="AG77" s="192"/>
      <c r="AH77" s="192"/>
      <c r="AI77" s="192"/>
    </row>
    <row r="78">
      <c r="A78" s="188">
        <f t="shared" si="6"/>
        <v>77</v>
      </c>
      <c r="B78" s="190"/>
      <c r="C78" s="190"/>
      <c r="D78" s="190"/>
      <c r="E78" s="190"/>
      <c r="F78" s="190" t="s">
        <v>2993</v>
      </c>
      <c r="G78" s="190">
        <v>7.032282227E9</v>
      </c>
      <c r="H78" s="192"/>
      <c r="I78" s="190" t="s">
        <v>2994</v>
      </c>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row>
    <row r="79">
      <c r="A79" s="188">
        <f t="shared" si="6"/>
        <v>78</v>
      </c>
      <c r="B79" s="202"/>
      <c r="C79" s="202"/>
      <c r="D79" s="202"/>
      <c r="E79" s="202"/>
      <c r="F79" s="190" t="s">
        <v>2995</v>
      </c>
      <c r="G79" s="190">
        <v>9.864525406E9</v>
      </c>
      <c r="H79" s="192"/>
      <c r="I79" s="190" t="s">
        <v>2996</v>
      </c>
      <c r="J79" s="190" t="s">
        <v>2997</v>
      </c>
      <c r="K79" s="192"/>
      <c r="L79" s="192"/>
      <c r="M79" s="192"/>
      <c r="N79" s="192"/>
      <c r="O79" s="192"/>
      <c r="P79" s="192"/>
      <c r="Q79" s="192"/>
      <c r="R79" s="192"/>
      <c r="S79" s="192"/>
      <c r="T79" s="192"/>
      <c r="U79" s="192"/>
      <c r="V79" s="192"/>
      <c r="W79" s="192"/>
      <c r="X79" s="192"/>
      <c r="Y79" s="192"/>
      <c r="Z79" s="192"/>
      <c r="AA79" s="192"/>
      <c r="AB79" s="192"/>
      <c r="AC79" s="192"/>
      <c r="AD79" s="192"/>
      <c r="AE79" s="192"/>
      <c r="AF79" s="192"/>
      <c r="AG79" s="192"/>
      <c r="AH79" s="192"/>
      <c r="AI79" s="192"/>
    </row>
    <row r="80">
      <c r="A80" s="188">
        <f t="shared" si="6"/>
        <v>79</v>
      </c>
      <c r="B80" s="192"/>
      <c r="C80" s="192"/>
      <c r="D80" s="192"/>
      <c r="E80" s="192"/>
      <c r="F80" s="190" t="s">
        <v>2998</v>
      </c>
      <c r="G80" s="190">
        <v>9.630066355E9</v>
      </c>
      <c r="H80" s="190" t="s">
        <v>2999</v>
      </c>
      <c r="I80" s="190" t="s">
        <v>3000</v>
      </c>
      <c r="J80" s="190" t="s">
        <v>3001</v>
      </c>
      <c r="K80" s="192"/>
      <c r="L80" s="192"/>
      <c r="M80" s="192"/>
      <c r="N80" s="192"/>
      <c r="O80" s="192"/>
      <c r="P80" s="192"/>
      <c r="Q80" s="192"/>
      <c r="R80" s="192"/>
      <c r="S80" s="192"/>
      <c r="T80" s="192"/>
      <c r="U80" s="192"/>
      <c r="V80" s="192"/>
      <c r="W80" s="192"/>
      <c r="X80" s="192"/>
      <c r="Y80" s="192"/>
      <c r="Z80" s="192"/>
      <c r="AA80" s="192"/>
      <c r="AB80" s="192"/>
      <c r="AC80" s="192"/>
      <c r="AD80" s="192"/>
      <c r="AE80" s="192"/>
      <c r="AF80" s="192"/>
      <c r="AG80" s="192"/>
      <c r="AH80" s="192"/>
      <c r="AI80" s="192"/>
    </row>
    <row r="81">
      <c r="A81" s="190"/>
      <c r="B81" s="190"/>
      <c r="C81" s="190"/>
      <c r="D81" s="190"/>
      <c r="E81" s="190"/>
      <c r="F81" s="190" t="s">
        <v>3002</v>
      </c>
      <c r="G81" s="190">
        <v>9.422788092E9</v>
      </c>
      <c r="H81" s="192"/>
      <c r="I81" s="190" t="s">
        <v>3003</v>
      </c>
      <c r="J81" s="192"/>
      <c r="K81" s="192"/>
      <c r="L81" s="192"/>
      <c r="M81" s="192"/>
      <c r="N81" s="192"/>
      <c r="O81" s="192"/>
      <c r="P81" s="192"/>
      <c r="Q81" s="192"/>
      <c r="R81" s="192"/>
      <c r="S81" s="192"/>
      <c r="T81" s="192"/>
      <c r="U81" s="192"/>
      <c r="V81" s="192"/>
      <c r="W81" s="192"/>
      <c r="X81" s="192"/>
      <c r="Y81" s="192"/>
      <c r="Z81" s="192"/>
      <c r="AA81" s="192"/>
      <c r="AB81" s="192"/>
      <c r="AC81" s="192"/>
      <c r="AD81" s="192"/>
      <c r="AE81" s="192"/>
      <c r="AF81" s="192"/>
      <c r="AG81" s="192"/>
      <c r="AH81" s="192"/>
      <c r="AI81" s="192"/>
    </row>
    <row r="82">
      <c r="A82" s="192"/>
      <c r="B82" s="190" t="s">
        <v>3004</v>
      </c>
      <c r="C82" s="190" t="s">
        <v>3005</v>
      </c>
      <c r="D82" s="190" t="s">
        <v>3006</v>
      </c>
      <c r="E82" s="192"/>
      <c r="F82" s="190" t="s">
        <v>3007</v>
      </c>
      <c r="G82" s="190">
        <v>8.866353706E9</v>
      </c>
      <c r="H82" s="187"/>
      <c r="I82" s="190" t="s">
        <v>3008</v>
      </c>
      <c r="J82" s="193" t="s">
        <v>2337</v>
      </c>
      <c r="K82" s="192"/>
      <c r="L82" s="192"/>
      <c r="M82" s="192"/>
      <c r="N82" s="192"/>
      <c r="O82" s="192"/>
      <c r="P82" s="192"/>
      <c r="Q82" s="192"/>
      <c r="R82" s="192"/>
      <c r="S82" s="192"/>
      <c r="T82" s="192"/>
      <c r="U82" s="192"/>
      <c r="V82" s="192"/>
      <c r="W82" s="192"/>
      <c r="X82" s="192"/>
      <c r="Y82" s="192"/>
      <c r="Z82" s="192"/>
      <c r="AA82" s="192"/>
      <c r="AB82" s="192"/>
      <c r="AC82" s="192"/>
      <c r="AD82" s="192"/>
      <c r="AE82" s="192"/>
      <c r="AF82" s="192"/>
      <c r="AG82" s="192"/>
      <c r="AH82" s="192"/>
      <c r="AI82" s="192"/>
    </row>
    <row r="83">
      <c r="A83" s="192"/>
      <c r="B83" s="192"/>
      <c r="C83" s="192"/>
      <c r="D83" s="187"/>
      <c r="E83" s="192"/>
      <c r="F83" s="190" t="s">
        <v>3009</v>
      </c>
      <c r="G83" s="190">
        <v>9.884226192E9</v>
      </c>
      <c r="H83" s="192"/>
      <c r="I83" s="190" t="s">
        <v>3010</v>
      </c>
      <c r="J83" s="190"/>
      <c r="K83" s="192"/>
      <c r="L83" s="192"/>
      <c r="M83" s="192"/>
      <c r="N83" s="192"/>
      <c r="O83" s="192"/>
      <c r="P83" s="192"/>
      <c r="Q83" s="192"/>
      <c r="R83" s="192"/>
      <c r="S83" s="192"/>
      <c r="T83" s="192"/>
      <c r="U83" s="192"/>
      <c r="V83" s="192"/>
      <c r="W83" s="192"/>
      <c r="X83" s="192"/>
      <c r="Y83" s="192"/>
      <c r="Z83" s="192"/>
      <c r="AA83" s="192"/>
      <c r="AB83" s="192"/>
      <c r="AC83" s="192"/>
      <c r="AD83" s="192"/>
      <c r="AE83" s="192"/>
      <c r="AF83" s="192"/>
      <c r="AG83" s="192"/>
      <c r="AH83" s="192"/>
      <c r="AI83" s="192"/>
    </row>
    <row r="84">
      <c r="A84" s="192"/>
      <c r="B84" s="192"/>
      <c r="C84" s="192"/>
      <c r="D84" s="192"/>
      <c r="E84" s="192"/>
      <c r="F84" s="196" t="s">
        <v>3011</v>
      </c>
      <c r="G84" s="190">
        <v>7.907231068E9</v>
      </c>
      <c r="H84" s="190" t="s">
        <v>3012</v>
      </c>
      <c r="I84" s="190" t="s">
        <v>3013</v>
      </c>
      <c r="J84" s="192"/>
      <c r="K84" s="192"/>
      <c r="L84" s="192"/>
      <c r="M84" s="192"/>
      <c r="N84" s="192"/>
      <c r="O84" s="192"/>
      <c r="P84" s="192"/>
      <c r="Q84" s="192"/>
      <c r="R84" s="192"/>
      <c r="S84" s="192"/>
      <c r="T84" s="192"/>
      <c r="U84" s="192"/>
      <c r="V84" s="192"/>
      <c r="W84" s="192"/>
      <c r="X84" s="192"/>
      <c r="Y84" s="192"/>
      <c r="Z84" s="192"/>
      <c r="AA84" s="192"/>
      <c r="AB84" s="192"/>
      <c r="AC84" s="192"/>
      <c r="AD84" s="192"/>
      <c r="AE84" s="192"/>
      <c r="AF84" s="192"/>
      <c r="AG84" s="192"/>
      <c r="AH84" s="192"/>
      <c r="AI84" s="192"/>
    </row>
    <row r="85">
      <c r="A85" s="192"/>
      <c r="B85" s="192"/>
      <c r="C85" s="196" t="s">
        <v>3014</v>
      </c>
      <c r="D85" s="192"/>
      <c r="E85" s="192"/>
      <c r="F85" s="196" t="s">
        <v>3015</v>
      </c>
      <c r="G85" s="190">
        <v>9.875425466E9</v>
      </c>
      <c r="H85" s="190" t="s">
        <v>3016</v>
      </c>
      <c r="I85" s="190" t="s">
        <v>3017</v>
      </c>
      <c r="J85" s="192"/>
      <c r="K85" s="192"/>
      <c r="L85" s="192"/>
      <c r="M85" s="192"/>
      <c r="N85" s="192"/>
      <c r="O85" s="192"/>
      <c r="P85" s="192"/>
      <c r="Q85" s="192"/>
      <c r="R85" s="192"/>
      <c r="S85" s="192"/>
      <c r="T85" s="192"/>
      <c r="U85" s="192"/>
      <c r="V85" s="192"/>
      <c r="W85" s="192"/>
      <c r="X85" s="192"/>
      <c r="Y85" s="192"/>
      <c r="Z85" s="192"/>
      <c r="AA85" s="192"/>
      <c r="AB85" s="192"/>
      <c r="AC85" s="192"/>
      <c r="AD85" s="192"/>
      <c r="AE85" s="192"/>
      <c r="AF85" s="192"/>
      <c r="AG85" s="192"/>
      <c r="AH85" s="192"/>
      <c r="AI85" s="192"/>
    </row>
    <row r="86">
      <c r="A86" s="187"/>
      <c r="B86" s="187"/>
      <c r="C86" s="196" t="s">
        <v>3018</v>
      </c>
      <c r="D86" s="187"/>
      <c r="E86" s="187"/>
      <c r="F86" s="188" t="s">
        <v>3019</v>
      </c>
      <c r="G86" s="188">
        <v>9.797975262E9</v>
      </c>
      <c r="H86" s="188" t="s">
        <v>3020</v>
      </c>
      <c r="I86" s="188" t="s">
        <v>3021</v>
      </c>
      <c r="J86" s="187"/>
      <c r="K86" s="187"/>
      <c r="L86" s="187"/>
      <c r="M86" s="187"/>
      <c r="N86" s="187"/>
      <c r="O86" s="187"/>
      <c r="P86" s="187"/>
      <c r="Q86" s="187"/>
      <c r="R86" s="187"/>
      <c r="S86" s="187"/>
      <c r="T86" s="187"/>
      <c r="U86" s="187"/>
      <c r="V86" s="187"/>
      <c r="W86" s="187"/>
      <c r="X86" s="187"/>
      <c r="Y86" s="187"/>
      <c r="Z86" s="187"/>
      <c r="AA86" s="187"/>
      <c r="AB86" s="187"/>
      <c r="AC86" s="187"/>
      <c r="AD86" s="187"/>
      <c r="AE86" s="187"/>
      <c r="AF86" s="187"/>
      <c r="AG86" s="187"/>
      <c r="AH86" s="187"/>
      <c r="AI86" s="187"/>
    </row>
    <row r="87">
      <c r="A87" s="187"/>
      <c r="B87" s="188" t="s">
        <v>3022</v>
      </c>
      <c r="C87" s="188" t="s">
        <v>3023</v>
      </c>
      <c r="D87" s="188" t="s">
        <v>3024</v>
      </c>
      <c r="E87" s="187"/>
      <c r="F87" s="188" t="s">
        <v>3025</v>
      </c>
      <c r="G87" s="188" t="s">
        <v>3026</v>
      </c>
      <c r="H87" s="187"/>
      <c r="I87" s="205" t="s">
        <v>3027</v>
      </c>
      <c r="J87" s="188" t="s">
        <v>3028</v>
      </c>
      <c r="K87" s="187"/>
      <c r="L87" s="187"/>
      <c r="M87" s="187"/>
      <c r="N87" s="187"/>
      <c r="O87" s="187"/>
      <c r="P87" s="187"/>
      <c r="Q87" s="187"/>
      <c r="R87" s="187"/>
      <c r="S87" s="187"/>
      <c r="T87" s="187"/>
      <c r="U87" s="187"/>
      <c r="V87" s="187"/>
      <c r="W87" s="187"/>
      <c r="X87" s="187"/>
      <c r="Y87" s="187"/>
      <c r="Z87" s="187"/>
      <c r="AA87" s="187"/>
      <c r="AB87" s="187"/>
      <c r="AC87" s="187"/>
      <c r="AD87" s="187"/>
      <c r="AE87" s="187"/>
      <c r="AF87" s="187"/>
      <c r="AG87" s="187"/>
      <c r="AH87" s="187"/>
      <c r="AI87" s="187"/>
    </row>
    <row r="88">
      <c r="A88" s="206"/>
      <c r="B88" s="206"/>
      <c r="C88" s="207" t="s">
        <v>3029</v>
      </c>
      <c r="D88" s="206"/>
      <c r="E88" s="206"/>
      <c r="F88" s="207" t="s">
        <v>3030</v>
      </c>
      <c r="G88" s="206"/>
      <c r="H88" s="206"/>
      <c r="I88" s="206"/>
      <c r="J88" s="206"/>
      <c r="K88" s="206"/>
      <c r="L88" s="206"/>
      <c r="M88" s="206"/>
      <c r="N88" s="206"/>
      <c r="O88" s="206"/>
      <c r="P88" s="206"/>
      <c r="Q88" s="206"/>
      <c r="R88" s="206"/>
      <c r="S88" s="206"/>
      <c r="T88" s="206"/>
      <c r="U88" s="206"/>
      <c r="V88" s="206"/>
      <c r="W88" s="206"/>
      <c r="X88" s="206"/>
      <c r="Y88" s="206"/>
      <c r="Z88" s="206"/>
      <c r="AA88" s="206"/>
      <c r="AB88" s="206"/>
      <c r="AC88" s="206"/>
      <c r="AD88" s="206"/>
      <c r="AE88" s="206"/>
      <c r="AF88" s="206"/>
      <c r="AG88" s="206"/>
      <c r="AH88" s="206"/>
      <c r="AI88" s="206"/>
    </row>
    <row r="89">
      <c r="A89" s="187"/>
      <c r="B89" s="187"/>
      <c r="C89" s="187"/>
      <c r="D89" s="187"/>
      <c r="E89" s="187"/>
      <c r="F89" s="188" t="s">
        <v>3031</v>
      </c>
      <c r="G89" s="187"/>
      <c r="H89" s="187"/>
      <c r="I89" s="188" t="s">
        <v>3032</v>
      </c>
      <c r="J89" s="187"/>
      <c r="K89" s="187"/>
      <c r="L89" s="187"/>
      <c r="M89" s="187"/>
      <c r="N89" s="187"/>
      <c r="O89" s="187"/>
      <c r="P89" s="187"/>
      <c r="Q89" s="187"/>
      <c r="R89" s="187"/>
      <c r="S89" s="187"/>
      <c r="T89" s="187"/>
      <c r="U89" s="187"/>
      <c r="V89" s="187"/>
      <c r="W89" s="187"/>
      <c r="X89" s="187"/>
      <c r="Y89" s="187"/>
      <c r="Z89" s="187"/>
      <c r="AA89" s="187"/>
      <c r="AB89" s="187"/>
      <c r="AC89" s="187"/>
      <c r="AD89" s="187"/>
      <c r="AE89" s="187"/>
      <c r="AF89" s="187"/>
      <c r="AG89" s="187"/>
      <c r="AH89" s="187"/>
      <c r="AI89" s="187"/>
    </row>
    <row r="90">
      <c r="A90" s="187"/>
      <c r="B90" s="187"/>
      <c r="C90" s="187"/>
      <c r="D90" s="187"/>
      <c r="E90" s="187"/>
      <c r="F90" s="188" t="s">
        <v>3033</v>
      </c>
      <c r="G90" s="187"/>
      <c r="H90" s="187"/>
      <c r="I90" s="188" t="s">
        <v>3034</v>
      </c>
      <c r="J90" s="187"/>
      <c r="K90" s="187"/>
      <c r="L90" s="187"/>
      <c r="M90" s="187"/>
      <c r="N90" s="187"/>
      <c r="O90" s="187"/>
      <c r="P90" s="187"/>
      <c r="Q90" s="187"/>
      <c r="R90" s="187"/>
      <c r="S90" s="187"/>
      <c r="T90" s="187"/>
      <c r="U90" s="187"/>
      <c r="V90" s="187"/>
      <c r="W90" s="187"/>
      <c r="X90" s="187"/>
      <c r="Y90" s="187"/>
      <c r="Z90" s="187"/>
      <c r="AA90" s="187"/>
      <c r="AB90" s="187"/>
      <c r="AC90" s="187"/>
      <c r="AD90" s="187"/>
      <c r="AE90" s="187"/>
      <c r="AF90" s="187"/>
      <c r="AG90" s="187"/>
      <c r="AH90" s="187"/>
      <c r="AI90" s="187"/>
    </row>
    <row r="91">
      <c r="A91" s="187"/>
      <c r="B91" s="187"/>
      <c r="C91" s="188" t="s">
        <v>3035</v>
      </c>
      <c r="D91" s="187"/>
      <c r="E91" s="187"/>
      <c r="F91" s="188" t="s">
        <v>3036</v>
      </c>
      <c r="G91" s="187"/>
      <c r="H91" s="187"/>
      <c r="I91" s="188" t="s">
        <v>3037</v>
      </c>
      <c r="J91" s="187"/>
      <c r="K91" s="187"/>
      <c r="L91" s="187"/>
      <c r="M91" s="187"/>
      <c r="N91" s="187"/>
      <c r="O91" s="187"/>
      <c r="P91" s="187"/>
      <c r="Q91" s="187"/>
      <c r="R91" s="187"/>
      <c r="S91" s="187"/>
      <c r="T91" s="187"/>
      <c r="U91" s="187"/>
      <c r="V91" s="187"/>
      <c r="W91" s="187"/>
      <c r="X91" s="187"/>
      <c r="Y91" s="187"/>
      <c r="Z91" s="187"/>
      <c r="AA91" s="187"/>
      <c r="AB91" s="187"/>
      <c r="AC91" s="187"/>
      <c r="AD91" s="187"/>
      <c r="AE91" s="187"/>
      <c r="AF91" s="187"/>
      <c r="AG91" s="187"/>
      <c r="AH91" s="187"/>
      <c r="AI91" s="187"/>
    </row>
    <row r="92">
      <c r="A92" s="187"/>
      <c r="B92" s="187"/>
      <c r="C92" s="187"/>
      <c r="D92" s="187"/>
      <c r="E92" s="187"/>
      <c r="F92" s="188" t="s">
        <v>3038</v>
      </c>
      <c r="G92" s="187"/>
      <c r="H92" s="187"/>
      <c r="I92" s="188" t="s">
        <v>3039</v>
      </c>
      <c r="J92" s="187"/>
      <c r="K92" s="187"/>
      <c r="L92" s="187"/>
      <c r="M92" s="187"/>
      <c r="N92" s="187"/>
      <c r="O92" s="187"/>
      <c r="P92" s="187"/>
      <c r="Q92" s="187"/>
      <c r="R92" s="187"/>
      <c r="S92" s="187"/>
      <c r="T92" s="187"/>
      <c r="U92" s="187"/>
      <c r="V92" s="187"/>
      <c r="W92" s="187"/>
      <c r="X92" s="187"/>
      <c r="Y92" s="187"/>
      <c r="Z92" s="187"/>
      <c r="AA92" s="187"/>
      <c r="AB92" s="187"/>
      <c r="AC92" s="187"/>
      <c r="AD92" s="187"/>
      <c r="AE92" s="187"/>
      <c r="AF92" s="187"/>
      <c r="AG92" s="187"/>
      <c r="AH92" s="187"/>
      <c r="AI92" s="187"/>
    </row>
    <row r="93">
      <c r="A93" s="187"/>
      <c r="B93" s="187"/>
      <c r="C93" s="187"/>
      <c r="D93" s="187"/>
      <c r="E93" s="187" t="s">
        <v>3040</v>
      </c>
      <c r="F93" s="187"/>
      <c r="G93" s="208" t="s">
        <v>3041</v>
      </c>
      <c r="H93" s="187"/>
      <c r="I93" s="188" t="s">
        <v>3042</v>
      </c>
      <c r="J93" s="187"/>
      <c r="K93" s="187"/>
      <c r="L93" s="187"/>
      <c r="M93" s="187"/>
      <c r="N93" s="187"/>
      <c r="O93" s="187"/>
      <c r="P93" s="187"/>
      <c r="Q93" s="187"/>
      <c r="R93" s="187"/>
      <c r="S93" s="187"/>
      <c r="T93" s="187"/>
      <c r="U93" s="187"/>
      <c r="V93" s="187"/>
      <c r="W93" s="187"/>
      <c r="X93" s="187"/>
      <c r="Y93" s="187"/>
      <c r="Z93" s="187"/>
      <c r="AA93" s="187"/>
      <c r="AB93" s="187"/>
      <c r="AC93" s="187"/>
      <c r="AD93" s="187"/>
      <c r="AE93" s="187"/>
      <c r="AF93" s="187"/>
      <c r="AG93" s="187"/>
      <c r="AH93" s="187"/>
      <c r="AI93" s="187"/>
    </row>
    <row r="94">
      <c r="A94" s="187"/>
      <c r="B94" s="187"/>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c r="AA94" s="187"/>
      <c r="AB94" s="187"/>
      <c r="AC94" s="187"/>
      <c r="AD94" s="187"/>
      <c r="AE94" s="187"/>
      <c r="AF94" s="187"/>
      <c r="AG94" s="187"/>
      <c r="AH94" s="187"/>
      <c r="AI94" s="187"/>
    </row>
    <row r="95">
      <c r="A95" s="187"/>
      <c r="B95" s="187"/>
      <c r="C95" s="187"/>
      <c r="D95" s="187"/>
      <c r="E95" s="187" t="s">
        <v>3043</v>
      </c>
      <c r="F95" s="187"/>
      <c r="G95" s="187"/>
      <c r="H95" s="187"/>
      <c r="I95" s="188" t="s">
        <v>3044</v>
      </c>
      <c r="J95" s="187"/>
      <c r="K95" s="187"/>
      <c r="L95" s="187"/>
      <c r="M95" s="187"/>
      <c r="N95" s="187"/>
      <c r="O95" s="187"/>
      <c r="P95" s="187"/>
      <c r="Q95" s="187"/>
      <c r="R95" s="187"/>
      <c r="S95" s="187"/>
      <c r="T95" s="187"/>
      <c r="U95" s="187"/>
      <c r="V95" s="187"/>
      <c r="W95" s="187"/>
      <c r="X95" s="187"/>
      <c r="Y95" s="187"/>
      <c r="Z95" s="187"/>
      <c r="AA95" s="187"/>
      <c r="AB95" s="187"/>
      <c r="AC95" s="187"/>
      <c r="AD95" s="187"/>
      <c r="AE95" s="187"/>
      <c r="AF95" s="187"/>
      <c r="AG95" s="187"/>
      <c r="AH95" s="187"/>
      <c r="AI95" s="187"/>
    </row>
    <row r="96">
      <c r="A96" s="187"/>
      <c r="B96" s="187"/>
      <c r="C96" s="187"/>
      <c r="D96" s="187"/>
      <c r="E96" s="209" t="s">
        <v>3045</v>
      </c>
      <c r="F96" s="188" t="s">
        <v>3046</v>
      </c>
      <c r="G96" s="188" t="s">
        <v>3047</v>
      </c>
      <c r="H96" s="187"/>
      <c r="I96" s="187"/>
      <c r="J96" s="187"/>
      <c r="K96" s="187"/>
      <c r="L96" s="187"/>
      <c r="M96" s="187"/>
      <c r="N96" s="187"/>
      <c r="O96" s="187"/>
      <c r="P96" s="187"/>
      <c r="Q96" s="187"/>
      <c r="R96" s="187"/>
      <c r="S96" s="187"/>
      <c r="T96" s="187"/>
      <c r="U96" s="187"/>
      <c r="V96" s="187"/>
      <c r="W96" s="187"/>
      <c r="X96" s="187"/>
      <c r="Y96" s="187"/>
      <c r="Z96" s="187"/>
      <c r="AA96" s="187"/>
      <c r="AB96" s="187"/>
      <c r="AC96" s="187"/>
      <c r="AD96" s="187"/>
      <c r="AE96" s="187"/>
      <c r="AF96" s="187"/>
      <c r="AG96" s="187"/>
      <c r="AH96" s="187"/>
      <c r="AI96" s="187"/>
    </row>
    <row r="97">
      <c r="A97" s="187"/>
      <c r="B97" s="187"/>
      <c r="C97" s="187"/>
      <c r="D97" s="187"/>
      <c r="E97" s="188" t="s">
        <v>3048</v>
      </c>
      <c r="F97" s="188" t="s">
        <v>3049</v>
      </c>
      <c r="G97" s="187"/>
      <c r="H97" s="187"/>
      <c r="I97" s="188" t="s">
        <v>2337</v>
      </c>
      <c r="J97" s="187"/>
      <c r="K97" s="187"/>
      <c r="L97" s="187"/>
      <c r="M97" s="187"/>
      <c r="N97" s="187"/>
      <c r="O97" s="187"/>
      <c r="P97" s="187"/>
      <c r="Q97" s="187"/>
      <c r="R97" s="187"/>
      <c r="S97" s="187"/>
      <c r="T97" s="187"/>
      <c r="U97" s="187"/>
      <c r="V97" s="187"/>
      <c r="W97" s="187"/>
      <c r="X97" s="187"/>
      <c r="Y97" s="187"/>
      <c r="Z97" s="187"/>
      <c r="AA97" s="187"/>
      <c r="AB97" s="187"/>
      <c r="AC97" s="187"/>
      <c r="AD97" s="187"/>
      <c r="AE97" s="187"/>
      <c r="AF97" s="187"/>
      <c r="AG97" s="187"/>
      <c r="AH97" s="187"/>
      <c r="AI97" s="187"/>
    </row>
    <row r="98">
      <c r="A98" s="187"/>
      <c r="B98" s="187"/>
      <c r="C98" s="187"/>
      <c r="D98" s="187"/>
      <c r="E98" s="188" t="s">
        <v>3050</v>
      </c>
      <c r="F98" s="188">
        <v>9.704411003E9</v>
      </c>
      <c r="G98" s="187"/>
      <c r="H98" s="187"/>
      <c r="I98" s="188" t="s">
        <v>3037</v>
      </c>
      <c r="J98" s="187"/>
      <c r="K98" s="187"/>
      <c r="L98" s="187"/>
      <c r="M98" s="187"/>
      <c r="N98" s="187"/>
      <c r="O98" s="187"/>
      <c r="P98" s="187"/>
      <c r="Q98" s="187"/>
      <c r="R98" s="187"/>
      <c r="S98" s="187"/>
      <c r="T98" s="187"/>
      <c r="U98" s="187"/>
      <c r="V98" s="187"/>
      <c r="W98" s="187"/>
      <c r="X98" s="187"/>
      <c r="Y98" s="187"/>
      <c r="Z98" s="187"/>
      <c r="AA98" s="187"/>
      <c r="AB98" s="187"/>
      <c r="AC98" s="187"/>
      <c r="AD98" s="187"/>
      <c r="AE98" s="187"/>
      <c r="AF98" s="187"/>
      <c r="AG98" s="187"/>
      <c r="AH98" s="187"/>
      <c r="AI98" s="187"/>
    </row>
    <row r="99">
      <c r="A99" s="187"/>
      <c r="B99" s="187"/>
      <c r="C99" s="187"/>
      <c r="D99" s="187"/>
      <c r="E99" s="188" t="s">
        <v>3051</v>
      </c>
      <c r="F99" s="188" t="s">
        <v>3052</v>
      </c>
      <c r="G99" s="187"/>
      <c r="H99" s="187"/>
      <c r="I99" s="188" t="s">
        <v>3053</v>
      </c>
      <c r="J99" s="187"/>
      <c r="K99" s="187"/>
      <c r="L99" s="187"/>
      <c r="M99" s="187"/>
      <c r="N99" s="187"/>
      <c r="O99" s="187"/>
      <c r="P99" s="187"/>
      <c r="Q99" s="187"/>
      <c r="R99" s="187"/>
      <c r="S99" s="187"/>
      <c r="T99" s="187"/>
      <c r="U99" s="187"/>
      <c r="V99" s="187"/>
      <c r="W99" s="187"/>
      <c r="X99" s="187"/>
      <c r="Y99" s="187"/>
      <c r="Z99" s="187"/>
      <c r="AA99" s="187"/>
      <c r="AB99" s="187"/>
      <c r="AC99" s="187"/>
      <c r="AD99" s="187"/>
      <c r="AE99" s="187"/>
      <c r="AF99" s="187"/>
      <c r="AG99" s="187"/>
      <c r="AH99" s="187"/>
      <c r="AI99" s="187"/>
    </row>
    <row r="100">
      <c r="A100" s="187"/>
      <c r="B100" s="187"/>
      <c r="C100" s="187"/>
      <c r="D100" s="187"/>
      <c r="E100" s="188" t="s">
        <v>3054</v>
      </c>
      <c r="F100" s="188">
        <v>9.579354598E9</v>
      </c>
      <c r="G100" s="187"/>
      <c r="H100" s="187"/>
      <c r="I100" s="188" t="s">
        <v>3055</v>
      </c>
      <c r="J100" s="187"/>
      <c r="K100" s="187"/>
      <c r="L100" s="187"/>
      <c r="M100" s="187"/>
      <c r="N100" s="187"/>
      <c r="O100" s="187"/>
      <c r="P100" s="187"/>
      <c r="Q100" s="187"/>
      <c r="R100" s="187"/>
      <c r="S100" s="187"/>
      <c r="T100" s="187"/>
      <c r="U100" s="187"/>
      <c r="V100" s="187"/>
      <c r="W100" s="187"/>
      <c r="X100" s="187"/>
      <c r="Y100" s="187"/>
      <c r="Z100" s="187"/>
      <c r="AA100" s="187"/>
      <c r="AB100" s="187"/>
      <c r="AC100" s="187"/>
      <c r="AD100" s="187"/>
      <c r="AE100" s="187"/>
      <c r="AF100" s="187"/>
      <c r="AG100" s="187"/>
      <c r="AH100" s="187"/>
      <c r="AI100" s="187"/>
    </row>
    <row r="101">
      <c r="A101" s="187"/>
      <c r="B101" s="187"/>
      <c r="C101" s="187"/>
      <c r="D101" s="187"/>
      <c r="E101" s="188" t="s">
        <v>3056</v>
      </c>
      <c r="F101" s="210">
        <v>6.207670253E9</v>
      </c>
      <c r="G101" s="187"/>
      <c r="H101" s="187"/>
      <c r="I101" s="188" t="s">
        <v>3057</v>
      </c>
      <c r="J101" s="187"/>
      <c r="K101" s="187"/>
      <c r="L101" s="187"/>
      <c r="M101" s="187"/>
      <c r="N101" s="187"/>
      <c r="O101" s="187"/>
      <c r="P101" s="187"/>
      <c r="Q101" s="187"/>
      <c r="R101" s="187"/>
      <c r="S101" s="187"/>
      <c r="T101" s="187"/>
      <c r="U101" s="187"/>
      <c r="V101" s="187"/>
      <c r="W101" s="187"/>
      <c r="X101" s="187"/>
      <c r="Y101" s="187"/>
      <c r="Z101" s="187"/>
      <c r="AA101" s="187"/>
      <c r="AB101" s="187"/>
      <c r="AC101" s="187"/>
      <c r="AD101" s="187"/>
      <c r="AE101" s="187"/>
      <c r="AF101" s="187"/>
      <c r="AG101" s="187"/>
      <c r="AH101" s="187"/>
      <c r="AI101" s="187"/>
    </row>
    <row r="102">
      <c r="A102" s="187"/>
      <c r="B102" s="187"/>
      <c r="C102" s="187"/>
      <c r="D102" s="187"/>
      <c r="E102" s="188" t="s">
        <v>3058</v>
      </c>
      <c r="F102" s="188">
        <v>9.823728282E9</v>
      </c>
      <c r="G102" s="188" t="s">
        <v>3059</v>
      </c>
      <c r="H102" s="187"/>
      <c r="I102" s="188" t="s">
        <v>3060</v>
      </c>
      <c r="J102" s="187"/>
      <c r="K102" s="187"/>
      <c r="L102" s="187"/>
      <c r="M102" s="187"/>
      <c r="N102" s="187"/>
      <c r="O102" s="187"/>
      <c r="P102" s="187"/>
      <c r="Q102" s="187"/>
      <c r="R102" s="187"/>
      <c r="S102" s="187"/>
      <c r="T102" s="187"/>
      <c r="U102" s="187"/>
      <c r="V102" s="187"/>
      <c r="W102" s="187"/>
      <c r="X102" s="187"/>
      <c r="Y102" s="187"/>
      <c r="Z102" s="187"/>
      <c r="AA102" s="187"/>
      <c r="AB102" s="187"/>
      <c r="AC102" s="187"/>
      <c r="AD102" s="187"/>
      <c r="AE102" s="187"/>
      <c r="AF102" s="187"/>
      <c r="AG102" s="187"/>
      <c r="AH102" s="187"/>
      <c r="AI102" s="187"/>
    </row>
    <row r="103">
      <c r="A103" s="187"/>
      <c r="B103" s="187"/>
      <c r="C103" s="187"/>
      <c r="D103" s="187"/>
      <c r="E103" s="188" t="s">
        <v>3061</v>
      </c>
      <c r="F103" s="188">
        <v>9.793646649E9</v>
      </c>
      <c r="G103" s="187"/>
      <c r="H103" s="187"/>
      <c r="I103" s="188" t="s">
        <v>3062</v>
      </c>
      <c r="J103" s="187"/>
      <c r="K103" s="187"/>
      <c r="L103" s="187"/>
      <c r="M103" s="187"/>
      <c r="N103" s="187"/>
      <c r="O103" s="187"/>
      <c r="P103" s="187"/>
      <c r="Q103" s="187"/>
      <c r="R103" s="187"/>
      <c r="S103" s="187"/>
      <c r="T103" s="187"/>
      <c r="U103" s="187"/>
      <c r="V103" s="187"/>
      <c r="W103" s="187"/>
      <c r="X103" s="187"/>
      <c r="Y103" s="187"/>
      <c r="Z103" s="187"/>
      <c r="AA103" s="187"/>
      <c r="AB103" s="187"/>
      <c r="AC103" s="187"/>
      <c r="AD103" s="187"/>
      <c r="AE103" s="187"/>
      <c r="AF103" s="187"/>
      <c r="AG103" s="187"/>
      <c r="AH103" s="187"/>
      <c r="AI103" s="187"/>
    </row>
    <row r="104">
      <c r="A104" s="187"/>
      <c r="B104" s="187"/>
      <c r="C104" s="187"/>
      <c r="D104" s="187"/>
      <c r="E104" s="187"/>
      <c r="F104" s="188" t="s">
        <v>3063</v>
      </c>
      <c r="G104" s="187"/>
      <c r="H104" s="187"/>
      <c r="I104" s="200" t="s">
        <v>3064</v>
      </c>
      <c r="J104" s="187"/>
      <c r="K104" s="187"/>
      <c r="L104" s="187"/>
      <c r="M104" s="187"/>
      <c r="N104" s="187"/>
      <c r="O104" s="187"/>
      <c r="P104" s="187"/>
      <c r="Q104" s="187"/>
      <c r="R104" s="187"/>
      <c r="S104" s="187"/>
      <c r="T104" s="187"/>
      <c r="U104" s="187"/>
      <c r="V104" s="187"/>
      <c r="W104" s="187"/>
      <c r="X104" s="187"/>
      <c r="Y104" s="187"/>
      <c r="Z104" s="187"/>
      <c r="AA104" s="187"/>
      <c r="AB104" s="187"/>
      <c r="AC104" s="187"/>
      <c r="AD104" s="187"/>
      <c r="AE104" s="187"/>
      <c r="AF104" s="187"/>
      <c r="AG104" s="187"/>
      <c r="AH104" s="187"/>
      <c r="AI104" s="187"/>
    </row>
    <row r="105">
      <c r="A105" s="187"/>
      <c r="B105" s="187"/>
      <c r="C105" s="187"/>
      <c r="D105" s="187"/>
      <c r="E105" s="188" t="s">
        <v>3065</v>
      </c>
      <c r="F105" s="188" t="s">
        <v>3066</v>
      </c>
      <c r="G105" s="187"/>
      <c r="H105" s="187"/>
      <c r="I105" s="200" t="s">
        <v>3067</v>
      </c>
      <c r="J105" s="187"/>
      <c r="K105" s="187"/>
      <c r="L105" s="187"/>
      <c r="M105" s="187"/>
      <c r="N105" s="187"/>
      <c r="O105" s="187"/>
      <c r="P105" s="187"/>
      <c r="Q105" s="187"/>
      <c r="R105" s="187"/>
      <c r="S105" s="187"/>
      <c r="T105" s="187"/>
      <c r="U105" s="187"/>
      <c r="V105" s="187"/>
      <c r="W105" s="187"/>
      <c r="X105" s="187"/>
      <c r="Y105" s="187"/>
      <c r="Z105" s="187"/>
      <c r="AA105" s="187"/>
      <c r="AB105" s="187"/>
      <c r="AC105" s="187"/>
      <c r="AD105" s="187"/>
      <c r="AE105" s="187"/>
      <c r="AF105" s="187"/>
      <c r="AG105" s="187"/>
      <c r="AH105" s="187"/>
      <c r="AI105" s="187"/>
    </row>
    <row r="106">
      <c r="A106" s="187"/>
      <c r="B106" s="187"/>
      <c r="C106" s="187"/>
      <c r="D106" s="187"/>
      <c r="E106" s="188" t="s">
        <v>3068</v>
      </c>
      <c r="F106" s="187"/>
      <c r="G106" s="187"/>
      <c r="H106" s="188" t="s">
        <v>3069</v>
      </c>
      <c r="I106" s="188" t="s">
        <v>3070</v>
      </c>
      <c r="J106" s="187"/>
      <c r="K106" s="187"/>
      <c r="L106" s="187"/>
      <c r="M106" s="192"/>
      <c r="N106" s="187"/>
      <c r="O106" s="187"/>
      <c r="P106" s="187"/>
      <c r="Q106" s="187"/>
      <c r="R106" s="187"/>
      <c r="S106" s="187"/>
      <c r="T106" s="187"/>
      <c r="U106" s="187"/>
      <c r="V106" s="187"/>
      <c r="W106" s="187"/>
      <c r="X106" s="187"/>
      <c r="Y106" s="187"/>
      <c r="Z106" s="187"/>
      <c r="AA106" s="187"/>
      <c r="AB106" s="187"/>
      <c r="AC106" s="187"/>
      <c r="AD106" s="187"/>
      <c r="AE106" s="187"/>
      <c r="AF106" s="187"/>
      <c r="AG106" s="187"/>
      <c r="AH106" s="187"/>
      <c r="AI106" s="187"/>
    </row>
    <row r="107">
      <c r="A107" s="187"/>
      <c r="B107" s="187"/>
      <c r="C107" s="187"/>
      <c r="D107" s="187"/>
      <c r="E107" s="188" t="s">
        <v>3071</v>
      </c>
      <c r="F107" s="188" t="s">
        <v>3072</v>
      </c>
      <c r="G107" s="187"/>
      <c r="H107" s="187"/>
      <c r="I107" s="188" t="s">
        <v>3073</v>
      </c>
      <c r="J107" s="187"/>
      <c r="K107" s="187"/>
      <c r="L107" s="187"/>
      <c r="M107" s="192"/>
      <c r="N107" s="187"/>
      <c r="O107" s="187"/>
      <c r="P107" s="187"/>
      <c r="Q107" s="187"/>
      <c r="R107" s="187"/>
      <c r="S107" s="187"/>
      <c r="T107" s="187"/>
      <c r="U107" s="187"/>
      <c r="V107" s="187"/>
      <c r="W107" s="187"/>
      <c r="X107" s="187"/>
      <c r="Y107" s="187"/>
      <c r="Z107" s="187"/>
      <c r="AA107" s="187"/>
      <c r="AB107" s="187"/>
      <c r="AC107" s="187"/>
      <c r="AD107" s="187"/>
      <c r="AE107" s="187"/>
      <c r="AF107" s="187"/>
      <c r="AG107" s="187"/>
      <c r="AH107" s="187"/>
      <c r="AI107" s="187"/>
    </row>
    <row r="108">
      <c r="A108" s="187"/>
      <c r="B108" s="187"/>
      <c r="C108" s="187"/>
      <c r="D108" s="187"/>
      <c r="E108" s="188" t="s">
        <v>3074</v>
      </c>
      <c r="F108" s="188" t="s">
        <v>3075</v>
      </c>
      <c r="G108" s="187"/>
      <c r="H108" s="187"/>
      <c r="I108" s="188" t="s">
        <v>3060</v>
      </c>
      <c r="J108" s="187"/>
      <c r="K108" s="187"/>
      <c r="L108" s="187"/>
      <c r="M108" s="192"/>
      <c r="N108" s="187"/>
      <c r="O108" s="187"/>
      <c r="P108" s="187"/>
      <c r="Q108" s="187"/>
      <c r="R108" s="187"/>
      <c r="S108" s="187"/>
      <c r="T108" s="187"/>
      <c r="U108" s="187"/>
      <c r="V108" s="187"/>
      <c r="W108" s="187"/>
      <c r="X108" s="187"/>
      <c r="Y108" s="187"/>
      <c r="Z108" s="187"/>
      <c r="AA108" s="187"/>
      <c r="AB108" s="187"/>
      <c r="AC108" s="187"/>
      <c r="AD108" s="187"/>
      <c r="AE108" s="187"/>
      <c r="AF108" s="187"/>
      <c r="AG108" s="187"/>
      <c r="AH108" s="187"/>
      <c r="AI108" s="187"/>
    </row>
    <row r="109">
      <c r="A109" s="187"/>
      <c r="B109" s="187"/>
      <c r="C109" s="187"/>
      <c r="D109" s="187"/>
      <c r="E109" s="188" t="s">
        <v>3076</v>
      </c>
      <c r="F109" s="188">
        <v>8.378981313E9</v>
      </c>
      <c r="G109" s="187"/>
      <c r="H109" s="187"/>
      <c r="I109" s="188" t="s">
        <v>3077</v>
      </c>
      <c r="J109" s="187"/>
      <c r="K109" s="187"/>
      <c r="L109" s="187"/>
      <c r="M109" s="192"/>
      <c r="N109" s="187"/>
      <c r="O109" s="187"/>
      <c r="P109" s="187"/>
      <c r="Q109" s="187"/>
      <c r="R109" s="187"/>
      <c r="S109" s="187"/>
      <c r="T109" s="187"/>
      <c r="U109" s="187"/>
      <c r="V109" s="187"/>
      <c r="W109" s="187"/>
      <c r="X109" s="187"/>
      <c r="Y109" s="187"/>
      <c r="Z109" s="187"/>
      <c r="AA109" s="187"/>
      <c r="AB109" s="187"/>
      <c r="AC109" s="187"/>
      <c r="AD109" s="187"/>
      <c r="AE109" s="187"/>
      <c r="AF109" s="187"/>
      <c r="AG109" s="187"/>
      <c r="AH109" s="187"/>
      <c r="AI109" s="187"/>
    </row>
    <row r="110">
      <c r="A110" s="187"/>
      <c r="B110" s="187"/>
      <c r="C110" s="187"/>
      <c r="D110" s="187"/>
      <c r="E110" s="188" t="s">
        <v>3078</v>
      </c>
      <c r="F110" s="188">
        <v>9.89894688E9</v>
      </c>
      <c r="G110" s="188" t="s">
        <v>3079</v>
      </c>
      <c r="H110" s="187"/>
      <c r="I110" s="188" t="s">
        <v>3080</v>
      </c>
      <c r="J110" s="187"/>
      <c r="K110" s="187"/>
      <c r="L110" s="187"/>
      <c r="M110" s="192"/>
      <c r="N110" s="187"/>
      <c r="O110" s="187"/>
      <c r="P110" s="187"/>
      <c r="Q110" s="187"/>
      <c r="R110" s="187"/>
      <c r="S110" s="187"/>
      <c r="T110" s="187"/>
      <c r="U110" s="187"/>
      <c r="V110" s="187"/>
      <c r="W110" s="187"/>
      <c r="X110" s="187"/>
      <c r="Y110" s="187"/>
      <c r="Z110" s="187"/>
      <c r="AA110" s="187"/>
      <c r="AB110" s="187"/>
      <c r="AC110" s="187"/>
      <c r="AD110" s="187"/>
      <c r="AE110" s="187"/>
      <c r="AF110" s="187"/>
      <c r="AG110" s="187"/>
      <c r="AH110" s="187"/>
      <c r="AI110" s="187"/>
    </row>
    <row r="111">
      <c r="A111" s="188" t="s">
        <v>3081</v>
      </c>
      <c r="B111" s="203" t="s">
        <v>3082</v>
      </c>
      <c r="C111" s="204"/>
      <c r="D111" s="204"/>
      <c r="E111" s="203" t="s">
        <v>3083</v>
      </c>
      <c r="F111" s="203">
        <v>9.792656579E9</v>
      </c>
      <c r="G111" s="203"/>
      <c r="H111" s="203" t="s">
        <v>3084</v>
      </c>
      <c r="I111" s="203" t="s">
        <v>3085</v>
      </c>
      <c r="J111" s="188" t="s">
        <v>3086</v>
      </c>
      <c r="K111" s="187"/>
      <c r="L111" s="187"/>
      <c r="M111" s="192"/>
      <c r="N111" s="187"/>
      <c r="O111" s="187"/>
      <c r="P111" s="187"/>
      <c r="Q111" s="187"/>
      <c r="R111" s="187"/>
      <c r="S111" s="187"/>
      <c r="T111" s="187"/>
      <c r="U111" s="187"/>
      <c r="V111" s="187"/>
      <c r="W111" s="187"/>
      <c r="X111" s="187"/>
      <c r="Y111" s="187"/>
      <c r="Z111" s="187"/>
      <c r="AA111" s="187"/>
      <c r="AB111" s="187"/>
      <c r="AC111" s="187"/>
      <c r="AD111" s="187"/>
      <c r="AE111" s="187"/>
      <c r="AF111" s="187"/>
      <c r="AG111" s="187"/>
      <c r="AH111" s="187"/>
      <c r="AI111" s="187"/>
    </row>
    <row r="112">
      <c r="A112" s="187"/>
      <c r="B112" s="187"/>
      <c r="C112" s="187"/>
      <c r="D112" s="187"/>
      <c r="E112" s="188" t="s">
        <v>3087</v>
      </c>
      <c r="F112" s="188">
        <v>9.826051163E9</v>
      </c>
      <c r="G112" s="188" t="s">
        <v>3088</v>
      </c>
      <c r="H112" s="187"/>
      <c r="I112" s="188" t="s">
        <v>3089</v>
      </c>
      <c r="J112" s="187"/>
      <c r="K112" s="187"/>
      <c r="L112" s="187"/>
      <c r="M112" s="192"/>
      <c r="N112" s="187"/>
      <c r="O112" s="187"/>
      <c r="P112" s="187"/>
      <c r="Q112" s="187"/>
      <c r="R112" s="187"/>
      <c r="S112" s="187"/>
      <c r="T112" s="187"/>
      <c r="U112" s="187"/>
      <c r="V112" s="187"/>
      <c r="W112" s="187"/>
      <c r="X112" s="187"/>
      <c r="Y112" s="187"/>
      <c r="Z112" s="187"/>
      <c r="AA112" s="187"/>
      <c r="AB112" s="187"/>
      <c r="AC112" s="187"/>
      <c r="AD112" s="187"/>
      <c r="AE112" s="187"/>
      <c r="AF112" s="187"/>
      <c r="AG112" s="187"/>
      <c r="AH112" s="187"/>
      <c r="AI112" s="187"/>
    </row>
    <row r="113">
      <c r="A113" s="192"/>
      <c r="B113" s="192"/>
      <c r="C113" s="192"/>
      <c r="D113" s="192"/>
      <c r="E113" s="190" t="s">
        <v>3090</v>
      </c>
      <c r="F113" s="190">
        <v>7.737204405E9</v>
      </c>
      <c r="G113" s="190" t="s">
        <v>3091</v>
      </c>
      <c r="H113" s="192"/>
      <c r="I113" s="190" t="s">
        <v>3092</v>
      </c>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row>
    <row r="114">
      <c r="A114" s="187"/>
      <c r="B114" s="187"/>
      <c r="C114" s="187"/>
      <c r="D114" s="187"/>
      <c r="E114" s="188" t="s">
        <v>3093</v>
      </c>
      <c r="F114" s="187"/>
      <c r="G114" s="187"/>
      <c r="H114" s="187"/>
      <c r="I114" s="188" t="s">
        <v>3094</v>
      </c>
      <c r="J114" s="188" t="s">
        <v>3086</v>
      </c>
      <c r="K114" s="187"/>
      <c r="L114" s="187"/>
      <c r="M114" s="192"/>
      <c r="N114" s="187"/>
      <c r="O114" s="187"/>
      <c r="P114" s="187"/>
      <c r="Q114" s="187"/>
      <c r="R114" s="187"/>
      <c r="S114" s="187"/>
      <c r="T114" s="187"/>
      <c r="U114" s="187"/>
      <c r="V114" s="187"/>
      <c r="W114" s="187"/>
      <c r="X114" s="187"/>
      <c r="Y114" s="187"/>
      <c r="Z114" s="187"/>
      <c r="AA114" s="187"/>
      <c r="AB114" s="187"/>
      <c r="AC114" s="187"/>
      <c r="AD114" s="187"/>
      <c r="AE114" s="187"/>
      <c r="AF114" s="187"/>
      <c r="AG114" s="187"/>
      <c r="AH114" s="187"/>
      <c r="AI114" s="187"/>
    </row>
    <row r="115">
      <c r="A115" s="187"/>
      <c r="B115" s="187"/>
      <c r="C115" s="187"/>
      <c r="D115" s="187"/>
      <c r="E115" s="188" t="s">
        <v>3095</v>
      </c>
      <c r="F115" s="187"/>
      <c r="G115" s="188" t="s">
        <v>3096</v>
      </c>
      <c r="H115" s="187"/>
      <c r="I115" s="188" t="s">
        <v>3097</v>
      </c>
      <c r="J115" s="187"/>
      <c r="K115" s="187"/>
      <c r="L115" s="187"/>
      <c r="M115" s="192"/>
      <c r="N115" s="187"/>
      <c r="O115" s="187"/>
      <c r="P115" s="187"/>
      <c r="Q115" s="187"/>
      <c r="R115" s="187"/>
      <c r="S115" s="187"/>
      <c r="T115" s="187"/>
      <c r="U115" s="187"/>
      <c r="V115" s="187"/>
      <c r="W115" s="187"/>
      <c r="X115" s="187"/>
      <c r="Y115" s="187"/>
      <c r="Z115" s="187"/>
      <c r="AA115" s="187"/>
      <c r="AB115" s="187"/>
      <c r="AC115" s="187"/>
      <c r="AD115" s="187"/>
      <c r="AE115" s="187"/>
      <c r="AF115" s="187"/>
      <c r="AG115" s="187"/>
      <c r="AH115" s="187"/>
      <c r="AI115" s="187"/>
    </row>
    <row r="116">
      <c r="A116" s="187"/>
      <c r="B116" s="187"/>
      <c r="C116" s="187"/>
      <c r="D116" s="187"/>
      <c r="E116" s="188" t="s">
        <v>3098</v>
      </c>
      <c r="F116" s="187"/>
      <c r="G116" s="187"/>
      <c r="H116" s="187"/>
      <c r="I116" s="188" t="s">
        <v>3099</v>
      </c>
      <c r="J116" s="187"/>
      <c r="K116" s="187"/>
      <c r="L116" s="187"/>
      <c r="M116" s="192"/>
      <c r="N116" s="187"/>
      <c r="O116" s="187"/>
      <c r="P116" s="187"/>
      <c r="Q116" s="187"/>
      <c r="R116" s="187"/>
      <c r="S116" s="187"/>
      <c r="T116" s="187"/>
      <c r="U116" s="187"/>
      <c r="V116" s="187"/>
      <c r="W116" s="187"/>
      <c r="X116" s="187"/>
      <c r="Y116" s="187"/>
      <c r="Z116" s="187"/>
      <c r="AA116" s="187"/>
      <c r="AB116" s="187"/>
      <c r="AC116" s="187"/>
      <c r="AD116" s="187"/>
      <c r="AE116" s="187"/>
      <c r="AF116" s="187"/>
      <c r="AG116" s="187"/>
      <c r="AH116" s="187"/>
      <c r="AI116" s="187"/>
    </row>
    <row r="117">
      <c r="A117" s="187"/>
      <c r="B117" s="187"/>
      <c r="C117" s="187"/>
      <c r="D117" s="187"/>
      <c r="E117" s="188" t="s">
        <v>3100</v>
      </c>
      <c r="F117" s="187"/>
      <c r="G117" s="187"/>
      <c r="H117" s="187"/>
      <c r="I117" s="188" t="s">
        <v>3101</v>
      </c>
      <c r="J117" s="187"/>
      <c r="K117" s="187"/>
      <c r="L117" s="187"/>
      <c r="M117" s="192"/>
      <c r="N117" s="187"/>
      <c r="O117" s="187"/>
      <c r="P117" s="187"/>
      <c r="Q117" s="187"/>
      <c r="R117" s="187"/>
      <c r="S117" s="187"/>
      <c r="T117" s="187"/>
      <c r="U117" s="187"/>
      <c r="V117" s="187"/>
      <c r="W117" s="187"/>
      <c r="X117" s="187"/>
      <c r="Y117" s="187"/>
      <c r="Z117" s="187"/>
      <c r="AA117" s="187"/>
      <c r="AB117" s="187"/>
      <c r="AC117" s="187"/>
      <c r="AD117" s="187"/>
      <c r="AE117" s="187"/>
      <c r="AF117" s="187"/>
      <c r="AG117" s="187"/>
      <c r="AH117" s="187"/>
      <c r="AI117" s="187"/>
    </row>
    <row r="118">
      <c r="A118" s="187"/>
      <c r="B118" s="188" t="s">
        <v>3102</v>
      </c>
      <c r="C118" s="187"/>
      <c r="D118" s="187"/>
      <c r="E118" s="188" t="s">
        <v>3103</v>
      </c>
      <c r="F118" s="187"/>
      <c r="G118" s="187"/>
      <c r="H118" s="187"/>
      <c r="I118" s="191" t="s">
        <v>3104</v>
      </c>
      <c r="J118" s="187"/>
      <c r="K118" s="187"/>
      <c r="L118" s="187"/>
      <c r="M118" s="192"/>
      <c r="N118" s="187"/>
      <c r="O118" s="187"/>
      <c r="P118" s="187"/>
      <c r="Q118" s="187"/>
      <c r="R118" s="187"/>
      <c r="S118" s="187"/>
      <c r="T118" s="187"/>
      <c r="U118" s="187"/>
      <c r="V118" s="187"/>
      <c r="W118" s="187"/>
      <c r="X118" s="187"/>
      <c r="Y118" s="187"/>
      <c r="Z118" s="187"/>
      <c r="AA118" s="187"/>
      <c r="AB118" s="187"/>
      <c r="AC118" s="187"/>
      <c r="AD118" s="187"/>
      <c r="AE118" s="187"/>
      <c r="AF118" s="187"/>
      <c r="AG118" s="187"/>
      <c r="AH118" s="187"/>
      <c r="AI118" s="187"/>
    </row>
    <row r="119">
      <c r="A119" s="187"/>
      <c r="B119" s="187"/>
      <c r="C119" s="187"/>
      <c r="D119" s="187"/>
      <c r="E119" s="188" t="s">
        <v>3105</v>
      </c>
      <c r="F119" s="187"/>
      <c r="G119" s="187"/>
      <c r="H119" s="187"/>
      <c r="I119" s="188" t="s">
        <v>2735</v>
      </c>
      <c r="J119" s="187"/>
      <c r="K119" s="187"/>
      <c r="L119" s="187"/>
      <c r="M119" s="192"/>
      <c r="N119" s="187"/>
      <c r="O119" s="187"/>
      <c r="P119" s="187"/>
      <c r="Q119" s="187"/>
      <c r="R119" s="187"/>
      <c r="S119" s="187"/>
      <c r="T119" s="187"/>
      <c r="U119" s="187"/>
      <c r="V119" s="187"/>
      <c r="W119" s="187"/>
      <c r="X119" s="187"/>
      <c r="Y119" s="187"/>
      <c r="Z119" s="187"/>
      <c r="AA119" s="187"/>
      <c r="AB119" s="187"/>
      <c r="AC119" s="187"/>
      <c r="AD119" s="187"/>
      <c r="AE119" s="187"/>
      <c r="AF119" s="187"/>
      <c r="AG119" s="187"/>
      <c r="AH119" s="187"/>
      <c r="AI119" s="187"/>
    </row>
    <row r="120">
      <c r="A120" s="187"/>
      <c r="B120" s="187"/>
      <c r="C120" s="187"/>
      <c r="D120" s="187"/>
      <c r="E120" s="188" t="s">
        <v>3106</v>
      </c>
      <c r="F120" s="187"/>
      <c r="G120" s="187"/>
      <c r="H120" s="187"/>
      <c r="I120" s="191" t="s">
        <v>3107</v>
      </c>
      <c r="J120" s="211">
        <v>44725.0</v>
      </c>
      <c r="K120" s="187"/>
      <c r="L120" s="187"/>
      <c r="M120" s="192"/>
      <c r="N120" s="187"/>
      <c r="O120" s="187"/>
      <c r="P120" s="187"/>
      <c r="Q120" s="187"/>
      <c r="R120" s="187"/>
      <c r="S120" s="187"/>
      <c r="T120" s="187"/>
      <c r="U120" s="187"/>
      <c r="V120" s="187"/>
      <c r="W120" s="187"/>
      <c r="X120" s="187"/>
      <c r="Y120" s="187"/>
      <c r="Z120" s="187"/>
      <c r="AA120" s="187"/>
      <c r="AB120" s="187"/>
      <c r="AC120" s="187"/>
      <c r="AD120" s="187"/>
      <c r="AE120" s="187"/>
      <c r="AF120" s="187"/>
      <c r="AG120" s="187"/>
      <c r="AH120" s="187"/>
      <c r="AI120" s="187"/>
    </row>
    <row r="121">
      <c r="A121" s="187"/>
      <c r="B121" s="187"/>
      <c r="C121" s="187"/>
      <c r="D121" s="187"/>
      <c r="E121" s="188" t="s">
        <v>3108</v>
      </c>
      <c r="F121" s="187"/>
      <c r="G121" s="187"/>
      <c r="H121" s="187"/>
      <c r="I121" s="188" t="s">
        <v>3109</v>
      </c>
      <c r="J121" s="187"/>
      <c r="K121" s="187"/>
      <c r="L121" s="187"/>
      <c r="M121" s="192"/>
      <c r="N121" s="187"/>
      <c r="O121" s="187"/>
      <c r="P121" s="187"/>
      <c r="Q121" s="187"/>
      <c r="R121" s="187"/>
      <c r="S121" s="187"/>
      <c r="T121" s="187"/>
      <c r="U121" s="187"/>
      <c r="V121" s="187"/>
      <c r="W121" s="187"/>
      <c r="X121" s="187"/>
      <c r="Y121" s="187"/>
      <c r="Z121" s="187"/>
      <c r="AA121" s="187"/>
      <c r="AB121" s="187"/>
      <c r="AC121" s="187"/>
      <c r="AD121" s="187"/>
      <c r="AE121" s="187"/>
      <c r="AF121" s="187"/>
      <c r="AG121" s="187"/>
      <c r="AH121" s="187"/>
      <c r="AI121" s="187"/>
    </row>
    <row r="122">
      <c r="A122" s="187"/>
      <c r="B122" s="194"/>
      <c r="C122" s="194"/>
      <c r="D122" s="194"/>
      <c r="E122" s="212" t="s">
        <v>3110</v>
      </c>
      <c r="F122" s="194"/>
      <c r="G122" s="194"/>
      <c r="H122" s="194"/>
      <c r="I122" s="213" t="s">
        <v>3111</v>
      </c>
      <c r="J122" s="187"/>
      <c r="K122" s="187"/>
      <c r="L122" s="187"/>
      <c r="M122" s="192"/>
      <c r="N122" s="187"/>
      <c r="O122" s="187"/>
      <c r="P122" s="187"/>
      <c r="Q122" s="187"/>
      <c r="R122" s="187"/>
      <c r="S122" s="187"/>
      <c r="T122" s="187"/>
      <c r="U122" s="187"/>
      <c r="V122" s="187"/>
      <c r="W122" s="187"/>
      <c r="X122" s="187"/>
      <c r="Y122" s="187"/>
      <c r="Z122" s="187"/>
      <c r="AA122" s="187"/>
      <c r="AB122" s="187"/>
      <c r="AC122" s="187"/>
      <c r="AD122" s="187"/>
      <c r="AE122" s="187"/>
      <c r="AF122" s="187"/>
      <c r="AG122" s="187"/>
      <c r="AH122" s="187"/>
      <c r="AI122" s="187"/>
    </row>
    <row r="123">
      <c r="A123" s="187"/>
      <c r="B123" s="187"/>
      <c r="C123" s="187"/>
      <c r="D123" s="187"/>
      <c r="E123" s="188" t="s">
        <v>3112</v>
      </c>
      <c r="F123" s="187"/>
      <c r="G123" s="187"/>
      <c r="H123" s="187"/>
      <c r="I123" s="213" t="s">
        <v>3113</v>
      </c>
      <c r="J123" s="187"/>
      <c r="K123" s="187"/>
      <c r="L123" s="187"/>
      <c r="M123" s="192"/>
      <c r="N123" s="187"/>
      <c r="O123" s="187"/>
      <c r="P123" s="187"/>
      <c r="Q123" s="187"/>
      <c r="R123" s="187"/>
      <c r="S123" s="187"/>
      <c r="T123" s="187"/>
      <c r="U123" s="187"/>
      <c r="V123" s="187"/>
      <c r="W123" s="187"/>
      <c r="X123" s="187"/>
      <c r="Y123" s="187"/>
      <c r="Z123" s="187"/>
      <c r="AA123" s="187"/>
      <c r="AB123" s="187"/>
      <c r="AC123" s="187"/>
      <c r="AD123" s="187"/>
      <c r="AE123" s="187"/>
      <c r="AF123" s="187"/>
      <c r="AG123" s="187"/>
      <c r="AH123" s="187"/>
      <c r="AI123" s="187"/>
    </row>
    <row r="124">
      <c r="A124" s="187"/>
      <c r="B124" s="187"/>
      <c r="C124" s="187"/>
      <c r="D124" s="187"/>
      <c r="E124" s="188" t="s">
        <v>3114</v>
      </c>
      <c r="F124" s="187"/>
      <c r="G124" s="187"/>
      <c r="H124" s="187"/>
      <c r="I124" s="213" t="s">
        <v>3115</v>
      </c>
      <c r="J124" s="187"/>
      <c r="K124" s="187"/>
      <c r="L124" s="187"/>
      <c r="M124" s="192"/>
      <c r="N124" s="187"/>
      <c r="O124" s="187"/>
      <c r="P124" s="187"/>
      <c r="Q124" s="187"/>
      <c r="R124" s="187"/>
      <c r="S124" s="187"/>
      <c r="T124" s="187"/>
      <c r="U124" s="187"/>
      <c r="V124" s="187"/>
      <c r="W124" s="187"/>
      <c r="X124" s="187"/>
      <c r="Y124" s="187"/>
      <c r="Z124" s="187"/>
      <c r="AA124" s="187"/>
      <c r="AB124" s="187"/>
      <c r="AC124" s="187"/>
      <c r="AD124" s="187"/>
      <c r="AE124" s="187"/>
      <c r="AF124" s="187"/>
      <c r="AG124" s="187"/>
      <c r="AH124" s="187"/>
      <c r="AI124" s="187"/>
    </row>
    <row r="125">
      <c r="A125" s="187"/>
      <c r="B125" s="187"/>
      <c r="C125" s="187"/>
      <c r="D125" s="187"/>
      <c r="E125" s="188" t="s">
        <v>3116</v>
      </c>
      <c r="F125" s="187"/>
      <c r="G125" s="187"/>
      <c r="H125" s="187"/>
      <c r="I125" s="213" t="s">
        <v>3117</v>
      </c>
      <c r="J125" s="187"/>
      <c r="K125" s="187"/>
      <c r="L125" s="187"/>
      <c r="M125" s="192"/>
      <c r="N125" s="187"/>
      <c r="O125" s="187"/>
      <c r="P125" s="187"/>
      <c r="Q125" s="187"/>
      <c r="R125" s="187"/>
      <c r="S125" s="187"/>
      <c r="T125" s="187"/>
      <c r="U125" s="187"/>
      <c r="V125" s="187"/>
      <c r="W125" s="187"/>
      <c r="X125" s="187"/>
      <c r="Y125" s="187"/>
      <c r="Z125" s="187"/>
      <c r="AA125" s="187"/>
      <c r="AB125" s="187"/>
      <c r="AC125" s="187"/>
      <c r="AD125" s="187"/>
      <c r="AE125" s="187"/>
      <c r="AF125" s="187"/>
      <c r="AG125" s="187"/>
      <c r="AH125" s="187"/>
      <c r="AI125" s="187"/>
    </row>
    <row r="126">
      <c r="A126" s="187"/>
      <c r="B126" s="187"/>
      <c r="C126" s="187"/>
      <c r="D126" s="187"/>
      <c r="E126" s="188" t="s">
        <v>3118</v>
      </c>
      <c r="F126" s="187"/>
      <c r="G126" s="187"/>
      <c r="H126" s="187"/>
      <c r="I126" s="214" t="s">
        <v>3119</v>
      </c>
      <c r="J126" s="187"/>
      <c r="K126" s="187"/>
      <c r="L126" s="187"/>
      <c r="M126" s="192"/>
      <c r="N126" s="187"/>
      <c r="O126" s="187"/>
      <c r="P126" s="187"/>
      <c r="Q126" s="187"/>
      <c r="R126" s="187"/>
      <c r="S126" s="187"/>
      <c r="T126" s="187"/>
      <c r="U126" s="187"/>
      <c r="V126" s="187"/>
      <c r="W126" s="187"/>
      <c r="X126" s="187"/>
      <c r="Y126" s="187"/>
      <c r="Z126" s="187"/>
      <c r="AA126" s="187"/>
      <c r="AB126" s="187"/>
      <c r="AC126" s="187"/>
      <c r="AD126" s="187"/>
      <c r="AE126" s="187"/>
      <c r="AF126" s="187"/>
      <c r="AG126" s="187"/>
      <c r="AH126" s="187"/>
      <c r="AI126" s="187"/>
    </row>
    <row r="127">
      <c r="A127" s="187"/>
      <c r="B127" s="187"/>
      <c r="C127" s="187"/>
      <c r="D127" s="187"/>
      <c r="E127" s="188" t="s">
        <v>3120</v>
      </c>
      <c r="F127" s="187"/>
      <c r="G127" s="187"/>
      <c r="H127" s="187"/>
      <c r="I127" s="188" t="s">
        <v>3121</v>
      </c>
      <c r="J127" s="187"/>
      <c r="K127" s="187"/>
      <c r="L127" s="187"/>
      <c r="M127" s="192"/>
      <c r="N127" s="187"/>
      <c r="O127" s="187"/>
      <c r="P127" s="187"/>
      <c r="Q127" s="187"/>
      <c r="R127" s="187"/>
      <c r="S127" s="187"/>
      <c r="T127" s="187"/>
      <c r="U127" s="187"/>
      <c r="V127" s="187"/>
      <c r="W127" s="187"/>
      <c r="X127" s="187"/>
      <c r="Y127" s="187"/>
      <c r="Z127" s="187"/>
      <c r="AA127" s="187"/>
      <c r="AB127" s="187"/>
      <c r="AC127" s="187"/>
      <c r="AD127" s="187"/>
      <c r="AE127" s="187"/>
      <c r="AF127" s="187"/>
      <c r="AG127" s="187"/>
      <c r="AH127" s="187"/>
      <c r="AI127" s="187"/>
    </row>
    <row r="128">
      <c r="A128" s="187"/>
      <c r="B128" s="187"/>
      <c r="C128" s="187"/>
      <c r="D128" s="187"/>
      <c r="E128" s="188" t="s">
        <v>3122</v>
      </c>
      <c r="F128" s="187"/>
      <c r="G128" s="187"/>
      <c r="H128" s="188" t="s">
        <v>3123</v>
      </c>
      <c r="I128" s="188" t="s">
        <v>3124</v>
      </c>
      <c r="J128" s="188" t="s">
        <v>2690</v>
      </c>
      <c r="K128" s="187"/>
      <c r="L128" s="187"/>
      <c r="M128" s="192"/>
      <c r="N128" s="187"/>
      <c r="O128" s="187"/>
      <c r="P128" s="187"/>
      <c r="Q128" s="187"/>
      <c r="R128" s="187"/>
      <c r="S128" s="187"/>
      <c r="T128" s="187"/>
      <c r="U128" s="187"/>
      <c r="V128" s="187"/>
      <c r="W128" s="187"/>
      <c r="X128" s="187"/>
      <c r="Y128" s="187"/>
      <c r="Z128" s="187"/>
      <c r="AA128" s="187"/>
      <c r="AB128" s="187"/>
      <c r="AC128" s="187"/>
      <c r="AD128" s="187"/>
      <c r="AE128" s="187"/>
      <c r="AF128" s="187"/>
      <c r="AG128" s="187"/>
      <c r="AH128" s="187"/>
      <c r="AI128" s="187"/>
    </row>
    <row r="129">
      <c r="A129" s="187"/>
      <c r="B129" s="187"/>
      <c r="C129" s="194"/>
      <c r="D129" s="187"/>
      <c r="E129" s="188" t="s">
        <v>3125</v>
      </c>
      <c r="F129" s="187"/>
      <c r="G129" s="187"/>
      <c r="H129" s="187"/>
      <c r="I129" s="188" t="s">
        <v>3126</v>
      </c>
      <c r="J129" s="187"/>
      <c r="K129" s="187"/>
      <c r="L129" s="187"/>
      <c r="M129" s="192"/>
      <c r="N129" s="187"/>
      <c r="O129" s="187"/>
      <c r="P129" s="187"/>
      <c r="Q129" s="187"/>
      <c r="R129" s="187"/>
      <c r="S129" s="187"/>
      <c r="T129" s="187"/>
      <c r="U129" s="187"/>
      <c r="V129" s="187"/>
      <c r="W129" s="187"/>
      <c r="X129" s="187"/>
      <c r="Y129" s="187"/>
      <c r="Z129" s="187"/>
      <c r="AA129" s="187"/>
      <c r="AB129" s="187"/>
      <c r="AC129" s="187"/>
      <c r="AD129" s="187"/>
      <c r="AE129" s="187"/>
      <c r="AF129" s="187"/>
      <c r="AG129" s="187"/>
      <c r="AH129" s="187"/>
      <c r="AI129" s="187"/>
    </row>
    <row r="130">
      <c r="A130" s="187"/>
      <c r="B130" s="187"/>
      <c r="C130" s="187"/>
      <c r="D130" s="187"/>
      <c r="E130" s="188" t="s">
        <v>3127</v>
      </c>
      <c r="F130" s="187"/>
      <c r="G130" s="187"/>
      <c r="H130" s="188" t="s">
        <v>3128</v>
      </c>
      <c r="I130" s="188" t="s">
        <v>3129</v>
      </c>
      <c r="J130" s="187"/>
      <c r="K130" s="187"/>
      <c r="L130" s="187"/>
      <c r="M130" s="192"/>
      <c r="N130" s="187"/>
      <c r="O130" s="187"/>
      <c r="P130" s="187"/>
      <c r="Q130" s="187"/>
      <c r="R130" s="187"/>
      <c r="S130" s="187"/>
      <c r="T130" s="187"/>
      <c r="U130" s="187"/>
      <c r="V130" s="187"/>
      <c r="W130" s="187"/>
      <c r="X130" s="187"/>
      <c r="Y130" s="187"/>
      <c r="Z130" s="187"/>
      <c r="AA130" s="187"/>
      <c r="AB130" s="187"/>
      <c r="AC130" s="187"/>
      <c r="AD130" s="187"/>
      <c r="AE130" s="187"/>
      <c r="AF130" s="187"/>
      <c r="AG130" s="187"/>
      <c r="AH130" s="187"/>
      <c r="AI130" s="187"/>
    </row>
    <row r="131">
      <c r="A131" s="187"/>
      <c r="B131" s="187"/>
      <c r="C131" s="187"/>
      <c r="D131" s="187"/>
      <c r="E131" s="188" t="s">
        <v>3130</v>
      </c>
      <c r="F131" s="187"/>
      <c r="G131" s="187"/>
      <c r="H131" s="187"/>
      <c r="I131" s="188" t="s">
        <v>3131</v>
      </c>
      <c r="J131" s="187"/>
      <c r="K131" s="187"/>
      <c r="L131" s="187"/>
      <c r="M131" s="192"/>
      <c r="N131" s="187"/>
      <c r="O131" s="187"/>
      <c r="P131" s="187"/>
      <c r="Q131" s="187"/>
      <c r="R131" s="187"/>
      <c r="S131" s="187"/>
      <c r="T131" s="187"/>
      <c r="U131" s="187"/>
      <c r="V131" s="187"/>
      <c r="W131" s="187"/>
      <c r="X131" s="187"/>
      <c r="Y131" s="187"/>
      <c r="Z131" s="187"/>
      <c r="AA131" s="187"/>
      <c r="AB131" s="187"/>
      <c r="AC131" s="187"/>
      <c r="AD131" s="187"/>
      <c r="AE131" s="187"/>
      <c r="AF131" s="187"/>
      <c r="AG131" s="187"/>
      <c r="AH131" s="187"/>
      <c r="AI131" s="187"/>
    </row>
    <row r="132">
      <c r="A132" s="187"/>
      <c r="B132" s="187"/>
      <c r="C132" s="187"/>
      <c r="D132" s="187"/>
      <c r="E132" s="188" t="s">
        <v>3132</v>
      </c>
      <c r="F132" s="187"/>
      <c r="G132" s="187"/>
      <c r="H132" s="187"/>
      <c r="I132" s="188" t="s">
        <v>3133</v>
      </c>
      <c r="J132" s="187"/>
      <c r="K132" s="187"/>
      <c r="L132" s="187"/>
      <c r="M132" s="192"/>
      <c r="N132" s="187"/>
      <c r="O132" s="187"/>
      <c r="P132" s="187"/>
      <c r="Q132" s="187"/>
      <c r="R132" s="187"/>
      <c r="S132" s="187"/>
      <c r="T132" s="187"/>
      <c r="U132" s="187"/>
      <c r="V132" s="187"/>
      <c r="W132" s="187"/>
      <c r="X132" s="187"/>
      <c r="Y132" s="187"/>
      <c r="Z132" s="187"/>
      <c r="AA132" s="187"/>
      <c r="AB132" s="187"/>
      <c r="AC132" s="187"/>
      <c r="AD132" s="187"/>
      <c r="AE132" s="187"/>
      <c r="AF132" s="187"/>
      <c r="AG132" s="187"/>
      <c r="AH132" s="187"/>
      <c r="AI132" s="187"/>
    </row>
    <row r="133">
      <c r="A133" s="187"/>
      <c r="B133" s="188" t="s">
        <v>2407</v>
      </c>
      <c r="C133" s="188" t="s">
        <v>3134</v>
      </c>
      <c r="D133" s="187"/>
      <c r="E133" s="188" t="s">
        <v>3135</v>
      </c>
      <c r="F133" s="187"/>
      <c r="G133" s="187"/>
      <c r="H133" s="187"/>
      <c r="I133" s="200" t="s">
        <v>3136</v>
      </c>
      <c r="J133" s="187"/>
      <c r="K133" s="187"/>
      <c r="L133" s="187"/>
      <c r="M133" s="192"/>
      <c r="N133" s="187"/>
      <c r="O133" s="187"/>
      <c r="P133" s="187"/>
      <c r="Q133" s="187"/>
      <c r="R133" s="187"/>
      <c r="S133" s="187"/>
      <c r="T133" s="187"/>
      <c r="U133" s="187"/>
      <c r="V133" s="187"/>
      <c r="W133" s="187"/>
      <c r="X133" s="187"/>
      <c r="Y133" s="187"/>
      <c r="Z133" s="187"/>
      <c r="AA133" s="187"/>
      <c r="AB133" s="187"/>
      <c r="AC133" s="187"/>
      <c r="AD133" s="187"/>
      <c r="AE133" s="187"/>
      <c r="AF133" s="187"/>
      <c r="AG133" s="187"/>
      <c r="AH133" s="187"/>
      <c r="AI133" s="187"/>
    </row>
    <row r="134">
      <c r="A134" s="187"/>
      <c r="B134" s="187"/>
      <c r="C134" s="187"/>
      <c r="D134" s="187"/>
      <c r="E134" s="188" t="s">
        <v>3137</v>
      </c>
      <c r="F134" s="187"/>
      <c r="G134" s="187"/>
      <c r="H134" s="188" t="s">
        <v>2279</v>
      </c>
      <c r="I134" s="188" t="s">
        <v>2735</v>
      </c>
      <c r="J134" s="187"/>
      <c r="K134" s="187"/>
      <c r="L134" s="187"/>
      <c r="M134" s="192"/>
      <c r="N134" s="187"/>
      <c r="O134" s="187"/>
      <c r="P134" s="187"/>
      <c r="Q134" s="187"/>
      <c r="R134" s="187"/>
      <c r="S134" s="187"/>
      <c r="T134" s="187"/>
      <c r="U134" s="187"/>
      <c r="V134" s="187"/>
      <c r="W134" s="187"/>
      <c r="X134" s="187"/>
      <c r="Y134" s="187"/>
      <c r="Z134" s="187"/>
      <c r="AA134" s="187"/>
      <c r="AB134" s="187"/>
      <c r="AC134" s="187"/>
      <c r="AD134" s="187"/>
      <c r="AE134" s="187"/>
      <c r="AF134" s="187"/>
      <c r="AG134" s="187"/>
      <c r="AH134" s="187"/>
      <c r="AI134" s="187"/>
    </row>
    <row r="135">
      <c r="A135" s="187"/>
      <c r="B135" s="187"/>
      <c r="C135" s="187"/>
      <c r="D135" s="187"/>
      <c r="E135" s="188" t="s">
        <v>3138</v>
      </c>
      <c r="F135" s="188"/>
      <c r="G135" s="187"/>
      <c r="H135" s="187"/>
      <c r="I135" s="188" t="s">
        <v>3139</v>
      </c>
      <c r="J135" s="187"/>
      <c r="K135" s="187"/>
      <c r="L135" s="187"/>
      <c r="M135" s="192"/>
      <c r="N135" s="187"/>
      <c r="O135" s="187"/>
      <c r="P135" s="187"/>
      <c r="Q135" s="187"/>
      <c r="R135" s="187"/>
      <c r="S135" s="187"/>
      <c r="T135" s="187"/>
      <c r="U135" s="187"/>
      <c r="V135" s="187"/>
      <c r="W135" s="187"/>
      <c r="X135" s="187"/>
      <c r="Y135" s="187"/>
      <c r="Z135" s="187"/>
      <c r="AA135" s="187"/>
      <c r="AB135" s="187"/>
      <c r="AC135" s="187"/>
      <c r="AD135" s="187"/>
      <c r="AE135" s="187"/>
      <c r="AF135" s="187"/>
      <c r="AG135" s="187"/>
      <c r="AH135" s="187"/>
      <c r="AI135" s="187"/>
    </row>
    <row r="136">
      <c r="A136" s="187"/>
      <c r="B136" s="188" t="s">
        <v>3140</v>
      </c>
      <c r="C136" s="187"/>
      <c r="D136" s="187"/>
      <c r="E136" s="188" t="s">
        <v>3141</v>
      </c>
      <c r="F136" s="187"/>
      <c r="G136" s="187"/>
      <c r="H136" s="187"/>
      <c r="I136" s="188" t="s">
        <v>3142</v>
      </c>
      <c r="J136" s="187"/>
      <c r="K136" s="187"/>
      <c r="L136" s="187"/>
      <c r="M136" s="192"/>
      <c r="N136" s="187"/>
      <c r="O136" s="187"/>
      <c r="P136" s="187"/>
      <c r="Q136" s="187"/>
      <c r="R136" s="187"/>
      <c r="S136" s="187"/>
      <c r="T136" s="187"/>
      <c r="U136" s="187"/>
      <c r="V136" s="187"/>
      <c r="W136" s="187"/>
      <c r="X136" s="187"/>
      <c r="Y136" s="187"/>
      <c r="Z136" s="187"/>
      <c r="AA136" s="187"/>
      <c r="AB136" s="187"/>
      <c r="AC136" s="187"/>
      <c r="AD136" s="187"/>
      <c r="AE136" s="187"/>
      <c r="AF136" s="187"/>
      <c r="AG136" s="187"/>
      <c r="AH136" s="187"/>
      <c r="AI136" s="187"/>
    </row>
    <row r="137">
      <c r="A137" s="187"/>
      <c r="B137" s="187"/>
      <c r="C137" s="187"/>
      <c r="D137" s="187"/>
      <c r="E137" s="188" t="s">
        <v>3143</v>
      </c>
      <c r="F137" s="187"/>
      <c r="G137" s="187"/>
      <c r="H137" s="187"/>
      <c r="I137" s="188" t="s">
        <v>3144</v>
      </c>
      <c r="J137" s="187"/>
      <c r="K137" s="187"/>
      <c r="L137" s="187"/>
      <c r="M137" s="192"/>
      <c r="N137" s="187"/>
      <c r="O137" s="187"/>
      <c r="P137" s="187"/>
      <c r="Q137" s="187"/>
      <c r="R137" s="187"/>
      <c r="S137" s="187"/>
      <c r="T137" s="187"/>
      <c r="U137" s="187"/>
      <c r="V137" s="187"/>
      <c r="W137" s="187"/>
      <c r="X137" s="187"/>
      <c r="Y137" s="187"/>
      <c r="Z137" s="187"/>
      <c r="AA137" s="187"/>
      <c r="AB137" s="187"/>
      <c r="AC137" s="187"/>
      <c r="AD137" s="187"/>
      <c r="AE137" s="187"/>
      <c r="AF137" s="187"/>
      <c r="AG137" s="187"/>
      <c r="AH137" s="187"/>
      <c r="AI137" s="187"/>
    </row>
    <row r="138">
      <c r="A138" s="187"/>
      <c r="B138" s="187"/>
      <c r="C138" s="187"/>
      <c r="D138" s="187"/>
      <c r="E138" s="188" t="s">
        <v>3145</v>
      </c>
      <c r="F138" s="187"/>
      <c r="G138" s="187"/>
      <c r="H138" s="187"/>
      <c r="I138" s="188" t="s">
        <v>3146</v>
      </c>
      <c r="J138" s="187"/>
      <c r="K138" s="187"/>
      <c r="L138" s="187"/>
      <c r="M138" s="192"/>
      <c r="N138" s="187"/>
      <c r="O138" s="187"/>
      <c r="P138" s="187"/>
      <c r="Q138" s="187"/>
      <c r="R138" s="187"/>
      <c r="S138" s="187"/>
      <c r="T138" s="187"/>
      <c r="U138" s="187"/>
      <c r="V138" s="187"/>
      <c r="W138" s="187"/>
      <c r="X138" s="187"/>
      <c r="Y138" s="187"/>
      <c r="Z138" s="187"/>
      <c r="AA138" s="187"/>
      <c r="AB138" s="187"/>
      <c r="AC138" s="187"/>
      <c r="AD138" s="187"/>
      <c r="AE138" s="187"/>
      <c r="AF138" s="187"/>
      <c r="AG138" s="187"/>
      <c r="AH138" s="187"/>
      <c r="AI138" s="187"/>
    </row>
    <row r="139">
      <c r="A139" s="187"/>
      <c r="B139" s="187"/>
      <c r="C139" s="187"/>
      <c r="D139" s="187"/>
      <c r="E139" s="188" t="s">
        <v>3147</v>
      </c>
      <c r="F139" s="187"/>
      <c r="G139" s="187"/>
      <c r="H139" s="187"/>
      <c r="I139" s="188" t="s">
        <v>3148</v>
      </c>
      <c r="J139" s="187"/>
      <c r="K139" s="187"/>
      <c r="L139" s="187"/>
      <c r="M139" s="192"/>
      <c r="N139" s="187"/>
      <c r="O139" s="187"/>
      <c r="P139" s="187"/>
      <c r="Q139" s="187"/>
      <c r="R139" s="187"/>
      <c r="S139" s="187"/>
      <c r="T139" s="187"/>
      <c r="U139" s="187"/>
      <c r="V139" s="187"/>
      <c r="W139" s="187"/>
      <c r="X139" s="187"/>
      <c r="Y139" s="187"/>
      <c r="Z139" s="187"/>
      <c r="AA139" s="187"/>
      <c r="AB139" s="187"/>
      <c r="AC139" s="187"/>
      <c r="AD139" s="187"/>
      <c r="AE139" s="187"/>
      <c r="AF139" s="187"/>
      <c r="AG139" s="187"/>
      <c r="AH139" s="187"/>
      <c r="AI139" s="187"/>
    </row>
    <row r="140">
      <c r="A140" s="187"/>
      <c r="B140" s="187"/>
      <c r="C140" s="187"/>
      <c r="D140" s="187"/>
      <c r="E140" s="188" t="s">
        <v>3149</v>
      </c>
      <c r="F140" s="187"/>
      <c r="G140" s="187"/>
      <c r="H140" s="187"/>
      <c r="I140" s="188" t="s">
        <v>3150</v>
      </c>
      <c r="J140" s="187"/>
      <c r="K140" s="187"/>
      <c r="L140" s="187"/>
      <c r="M140" s="192"/>
      <c r="N140" s="187"/>
      <c r="O140" s="187"/>
      <c r="P140" s="187"/>
      <c r="Q140" s="187"/>
      <c r="R140" s="187"/>
      <c r="S140" s="187"/>
      <c r="T140" s="187"/>
      <c r="U140" s="187"/>
      <c r="V140" s="187"/>
      <c r="W140" s="187"/>
      <c r="X140" s="187"/>
      <c r="Y140" s="187"/>
      <c r="Z140" s="187"/>
      <c r="AA140" s="187"/>
      <c r="AB140" s="187"/>
      <c r="AC140" s="187"/>
      <c r="AD140" s="187"/>
      <c r="AE140" s="187"/>
      <c r="AF140" s="187"/>
      <c r="AG140" s="187"/>
      <c r="AH140" s="187"/>
      <c r="AI140" s="187"/>
    </row>
    <row r="141">
      <c r="A141" s="187"/>
      <c r="B141" s="187"/>
      <c r="C141" s="187"/>
      <c r="D141" s="187"/>
      <c r="E141" s="188" t="s">
        <v>3151</v>
      </c>
      <c r="F141" s="187"/>
      <c r="G141" s="187"/>
      <c r="H141" s="187"/>
      <c r="I141" s="188" t="s">
        <v>3152</v>
      </c>
      <c r="J141" s="187"/>
      <c r="K141" s="187"/>
      <c r="L141" s="187"/>
      <c r="M141" s="192"/>
      <c r="N141" s="187"/>
      <c r="O141" s="187"/>
      <c r="P141" s="187"/>
      <c r="Q141" s="187"/>
      <c r="R141" s="187"/>
      <c r="S141" s="187"/>
      <c r="T141" s="187"/>
      <c r="U141" s="187"/>
      <c r="V141" s="187"/>
      <c r="W141" s="187"/>
      <c r="X141" s="187"/>
      <c r="Y141" s="187"/>
      <c r="Z141" s="187"/>
      <c r="AA141" s="187"/>
      <c r="AB141" s="187"/>
      <c r="AC141" s="187"/>
      <c r="AD141" s="187"/>
      <c r="AE141" s="187"/>
      <c r="AF141" s="187"/>
      <c r="AG141" s="187"/>
      <c r="AH141" s="187"/>
      <c r="AI141" s="187"/>
    </row>
    <row r="142">
      <c r="A142" s="187"/>
      <c r="B142" s="187"/>
      <c r="C142" s="187"/>
      <c r="D142" s="187"/>
      <c r="E142" s="188">
        <v>9.41211605E9</v>
      </c>
      <c r="F142" s="187"/>
      <c r="G142" s="187"/>
      <c r="H142" s="187"/>
      <c r="I142" s="187"/>
      <c r="J142" s="187"/>
      <c r="K142" s="187"/>
      <c r="L142" s="187"/>
      <c r="M142" s="192"/>
      <c r="N142" s="187"/>
      <c r="O142" s="187"/>
      <c r="P142" s="187"/>
      <c r="Q142" s="187"/>
      <c r="R142" s="187"/>
      <c r="S142" s="187"/>
      <c r="T142" s="187"/>
      <c r="U142" s="187"/>
      <c r="V142" s="187"/>
      <c r="W142" s="187"/>
      <c r="X142" s="187"/>
      <c r="Y142" s="187"/>
      <c r="Z142" s="187"/>
      <c r="AA142" s="187"/>
      <c r="AB142" s="187"/>
      <c r="AC142" s="187"/>
      <c r="AD142" s="187"/>
      <c r="AE142" s="187"/>
      <c r="AF142" s="187"/>
      <c r="AG142" s="187"/>
      <c r="AH142" s="187"/>
      <c r="AI142" s="187"/>
    </row>
    <row r="143">
      <c r="A143" s="187"/>
      <c r="B143" s="187"/>
      <c r="C143" s="187"/>
      <c r="D143" s="187"/>
      <c r="E143" s="188" t="s">
        <v>3153</v>
      </c>
      <c r="F143" s="187"/>
      <c r="G143" s="187"/>
      <c r="H143" s="187"/>
      <c r="I143" s="200" t="s">
        <v>3154</v>
      </c>
      <c r="J143" s="187"/>
      <c r="K143" s="187"/>
      <c r="L143" s="187"/>
      <c r="M143" s="192"/>
      <c r="N143" s="187"/>
      <c r="O143" s="187"/>
      <c r="P143" s="187"/>
      <c r="Q143" s="187"/>
      <c r="R143" s="187"/>
      <c r="S143" s="187"/>
      <c r="T143" s="187"/>
      <c r="U143" s="187"/>
      <c r="V143" s="187"/>
      <c r="W143" s="187"/>
      <c r="X143" s="187"/>
      <c r="Y143" s="187"/>
      <c r="Z143" s="187"/>
      <c r="AA143" s="187"/>
      <c r="AB143" s="187"/>
      <c r="AC143" s="187"/>
      <c r="AD143" s="187"/>
      <c r="AE143" s="187"/>
      <c r="AF143" s="187"/>
      <c r="AG143" s="187"/>
      <c r="AH143" s="187"/>
      <c r="AI143" s="187"/>
    </row>
    <row r="144">
      <c r="A144" s="188" t="s">
        <v>3155</v>
      </c>
      <c r="B144" s="188" t="s">
        <v>3156</v>
      </c>
      <c r="C144" s="187"/>
      <c r="D144" s="187"/>
      <c r="E144" s="188" t="s">
        <v>3157</v>
      </c>
      <c r="F144" s="187"/>
      <c r="G144" s="187"/>
      <c r="H144" s="188" t="s">
        <v>3158</v>
      </c>
      <c r="I144" s="200" t="s">
        <v>3159</v>
      </c>
      <c r="J144" s="187"/>
      <c r="K144" s="187"/>
      <c r="L144" s="187"/>
      <c r="M144" s="192"/>
      <c r="N144" s="187"/>
      <c r="O144" s="187"/>
      <c r="P144" s="187"/>
      <c r="Q144" s="187"/>
      <c r="R144" s="187"/>
      <c r="S144" s="187"/>
      <c r="T144" s="187"/>
      <c r="U144" s="187"/>
      <c r="V144" s="187"/>
      <c r="W144" s="187"/>
      <c r="X144" s="187"/>
      <c r="Y144" s="187"/>
      <c r="Z144" s="187"/>
      <c r="AA144" s="187"/>
      <c r="AB144" s="187"/>
      <c r="AC144" s="187"/>
      <c r="AD144" s="187"/>
      <c r="AE144" s="187"/>
      <c r="AF144" s="187"/>
      <c r="AG144" s="187"/>
      <c r="AH144" s="187"/>
      <c r="AI144" s="187"/>
    </row>
    <row r="145">
      <c r="A145" s="187"/>
      <c r="B145" s="187"/>
      <c r="C145" s="187"/>
      <c r="D145" s="188" t="s">
        <v>3160</v>
      </c>
      <c r="E145" s="188" t="s">
        <v>3161</v>
      </c>
      <c r="F145" s="188" t="s">
        <v>3162</v>
      </c>
      <c r="G145" s="187"/>
      <c r="H145" s="187"/>
      <c r="I145" s="200" t="s">
        <v>3163</v>
      </c>
      <c r="J145" s="187"/>
      <c r="K145" s="187"/>
      <c r="L145" s="187"/>
      <c r="M145" s="192"/>
      <c r="N145" s="187"/>
      <c r="O145" s="187"/>
      <c r="P145" s="187"/>
      <c r="Q145" s="187"/>
      <c r="R145" s="187"/>
      <c r="S145" s="187"/>
      <c r="T145" s="187"/>
      <c r="U145" s="187"/>
      <c r="V145" s="187"/>
      <c r="W145" s="187"/>
      <c r="X145" s="187"/>
      <c r="Y145" s="187"/>
      <c r="Z145" s="187"/>
      <c r="AA145" s="187"/>
      <c r="AB145" s="187"/>
      <c r="AC145" s="187"/>
      <c r="AD145" s="187"/>
      <c r="AE145" s="187"/>
      <c r="AF145" s="187"/>
      <c r="AG145" s="187"/>
      <c r="AH145" s="187"/>
      <c r="AI145" s="187"/>
    </row>
    <row r="146">
      <c r="A146" s="210" t="s">
        <v>3164</v>
      </c>
      <c r="B146" s="188" t="s">
        <v>3165</v>
      </c>
      <c r="C146" s="187"/>
      <c r="D146" s="187"/>
      <c r="E146" s="188" t="s">
        <v>3166</v>
      </c>
      <c r="F146" s="187"/>
      <c r="G146" s="187"/>
      <c r="H146" s="187"/>
      <c r="I146" s="200" t="s">
        <v>3167</v>
      </c>
      <c r="J146" s="187"/>
      <c r="K146" s="187"/>
      <c r="L146" s="187"/>
      <c r="M146" s="192"/>
      <c r="N146" s="187"/>
      <c r="O146" s="187"/>
      <c r="P146" s="187"/>
      <c r="Q146" s="187"/>
      <c r="R146" s="187"/>
      <c r="S146" s="187"/>
      <c r="T146" s="187"/>
      <c r="U146" s="187"/>
      <c r="V146" s="187"/>
      <c r="W146" s="187"/>
      <c r="X146" s="187"/>
      <c r="Y146" s="187"/>
      <c r="Z146" s="187"/>
      <c r="AA146" s="187"/>
      <c r="AB146" s="187"/>
      <c r="AC146" s="187"/>
      <c r="AD146" s="187"/>
      <c r="AE146" s="187"/>
      <c r="AF146" s="187"/>
      <c r="AG146" s="187"/>
      <c r="AH146" s="187"/>
      <c r="AI146" s="187"/>
    </row>
    <row r="147">
      <c r="A147" s="187"/>
      <c r="B147" s="187"/>
      <c r="C147" s="187"/>
      <c r="D147" s="187"/>
      <c r="E147" s="188" t="s">
        <v>3168</v>
      </c>
      <c r="F147" s="187"/>
      <c r="G147" s="187"/>
      <c r="H147" s="187"/>
      <c r="I147" s="200" t="s">
        <v>3169</v>
      </c>
      <c r="J147" s="187"/>
      <c r="K147" s="187"/>
      <c r="L147" s="187"/>
      <c r="M147" s="192"/>
      <c r="N147" s="187"/>
      <c r="O147" s="187"/>
      <c r="P147" s="187"/>
      <c r="Q147" s="187"/>
      <c r="R147" s="187"/>
      <c r="S147" s="187"/>
      <c r="T147" s="187"/>
      <c r="U147" s="187"/>
      <c r="V147" s="187"/>
      <c r="W147" s="187"/>
      <c r="X147" s="187"/>
      <c r="Y147" s="187"/>
      <c r="Z147" s="187"/>
      <c r="AA147" s="187"/>
      <c r="AB147" s="187"/>
      <c r="AC147" s="187"/>
      <c r="AD147" s="187"/>
      <c r="AE147" s="187"/>
      <c r="AF147" s="187"/>
      <c r="AG147" s="187"/>
      <c r="AH147" s="187"/>
      <c r="AI147" s="187"/>
    </row>
    <row r="148">
      <c r="A148" s="187"/>
      <c r="B148" s="187"/>
      <c r="C148" s="187"/>
      <c r="D148" s="187"/>
      <c r="E148" s="188" t="s">
        <v>3170</v>
      </c>
      <c r="F148" s="187"/>
      <c r="G148" s="187"/>
      <c r="H148" s="187"/>
      <c r="I148" s="188" t="s">
        <v>3171</v>
      </c>
      <c r="J148" s="187"/>
      <c r="K148" s="187"/>
      <c r="L148" s="187"/>
      <c r="M148" s="192"/>
      <c r="N148" s="187"/>
      <c r="O148" s="187"/>
      <c r="P148" s="187"/>
      <c r="Q148" s="187"/>
      <c r="R148" s="187"/>
      <c r="S148" s="187"/>
      <c r="T148" s="187"/>
      <c r="U148" s="187"/>
      <c r="V148" s="187"/>
      <c r="W148" s="187"/>
      <c r="X148" s="187"/>
      <c r="Y148" s="187"/>
      <c r="Z148" s="187"/>
      <c r="AA148" s="187"/>
      <c r="AB148" s="187"/>
      <c r="AC148" s="187"/>
      <c r="AD148" s="187"/>
      <c r="AE148" s="187"/>
      <c r="AF148" s="187"/>
      <c r="AG148" s="187"/>
      <c r="AH148" s="187"/>
      <c r="AI148" s="187"/>
    </row>
    <row r="149">
      <c r="A149" s="187"/>
      <c r="B149" s="187"/>
      <c r="C149" s="187"/>
      <c r="D149" s="187"/>
      <c r="E149" s="188" t="s">
        <v>3172</v>
      </c>
      <c r="F149" s="187"/>
      <c r="G149" s="187"/>
      <c r="H149" s="187"/>
      <c r="I149" s="188" t="s">
        <v>3173</v>
      </c>
      <c r="J149" s="187"/>
      <c r="K149" s="187"/>
      <c r="L149" s="187"/>
      <c r="M149" s="192"/>
      <c r="N149" s="187"/>
      <c r="O149" s="187"/>
      <c r="P149" s="187"/>
      <c r="Q149" s="187"/>
      <c r="R149" s="187"/>
      <c r="S149" s="187"/>
      <c r="T149" s="187"/>
      <c r="U149" s="187"/>
      <c r="V149" s="187"/>
      <c r="W149" s="187"/>
      <c r="X149" s="187"/>
      <c r="Y149" s="187"/>
      <c r="Z149" s="187"/>
      <c r="AA149" s="187"/>
      <c r="AB149" s="187"/>
      <c r="AC149" s="187"/>
      <c r="AD149" s="187"/>
      <c r="AE149" s="187"/>
      <c r="AF149" s="187"/>
      <c r="AG149" s="187"/>
      <c r="AH149" s="187"/>
      <c r="AI149" s="187"/>
    </row>
    <row r="150">
      <c r="A150" s="187"/>
      <c r="B150" s="187"/>
      <c r="C150" s="187"/>
      <c r="D150" s="187"/>
      <c r="E150" s="188" t="s">
        <v>3174</v>
      </c>
      <c r="F150" s="187"/>
      <c r="G150" s="187"/>
      <c r="H150" s="187"/>
      <c r="I150" s="188" t="s">
        <v>3175</v>
      </c>
      <c r="J150" s="187"/>
      <c r="K150" s="187"/>
      <c r="L150" s="187"/>
      <c r="M150" s="192"/>
      <c r="N150" s="187"/>
      <c r="O150" s="187"/>
      <c r="P150" s="187"/>
      <c r="Q150" s="187"/>
      <c r="R150" s="187"/>
      <c r="S150" s="187"/>
      <c r="T150" s="187"/>
      <c r="U150" s="187"/>
      <c r="V150" s="187"/>
      <c r="W150" s="187"/>
      <c r="X150" s="187"/>
      <c r="Y150" s="187"/>
      <c r="Z150" s="187"/>
      <c r="AA150" s="187"/>
      <c r="AB150" s="187"/>
      <c r="AC150" s="187"/>
      <c r="AD150" s="187"/>
      <c r="AE150" s="187"/>
      <c r="AF150" s="187"/>
      <c r="AG150" s="187"/>
      <c r="AH150" s="187"/>
      <c r="AI150" s="187"/>
    </row>
    <row r="151">
      <c r="A151" s="187"/>
      <c r="B151" s="187"/>
      <c r="C151" s="187"/>
      <c r="D151" s="187"/>
      <c r="E151" s="188" t="s">
        <v>3176</v>
      </c>
      <c r="F151" s="187"/>
      <c r="G151" s="187"/>
      <c r="H151" s="187"/>
      <c r="I151" s="188" t="s">
        <v>3177</v>
      </c>
      <c r="J151" s="188" t="s">
        <v>3178</v>
      </c>
      <c r="K151" s="187"/>
      <c r="L151" s="187"/>
      <c r="M151" s="192"/>
      <c r="N151" s="187"/>
      <c r="O151" s="187"/>
      <c r="P151" s="187"/>
      <c r="Q151" s="187"/>
      <c r="R151" s="187"/>
      <c r="S151" s="187"/>
      <c r="T151" s="187"/>
      <c r="U151" s="187"/>
      <c r="V151" s="187"/>
      <c r="W151" s="187"/>
      <c r="X151" s="187"/>
      <c r="Y151" s="187"/>
      <c r="Z151" s="187"/>
      <c r="AA151" s="187"/>
      <c r="AB151" s="187"/>
      <c r="AC151" s="187"/>
      <c r="AD151" s="187"/>
      <c r="AE151" s="187"/>
      <c r="AF151" s="187"/>
      <c r="AG151" s="187"/>
      <c r="AH151" s="187"/>
      <c r="AI151" s="187"/>
    </row>
    <row r="152">
      <c r="A152" s="187"/>
      <c r="B152" s="187"/>
      <c r="C152" s="188" t="s">
        <v>3179</v>
      </c>
      <c r="D152" s="187"/>
      <c r="E152" s="188" t="s">
        <v>3180</v>
      </c>
      <c r="F152" s="187"/>
      <c r="G152" s="187"/>
      <c r="H152" s="187"/>
      <c r="I152" s="200" t="s">
        <v>3181</v>
      </c>
      <c r="J152" s="188" t="s">
        <v>3182</v>
      </c>
      <c r="K152" s="187"/>
      <c r="L152" s="187"/>
      <c r="M152" s="192"/>
      <c r="N152" s="187"/>
      <c r="O152" s="187"/>
      <c r="P152" s="187"/>
      <c r="Q152" s="187"/>
      <c r="R152" s="187"/>
      <c r="S152" s="187"/>
      <c r="T152" s="187"/>
      <c r="U152" s="187"/>
      <c r="V152" s="187"/>
      <c r="W152" s="187"/>
      <c r="X152" s="187"/>
      <c r="Y152" s="187"/>
      <c r="Z152" s="187"/>
      <c r="AA152" s="187"/>
      <c r="AB152" s="187"/>
      <c r="AC152" s="187"/>
      <c r="AD152" s="187"/>
      <c r="AE152" s="187"/>
      <c r="AF152" s="187"/>
      <c r="AG152" s="187"/>
      <c r="AH152" s="187"/>
      <c r="AI152" s="187"/>
    </row>
    <row r="153">
      <c r="A153" s="187"/>
      <c r="B153" s="188" t="s">
        <v>3183</v>
      </c>
      <c r="C153" s="187"/>
      <c r="D153" s="187"/>
      <c r="E153" s="188" t="s">
        <v>3184</v>
      </c>
      <c r="F153" s="188" t="s">
        <v>3185</v>
      </c>
      <c r="G153" s="187"/>
      <c r="H153" s="187"/>
      <c r="I153" s="200" t="s">
        <v>3186</v>
      </c>
      <c r="J153" s="188" t="s">
        <v>3187</v>
      </c>
      <c r="K153" s="187"/>
      <c r="L153" s="187"/>
      <c r="M153" s="192"/>
      <c r="N153" s="187"/>
      <c r="O153" s="187"/>
      <c r="P153" s="187"/>
      <c r="Q153" s="187"/>
      <c r="R153" s="187"/>
      <c r="S153" s="187"/>
      <c r="T153" s="187"/>
      <c r="U153" s="187"/>
      <c r="V153" s="187"/>
      <c r="W153" s="187"/>
      <c r="X153" s="187"/>
      <c r="Y153" s="187"/>
      <c r="Z153" s="187"/>
      <c r="AA153" s="187"/>
      <c r="AB153" s="187"/>
      <c r="AC153" s="187"/>
      <c r="AD153" s="187"/>
      <c r="AE153" s="187"/>
      <c r="AF153" s="187"/>
      <c r="AG153" s="187"/>
      <c r="AH153" s="187"/>
      <c r="AI153" s="187"/>
    </row>
    <row r="154">
      <c r="A154" s="187"/>
      <c r="B154" s="187"/>
      <c r="C154" s="187"/>
      <c r="D154" s="187"/>
      <c r="E154" s="188" t="s">
        <v>3188</v>
      </c>
      <c r="F154" s="188" t="s">
        <v>3189</v>
      </c>
      <c r="G154" s="187"/>
      <c r="H154" s="187"/>
      <c r="I154" s="188" t="s">
        <v>3190</v>
      </c>
      <c r="J154" s="187"/>
      <c r="K154" s="187"/>
      <c r="L154" s="187"/>
      <c r="M154" s="192"/>
      <c r="N154" s="187"/>
      <c r="O154" s="187"/>
      <c r="P154" s="187"/>
      <c r="Q154" s="187"/>
      <c r="R154" s="187"/>
      <c r="S154" s="187"/>
      <c r="T154" s="187"/>
      <c r="U154" s="187"/>
      <c r="V154" s="187"/>
      <c r="W154" s="187"/>
      <c r="X154" s="187"/>
      <c r="Y154" s="187"/>
      <c r="Z154" s="187"/>
      <c r="AA154" s="187"/>
      <c r="AB154" s="187"/>
      <c r="AC154" s="187"/>
      <c r="AD154" s="187"/>
      <c r="AE154" s="187"/>
      <c r="AF154" s="187"/>
      <c r="AG154" s="187"/>
      <c r="AH154" s="187"/>
      <c r="AI154" s="187"/>
    </row>
    <row r="155">
      <c r="A155" s="187"/>
      <c r="B155" s="187"/>
      <c r="C155" s="187"/>
      <c r="D155" s="187"/>
      <c r="E155" s="188" t="s">
        <v>3191</v>
      </c>
      <c r="F155" s="188" t="s">
        <v>3192</v>
      </c>
      <c r="G155" s="187"/>
      <c r="H155" s="187"/>
      <c r="I155" s="200" t="s">
        <v>3193</v>
      </c>
      <c r="J155" s="188" t="s">
        <v>3194</v>
      </c>
      <c r="K155" s="187"/>
      <c r="L155" s="187"/>
      <c r="M155" s="192"/>
      <c r="N155" s="187"/>
      <c r="O155" s="187"/>
      <c r="P155" s="187"/>
      <c r="Q155" s="187"/>
      <c r="R155" s="187"/>
      <c r="S155" s="187"/>
      <c r="T155" s="187"/>
      <c r="U155" s="187"/>
      <c r="V155" s="187"/>
      <c r="W155" s="187"/>
      <c r="X155" s="187"/>
      <c r="Y155" s="187"/>
      <c r="Z155" s="187"/>
      <c r="AA155" s="187"/>
      <c r="AB155" s="187"/>
      <c r="AC155" s="187"/>
      <c r="AD155" s="187"/>
      <c r="AE155" s="187"/>
      <c r="AF155" s="187"/>
      <c r="AG155" s="187"/>
      <c r="AH155" s="187"/>
      <c r="AI155" s="187"/>
    </row>
    <row r="156">
      <c r="A156" s="187"/>
      <c r="B156" s="187"/>
      <c r="C156" s="187"/>
      <c r="D156" s="187"/>
      <c r="E156" s="188" t="s">
        <v>3195</v>
      </c>
      <c r="F156" s="188" t="s">
        <v>3196</v>
      </c>
      <c r="G156" s="187"/>
      <c r="H156" s="187"/>
      <c r="I156" s="200" t="s">
        <v>3197</v>
      </c>
      <c r="J156" s="187"/>
      <c r="K156" s="187"/>
      <c r="L156" s="187"/>
      <c r="M156" s="192"/>
      <c r="N156" s="187"/>
      <c r="O156" s="187"/>
      <c r="P156" s="187"/>
      <c r="Q156" s="187"/>
      <c r="R156" s="187"/>
      <c r="S156" s="187"/>
      <c r="T156" s="187"/>
      <c r="U156" s="187"/>
      <c r="V156" s="187"/>
      <c r="W156" s="187"/>
      <c r="X156" s="187"/>
      <c r="Y156" s="187"/>
      <c r="Z156" s="187"/>
      <c r="AA156" s="187"/>
      <c r="AB156" s="187"/>
      <c r="AC156" s="187"/>
      <c r="AD156" s="187"/>
      <c r="AE156" s="187"/>
      <c r="AF156" s="187"/>
      <c r="AG156" s="187"/>
      <c r="AH156" s="187"/>
      <c r="AI156" s="187"/>
    </row>
    <row r="157">
      <c r="A157" s="187"/>
      <c r="B157" s="187"/>
      <c r="C157" s="187"/>
      <c r="D157" s="187"/>
      <c r="E157" s="188" t="s">
        <v>3198</v>
      </c>
      <c r="F157" s="188" t="s">
        <v>3199</v>
      </c>
      <c r="G157" s="188" t="s">
        <v>2459</v>
      </c>
      <c r="H157" s="187"/>
      <c r="I157" s="188" t="s">
        <v>3200</v>
      </c>
      <c r="J157" s="187"/>
      <c r="K157" s="187"/>
      <c r="L157" s="187"/>
      <c r="M157" s="192"/>
      <c r="N157" s="187"/>
      <c r="O157" s="187"/>
      <c r="P157" s="187"/>
      <c r="Q157" s="187"/>
      <c r="R157" s="187"/>
      <c r="S157" s="187"/>
      <c r="T157" s="187"/>
      <c r="U157" s="187"/>
      <c r="V157" s="187"/>
      <c r="W157" s="187"/>
      <c r="X157" s="187"/>
      <c r="Y157" s="187"/>
      <c r="Z157" s="187"/>
      <c r="AA157" s="187"/>
      <c r="AB157" s="187"/>
      <c r="AC157" s="187"/>
      <c r="AD157" s="187"/>
      <c r="AE157" s="187"/>
      <c r="AF157" s="187"/>
      <c r="AG157" s="187"/>
      <c r="AH157" s="187"/>
      <c r="AI157" s="187"/>
    </row>
    <row r="158">
      <c r="A158" s="187"/>
      <c r="B158" s="187"/>
      <c r="C158" s="187"/>
      <c r="D158" s="187"/>
      <c r="E158" s="188" t="s">
        <v>3201</v>
      </c>
      <c r="F158" s="188" t="s">
        <v>3202</v>
      </c>
      <c r="G158" s="187"/>
      <c r="H158" s="187"/>
      <c r="I158" s="188" t="s">
        <v>3203</v>
      </c>
      <c r="J158" s="187"/>
      <c r="K158" s="187"/>
      <c r="L158" s="187"/>
      <c r="M158" s="192"/>
      <c r="N158" s="187"/>
      <c r="O158" s="187"/>
      <c r="P158" s="187"/>
      <c r="Q158" s="187"/>
      <c r="R158" s="187"/>
      <c r="S158" s="187"/>
      <c r="T158" s="187"/>
      <c r="U158" s="187"/>
      <c r="V158" s="187"/>
      <c r="W158" s="187"/>
      <c r="X158" s="187"/>
      <c r="Y158" s="187"/>
      <c r="Z158" s="187"/>
      <c r="AA158" s="187"/>
      <c r="AB158" s="187"/>
      <c r="AC158" s="187"/>
      <c r="AD158" s="187"/>
      <c r="AE158" s="187"/>
      <c r="AF158" s="187"/>
      <c r="AG158" s="187"/>
      <c r="AH158" s="187"/>
      <c r="AI158" s="187"/>
    </row>
    <row r="159">
      <c r="A159" s="187"/>
      <c r="B159" s="187"/>
      <c r="C159" s="187"/>
      <c r="D159" s="187"/>
      <c r="E159" s="188" t="s">
        <v>3204</v>
      </c>
      <c r="F159" s="188" t="s">
        <v>3205</v>
      </c>
      <c r="G159" s="187"/>
      <c r="H159" s="187"/>
      <c r="I159" s="197" t="s">
        <v>3206</v>
      </c>
      <c r="J159" s="187"/>
      <c r="K159" s="187"/>
      <c r="L159" s="187"/>
      <c r="M159" s="192"/>
      <c r="N159" s="187"/>
      <c r="O159" s="187"/>
      <c r="P159" s="187"/>
      <c r="Q159" s="187"/>
      <c r="R159" s="187"/>
      <c r="S159" s="187"/>
      <c r="T159" s="187"/>
      <c r="U159" s="187"/>
      <c r="V159" s="187"/>
      <c r="W159" s="187"/>
      <c r="X159" s="187"/>
      <c r="Y159" s="187"/>
      <c r="Z159" s="187"/>
      <c r="AA159" s="187"/>
      <c r="AB159" s="187"/>
      <c r="AC159" s="187"/>
      <c r="AD159" s="187"/>
      <c r="AE159" s="187"/>
      <c r="AF159" s="187"/>
      <c r="AG159" s="187"/>
      <c r="AH159" s="187"/>
      <c r="AI159" s="187"/>
    </row>
    <row r="160">
      <c r="A160" s="187"/>
      <c r="B160" s="187"/>
      <c r="C160" s="187"/>
      <c r="D160" s="187"/>
      <c r="E160" s="188" t="s">
        <v>3207</v>
      </c>
      <c r="F160" s="188" t="s">
        <v>3208</v>
      </c>
      <c r="G160" s="187"/>
      <c r="H160" s="187"/>
      <c r="I160" s="197" t="s">
        <v>3206</v>
      </c>
      <c r="J160" s="187"/>
      <c r="K160" s="187"/>
      <c r="L160" s="187"/>
      <c r="M160" s="192"/>
      <c r="N160" s="187"/>
      <c r="O160" s="187"/>
      <c r="P160" s="187"/>
      <c r="Q160" s="187"/>
      <c r="R160" s="187"/>
      <c r="S160" s="187"/>
      <c r="T160" s="187"/>
      <c r="U160" s="187"/>
      <c r="V160" s="187"/>
      <c r="W160" s="187"/>
      <c r="X160" s="187"/>
      <c r="Y160" s="187"/>
      <c r="Z160" s="187"/>
      <c r="AA160" s="187"/>
      <c r="AB160" s="187"/>
      <c r="AC160" s="187"/>
      <c r="AD160" s="187"/>
      <c r="AE160" s="187"/>
      <c r="AF160" s="187"/>
      <c r="AG160" s="187"/>
      <c r="AH160" s="187"/>
      <c r="AI160" s="187"/>
    </row>
    <row r="161">
      <c r="A161" s="187"/>
      <c r="B161" s="187"/>
      <c r="C161" s="187"/>
      <c r="D161" s="187"/>
      <c r="E161" s="188" t="s">
        <v>3209</v>
      </c>
      <c r="F161" s="188" t="s">
        <v>3210</v>
      </c>
      <c r="G161" s="187"/>
      <c r="H161" s="187"/>
      <c r="I161" s="188" t="s">
        <v>3211</v>
      </c>
      <c r="J161" s="187"/>
      <c r="K161" s="187"/>
      <c r="L161" s="187"/>
      <c r="M161" s="192"/>
      <c r="N161" s="187"/>
      <c r="O161" s="187"/>
      <c r="P161" s="187"/>
      <c r="Q161" s="187"/>
      <c r="R161" s="187"/>
      <c r="S161" s="187"/>
      <c r="T161" s="187"/>
      <c r="U161" s="187"/>
      <c r="V161" s="187"/>
      <c r="W161" s="187"/>
      <c r="X161" s="187"/>
      <c r="Y161" s="187"/>
      <c r="Z161" s="187"/>
      <c r="AA161" s="187"/>
      <c r="AB161" s="187"/>
      <c r="AC161" s="187"/>
      <c r="AD161" s="187"/>
      <c r="AE161" s="187"/>
      <c r="AF161" s="187"/>
      <c r="AG161" s="187"/>
      <c r="AH161" s="187"/>
      <c r="AI161" s="187"/>
    </row>
    <row r="162">
      <c r="A162" s="187"/>
      <c r="B162" s="187"/>
      <c r="C162" s="187"/>
      <c r="D162" s="187"/>
      <c r="E162" s="188" t="s">
        <v>3212</v>
      </c>
      <c r="F162" s="188" t="s">
        <v>3213</v>
      </c>
      <c r="G162" s="187"/>
      <c r="H162" s="187"/>
      <c r="I162" s="188" t="s">
        <v>2897</v>
      </c>
      <c r="J162" s="187"/>
      <c r="K162" s="187"/>
      <c r="L162" s="187"/>
      <c r="M162" s="192"/>
      <c r="N162" s="187"/>
      <c r="O162" s="187"/>
      <c r="P162" s="187"/>
      <c r="Q162" s="187"/>
      <c r="R162" s="187"/>
      <c r="S162" s="187"/>
      <c r="T162" s="187"/>
      <c r="U162" s="187"/>
      <c r="V162" s="187"/>
      <c r="W162" s="187"/>
      <c r="X162" s="187"/>
      <c r="Y162" s="187"/>
      <c r="Z162" s="187"/>
      <c r="AA162" s="187"/>
      <c r="AB162" s="187"/>
      <c r="AC162" s="187"/>
      <c r="AD162" s="187"/>
      <c r="AE162" s="187"/>
      <c r="AF162" s="187"/>
      <c r="AG162" s="187"/>
      <c r="AH162" s="187"/>
      <c r="AI162" s="187"/>
    </row>
    <row r="163">
      <c r="A163" s="187"/>
      <c r="B163" s="187"/>
      <c r="C163" s="187"/>
      <c r="D163" s="187"/>
      <c r="E163" s="188" t="s">
        <v>3214</v>
      </c>
      <c r="F163" s="188" t="s">
        <v>3215</v>
      </c>
      <c r="G163" s="187"/>
      <c r="H163" s="187"/>
      <c r="I163" s="188" t="s">
        <v>3216</v>
      </c>
      <c r="J163" s="187"/>
      <c r="K163" s="187"/>
      <c r="L163" s="187"/>
      <c r="M163" s="192"/>
      <c r="N163" s="187"/>
      <c r="O163" s="187"/>
      <c r="P163" s="187"/>
      <c r="Q163" s="187"/>
      <c r="R163" s="187"/>
      <c r="S163" s="187"/>
      <c r="T163" s="187"/>
      <c r="U163" s="187"/>
      <c r="V163" s="187"/>
      <c r="W163" s="187"/>
      <c r="X163" s="187"/>
      <c r="Y163" s="187"/>
      <c r="Z163" s="187"/>
      <c r="AA163" s="187"/>
      <c r="AB163" s="187"/>
      <c r="AC163" s="187"/>
      <c r="AD163" s="187"/>
      <c r="AE163" s="187"/>
      <c r="AF163" s="187"/>
      <c r="AG163" s="187"/>
      <c r="AH163" s="187"/>
      <c r="AI163" s="187"/>
    </row>
    <row r="164">
      <c r="A164" s="187"/>
      <c r="B164" s="187"/>
      <c r="C164" s="187"/>
      <c r="D164" s="187"/>
      <c r="E164" s="188" t="s">
        <v>3217</v>
      </c>
      <c r="F164" s="188" t="s">
        <v>3218</v>
      </c>
      <c r="G164" s="187"/>
      <c r="H164" s="187"/>
      <c r="I164" s="188" t="s">
        <v>3219</v>
      </c>
      <c r="J164" s="187"/>
      <c r="K164" s="187"/>
      <c r="L164" s="187"/>
      <c r="M164" s="192"/>
      <c r="N164" s="187"/>
      <c r="O164" s="187"/>
      <c r="P164" s="187"/>
      <c r="Q164" s="187"/>
      <c r="R164" s="187"/>
      <c r="S164" s="187"/>
      <c r="T164" s="187"/>
      <c r="U164" s="187"/>
      <c r="V164" s="187"/>
      <c r="W164" s="187"/>
      <c r="X164" s="187"/>
      <c r="Y164" s="187"/>
      <c r="Z164" s="187"/>
      <c r="AA164" s="187"/>
      <c r="AB164" s="187"/>
      <c r="AC164" s="187"/>
      <c r="AD164" s="187"/>
      <c r="AE164" s="187"/>
      <c r="AF164" s="187"/>
      <c r="AG164" s="187"/>
      <c r="AH164" s="187"/>
      <c r="AI164" s="187"/>
    </row>
    <row r="165">
      <c r="A165" s="187"/>
      <c r="B165" s="187"/>
      <c r="C165" s="187"/>
      <c r="D165" s="187"/>
      <c r="E165" s="188" t="s">
        <v>3220</v>
      </c>
      <c r="F165" s="187"/>
      <c r="G165" s="187"/>
      <c r="H165" s="187"/>
      <c r="I165" s="197" t="s">
        <v>3221</v>
      </c>
      <c r="J165" s="187"/>
      <c r="K165" s="187"/>
      <c r="L165" s="187"/>
      <c r="M165" s="192"/>
      <c r="N165" s="187"/>
      <c r="O165" s="187"/>
      <c r="P165" s="187"/>
      <c r="Q165" s="187"/>
      <c r="R165" s="187"/>
      <c r="S165" s="187"/>
      <c r="T165" s="187"/>
      <c r="U165" s="187"/>
      <c r="V165" s="187"/>
      <c r="W165" s="187"/>
      <c r="X165" s="187"/>
      <c r="Y165" s="187"/>
      <c r="Z165" s="187"/>
      <c r="AA165" s="187"/>
      <c r="AB165" s="187"/>
      <c r="AC165" s="187"/>
      <c r="AD165" s="187"/>
      <c r="AE165" s="187"/>
      <c r="AF165" s="187"/>
      <c r="AG165" s="187"/>
      <c r="AH165" s="187"/>
      <c r="AI165" s="187"/>
    </row>
    <row r="166">
      <c r="A166" s="187"/>
      <c r="B166" s="187"/>
      <c r="C166" s="188" t="s">
        <v>3222</v>
      </c>
      <c r="D166" s="187"/>
      <c r="E166" s="188" t="s">
        <v>3223</v>
      </c>
      <c r="F166" s="188" t="s">
        <v>3224</v>
      </c>
      <c r="G166" s="187"/>
      <c r="H166" s="187"/>
      <c r="I166" s="215" t="s">
        <v>3225</v>
      </c>
      <c r="J166" s="187"/>
      <c r="K166" s="187"/>
      <c r="L166" s="187"/>
      <c r="M166" s="192"/>
      <c r="N166" s="187"/>
      <c r="O166" s="187"/>
      <c r="P166" s="187"/>
      <c r="Q166" s="187"/>
      <c r="R166" s="187"/>
      <c r="S166" s="187"/>
      <c r="T166" s="187"/>
      <c r="U166" s="187"/>
      <c r="V166" s="187"/>
      <c r="W166" s="187"/>
      <c r="X166" s="187"/>
      <c r="Y166" s="187"/>
      <c r="Z166" s="187"/>
      <c r="AA166" s="187"/>
      <c r="AB166" s="187"/>
      <c r="AC166" s="187"/>
      <c r="AD166" s="187"/>
      <c r="AE166" s="187"/>
      <c r="AF166" s="187"/>
      <c r="AG166" s="187"/>
      <c r="AH166" s="187"/>
      <c r="AI166" s="187"/>
    </row>
    <row r="167">
      <c r="A167" s="187"/>
      <c r="B167" s="187"/>
      <c r="C167" s="187"/>
      <c r="D167" s="187"/>
      <c r="E167" s="188" t="s">
        <v>3226</v>
      </c>
      <c r="F167" s="188" t="s">
        <v>3227</v>
      </c>
      <c r="G167" s="187"/>
      <c r="H167" s="187"/>
      <c r="I167" s="188" t="s">
        <v>3228</v>
      </c>
      <c r="J167" s="187"/>
      <c r="K167" s="187"/>
      <c r="L167" s="187"/>
      <c r="M167" s="192"/>
      <c r="N167" s="187"/>
      <c r="O167" s="187"/>
      <c r="P167" s="187"/>
      <c r="Q167" s="187"/>
      <c r="R167" s="187"/>
      <c r="S167" s="187"/>
      <c r="T167" s="187"/>
      <c r="U167" s="187"/>
      <c r="V167" s="187"/>
      <c r="W167" s="187"/>
      <c r="X167" s="187"/>
      <c r="Y167" s="187"/>
      <c r="Z167" s="187"/>
      <c r="AA167" s="187"/>
      <c r="AB167" s="187"/>
      <c r="AC167" s="187"/>
      <c r="AD167" s="187"/>
      <c r="AE167" s="187"/>
      <c r="AF167" s="187"/>
      <c r="AG167" s="187"/>
      <c r="AH167" s="187"/>
      <c r="AI167" s="187"/>
    </row>
    <row r="168">
      <c r="A168" s="187"/>
      <c r="B168" s="187"/>
      <c r="C168" s="187"/>
      <c r="D168" s="187"/>
      <c r="E168" s="188" t="s">
        <v>3229</v>
      </c>
      <c r="F168" s="188" t="s">
        <v>3230</v>
      </c>
      <c r="G168" s="187"/>
      <c r="H168" s="187"/>
      <c r="I168" s="188" t="s">
        <v>3231</v>
      </c>
      <c r="J168" s="187"/>
      <c r="K168" s="187"/>
      <c r="L168" s="187"/>
      <c r="M168" s="192"/>
      <c r="N168" s="187"/>
      <c r="O168" s="187"/>
      <c r="P168" s="187"/>
      <c r="Q168" s="187"/>
      <c r="R168" s="187"/>
      <c r="S168" s="187"/>
      <c r="T168" s="187"/>
      <c r="U168" s="187"/>
      <c r="V168" s="187"/>
      <c r="W168" s="187"/>
      <c r="X168" s="187"/>
      <c r="Y168" s="187"/>
      <c r="Z168" s="187"/>
      <c r="AA168" s="187"/>
      <c r="AB168" s="187"/>
      <c r="AC168" s="187"/>
      <c r="AD168" s="187"/>
      <c r="AE168" s="187"/>
      <c r="AF168" s="187"/>
      <c r="AG168" s="187"/>
      <c r="AH168" s="187"/>
      <c r="AI168" s="187"/>
    </row>
    <row r="169">
      <c r="A169" s="187"/>
      <c r="B169" s="187"/>
      <c r="C169" s="187"/>
      <c r="D169" s="216"/>
      <c r="E169" s="205" t="s">
        <v>3232</v>
      </c>
      <c r="F169" s="205" t="s">
        <v>3233</v>
      </c>
      <c r="G169" s="216"/>
      <c r="H169" s="216"/>
      <c r="I169" s="205" t="s">
        <v>3234</v>
      </c>
      <c r="J169" s="187"/>
      <c r="K169" s="187"/>
      <c r="L169" s="187"/>
      <c r="M169" s="192"/>
      <c r="N169" s="187"/>
      <c r="O169" s="187"/>
      <c r="P169" s="187"/>
      <c r="Q169" s="187"/>
      <c r="R169" s="187"/>
      <c r="S169" s="187"/>
      <c r="T169" s="187"/>
      <c r="U169" s="187"/>
      <c r="V169" s="187"/>
      <c r="W169" s="187"/>
      <c r="X169" s="187"/>
      <c r="Y169" s="187"/>
      <c r="Z169" s="187"/>
      <c r="AA169" s="187"/>
      <c r="AB169" s="187"/>
      <c r="AC169" s="187"/>
      <c r="AD169" s="187"/>
      <c r="AE169" s="187"/>
      <c r="AF169" s="187"/>
      <c r="AG169" s="187"/>
      <c r="AH169" s="187"/>
      <c r="AI169" s="187"/>
    </row>
    <row r="170">
      <c r="A170" s="187"/>
      <c r="B170" s="187"/>
      <c r="C170" s="187"/>
      <c r="D170" s="187"/>
      <c r="E170" s="188" t="s">
        <v>3235</v>
      </c>
      <c r="F170" s="187"/>
      <c r="G170" s="187"/>
      <c r="H170" s="187"/>
      <c r="I170" s="188" t="s">
        <v>3037</v>
      </c>
      <c r="J170" s="187"/>
      <c r="K170" s="187"/>
      <c r="L170" s="187"/>
      <c r="M170" s="192"/>
      <c r="N170" s="187"/>
      <c r="O170" s="187"/>
      <c r="P170" s="187"/>
      <c r="Q170" s="187"/>
      <c r="R170" s="187"/>
      <c r="S170" s="187"/>
      <c r="T170" s="187"/>
      <c r="U170" s="187"/>
      <c r="V170" s="187"/>
      <c r="W170" s="187"/>
      <c r="X170" s="187"/>
      <c r="Y170" s="187"/>
      <c r="Z170" s="187"/>
      <c r="AA170" s="187"/>
      <c r="AB170" s="187"/>
      <c r="AC170" s="187"/>
      <c r="AD170" s="187"/>
      <c r="AE170" s="187"/>
      <c r="AF170" s="187"/>
      <c r="AG170" s="187"/>
      <c r="AH170" s="187"/>
      <c r="AI170" s="187"/>
    </row>
    <row r="171">
      <c r="A171" s="187"/>
      <c r="B171" s="187"/>
      <c r="C171" s="187"/>
      <c r="D171" s="187"/>
      <c r="E171" s="188" t="s">
        <v>3236</v>
      </c>
      <c r="F171" s="188" t="s">
        <v>3237</v>
      </c>
      <c r="G171" s="187"/>
      <c r="H171" s="187"/>
      <c r="I171" s="188" t="s">
        <v>3238</v>
      </c>
      <c r="J171" s="187"/>
      <c r="K171" s="187"/>
      <c r="L171" s="187"/>
      <c r="M171" s="192"/>
      <c r="N171" s="187"/>
      <c r="O171" s="187"/>
      <c r="P171" s="187"/>
      <c r="Q171" s="187"/>
      <c r="R171" s="187"/>
      <c r="S171" s="187"/>
      <c r="T171" s="187"/>
      <c r="U171" s="187"/>
      <c r="V171" s="187"/>
      <c r="W171" s="187"/>
      <c r="X171" s="187"/>
      <c r="Y171" s="187"/>
      <c r="Z171" s="187"/>
      <c r="AA171" s="187"/>
      <c r="AB171" s="187"/>
      <c r="AC171" s="187"/>
      <c r="AD171" s="187"/>
      <c r="AE171" s="187"/>
      <c r="AF171" s="187"/>
      <c r="AG171" s="187"/>
      <c r="AH171" s="187"/>
      <c r="AI171" s="187"/>
    </row>
    <row r="172">
      <c r="A172" s="217"/>
      <c r="B172" s="217"/>
      <c r="C172" s="217"/>
      <c r="D172" s="191" t="s">
        <v>3239</v>
      </c>
      <c r="E172" s="191" t="s">
        <v>3240</v>
      </c>
      <c r="F172" s="191" t="s">
        <v>3241</v>
      </c>
      <c r="G172" s="217"/>
      <c r="H172" s="217"/>
      <c r="I172" s="191" t="s">
        <v>3242</v>
      </c>
      <c r="J172" s="217"/>
      <c r="K172" s="217"/>
      <c r="L172" s="217"/>
      <c r="M172" s="217"/>
      <c r="N172" s="217"/>
      <c r="O172" s="217"/>
      <c r="P172" s="217"/>
      <c r="Q172" s="217"/>
      <c r="R172" s="217"/>
      <c r="S172" s="217"/>
      <c r="T172" s="217"/>
      <c r="U172" s="217"/>
      <c r="V172" s="217"/>
      <c r="W172" s="217"/>
      <c r="X172" s="217"/>
      <c r="Y172" s="217"/>
      <c r="Z172" s="217"/>
      <c r="AA172" s="217"/>
      <c r="AB172" s="217"/>
      <c r="AC172" s="217"/>
      <c r="AD172" s="217"/>
      <c r="AE172" s="217"/>
      <c r="AF172" s="217"/>
      <c r="AG172" s="217"/>
      <c r="AH172" s="217"/>
      <c r="AI172" s="217"/>
    </row>
    <row r="173">
      <c r="A173" s="187"/>
      <c r="B173" s="187"/>
      <c r="C173" s="187"/>
      <c r="D173" s="187"/>
      <c r="E173" s="188" t="s">
        <v>3243</v>
      </c>
      <c r="F173" s="187"/>
      <c r="G173" s="187"/>
      <c r="H173" s="187"/>
      <c r="I173" s="188" t="s">
        <v>3244</v>
      </c>
      <c r="J173" s="187"/>
      <c r="K173" s="187"/>
      <c r="L173" s="187"/>
      <c r="M173" s="192"/>
      <c r="N173" s="187"/>
      <c r="O173" s="187"/>
      <c r="P173" s="187"/>
      <c r="Q173" s="187"/>
      <c r="R173" s="187"/>
      <c r="S173" s="187"/>
      <c r="T173" s="187"/>
      <c r="U173" s="187"/>
      <c r="V173" s="187"/>
      <c r="W173" s="187"/>
      <c r="X173" s="187"/>
      <c r="Y173" s="187"/>
      <c r="Z173" s="187"/>
      <c r="AA173" s="187"/>
      <c r="AB173" s="187"/>
      <c r="AC173" s="187"/>
      <c r="AD173" s="187"/>
      <c r="AE173" s="187"/>
      <c r="AF173" s="187"/>
      <c r="AG173" s="187"/>
      <c r="AH173" s="187"/>
      <c r="AI173" s="187"/>
    </row>
    <row r="174">
      <c r="A174" s="187"/>
      <c r="B174" s="187"/>
      <c r="C174" s="187"/>
      <c r="D174" s="187"/>
      <c r="E174" s="188" t="s">
        <v>3245</v>
      </c>
      <c r="F174" s="188" t="s">
        <v>3246</v>
      </c>
      <c r="G174" s="187"/>
      <c r="H174" s="187"/>
      <c r="I174" s="188" t="s">
        <v>3247</v>
      </c>
      <c r="J174" s="187"/>
      <c r="K174" s="187"/>
      <c r="L174" s="187"/>
      <c r="M174" s="192"/>
      <c r="N174" s="187"/>
      <c r="O174" s="187"/>
      <c r="P174" s="187"/>
      <c r="Q174" s="187"/>
      <c r="R174" s="187"/>
      <c r="S174" s="187"/>
      <c r="T174" s="187"/>
      <c r="U174" s="187"/>
      <c r="V174" s="187"/>
      <c r="W174" s="187"/>
      <c r="X174" s="187"/>
      <c r="Y174" s="187"/>
      <c r="Z174" s="187"/>
      <c r="AA174" s="187"/>
      <c r="AB174" s="187"/>
      <c r="AC174" s="187"/>
      <c r="AD174" s="187"/>
      <c r="AE174" s="187"/>
      <c r="AF174" s="187"/>
      <c r="AG174" s="187"/>
      <c r="AH174" s="187"/>
      <c r="AI174" s="187"/>
    </row>
    <row r="175">
      <c r="A175" s="187"/>
      <c r="B175" s="187"/>
      <c r="C175" s="187"/>
      <c r="D175" s="187"/>
      <c r="E175" s="188" t="s">
        <v>3248</v>
      </c>
      <c r="F175" s="188" t="s">
        <v>3249</v>
      </c>
      <c r="G175" s="187"/>
      <c r="H175" s="187"/>
      <c r="I175" s="188" t="s">
        <v>3250</v>
      </c>
      <c r="J175" s="187"/>
      <c r="K175" s="187"/>
      <c r="L175" s="187"/>
      <c r="M175" s="192"/>
      <c r="N175" s="187"/>
      <c r="O175" s="187"/>
      <c r="P175" s="187"/>
      <c r="Q175" s="187"/>
      <c r="R175" s="187"/>
      <c r="S175" s="187"/>
      <c r="T175" s="187"/>
      <c r="U175" s="187"/>
      <c r="V175" s="187"/>
      <c r="W175" s="187"/>
      <c r="X175" s="187"/>
      <c r="Y175" s="187"/>
      <c r="Z175" s="187"/>
      <c r="AA175" s="187"/>
      <c r="AB175" s="187"/>
      <c r="AC175" s="187"/>
      <c r="AD175" s="187"/>
      <c r="AE175" s="187"/>
      <c r="AF175" s="187"/>
      <c r="AG175" s="187"/>
      <c r="AH175" s="187"/>
      <c r="AI175" s="187"/>
    </row>
    <row r="176">
      <c r="A176" s="187"/>
      <c r="B176" s="187"/>
      <c r="C176" s="187"/>
      <c r="D176" s="187"/>
      <c r="E176" s="188" t="s">
        <v>3251</v>
      </c>
      <c r="F176" s="188" t="s">
        <v>3252</v>
      </c>
      <c r="G176" s="187"/>
      <c r="H176" s="187"/>
      <c r="I176" s="188" t="s">
        <v>3253</v>
      </c>
      <c r="J176" s="187"/>
      <c r="K176" s="187"/>
      <c r="L176" s="187"/>
      <c r="M176" s="192"/>
      <c r="N176" s="187"/>
      <c r="O176" s="187"/>
      <c r="P176" s="187"/>
      <c r="Q176" s="187"/>
      <c r="R176" s="187"/>
      <c r="S176" s="187"/>
      <c r="T176" s="187"/>
      <c r="U176" s="187"/>
      <c r="V176" s="187"/>
      <c r="W176" s="187"/>
      <c r="X176" s="187"/>
      <c r="Y176" s="187"/>
      <c r="Z176" s="187"/>
      <c r="AA176" s="187"/>
      <c r="AB176" s="187"/>
      <c r="AC176" s="187"/>
      <c r="AD176" s="187"/>
      <c r="AE176" s="187"/>
      <c r="AF176" s="187"/>
      <c r="AG176" s="187"/>
      <c r="AH176" s="187"/>
      <c r="AI176" s="187"/>
    </row>
    <row r="177">
      <c r="A177" s="187"/>
      <c r="B177" s="187"/>
      <c r="C177" s="187"/>
      <c r="D177" s="187"/>
      <c r="E177" s="188" t="s">
        <v>3254</v>
      </c>
      <c r="F177" s="187"/>
      <c r="G177" s="187"/>
      <c r="H177" s="187"/>
      <c r="I177" s="188" t="s">
        <v>3255</v>
      </c>
      <c r="J177" s="187"/>
      <c r="K177" s="187"/>
      <c r="L177" s="187"/>
      <c r="M177" s="192"/>
      <c r="N177" s="187"/>
      <c r="O177" s="187"/>
      <c r="P177" s="187"/>
      <c r="Q177" s="187"/>
      <c r="R177" s="187"/>
      <c r="S177" s="187"/>
      <c r="T177" s="187"/>
      <c r="U177" s="187"/>
      <c r="V177" s="187"/>
      <c r="W177" s="187"/>
      <c r="X177" s="187"/>
      <c r="Y177" s="187"/>
      <c r="Z177" s="187"/>
      <c r="AA177" s="187"/>
      <c r="AB177" s="187"/>
      <c r="AC177" s="187"/>
      <c r="AD177" s="187"/>
      <c r="AE177" s="187"/>
      <c r="AF177" s="187"/>
      <c r="AG177" s="187"/>
      <c r="AH177" s="187"/>
      <c r="AI177" s="187"/>
    </row>
    <row r="178">
      <c r="A178" s="187"/>
      <c r="B178" s="187"/>
      <c r="C178" s="187"/>
      <c r="D178" s="187"/>
      <c r="E178" s="188" t="s">
        <v>3256</v>
      </c>
      <c r="F178" s="187"/>
      <c r="G178" s="187"/>
      <c r="H178" s="187"/>
      <c r="I178" s="188" t="s">
        <v>3255</v>
      </c>
      <c r="J178" s="187"/>
      <c r="K178" s="187"/>
      <c r="L178" s="187"/>
      <c r="M178" s="192"/>
      <c r="N178" s="187"/>
      <c r="O178" s="187"/>
      <c r="P178" s="187"/>
      <c r="Q178" s="187"/>
      <c r="R178" s="187"/>
      <c r="S178" s="187"/>
      <c r="T178" s="187"/>
      <c r="U178" s="187"/>
      <c r="V178" s="187"/>
      <c r="W178" s="187"/>
      <c r="X178" s="187"/>
      <c r="Y178" s="187"/>
      <c r="Z178" s="187"/>
      <c r="AA178" s="187"/>
      <c r="AB178" s="187"/>
      <c r="AC178" s="187"/>
      <c r="AD178" s="187"/>
      <c r="AE178" s="187"/>
      <c r="AF178" s="187"/>
      <c r="AG178" s="187"/>
      <c r="AH178" s="187"/>
      <c r="AI178" s="187"/>
    </row>
    <row r="179">
      <c r="A179" s="187"/>
      <c r="B179" s="187"/>
      <c r="C179" s="187"/>
      <c r="D179" s="218"/>
      <c r="E179" s="188" t="s">
        <v>3257</v>
      </c>
      <c r="F179" s="188" t="s">
        <v>3258</v>
      </c>
      <c r="G179" s="187"/>
      <c r="H179" s="187"/>
      <c r="I179" s="188" t="s">
        <v>3255</v>
      </c>
      <c r="J179" s="187"/>
      <c r="K179" s="187"/>
      <c r="L179" s="187"/>
      <c r="M179" s="192"/>
      <c r="N179" s="187"/>
      <c r="O179" s="187"/>
      <c r="P179" s="187"/>
      <c r="Q179" s="187"/>
      <c r="R179" s="187"/>
      <c r="S179" s="187"/>
      <c r="T179" s="187"/>
      <c r="U179" s="187"/>
      <c r="V179" s="187"/>
      <c r="W179" s="187"/>
      <c r="X179" s="187"/>
      <c r="Y179" s="187"/>
      <c r="Z179" s="187"/>
      <c r="AA179" s="187"/>
      <c r="AB179" s="187"/>
      <c r="AC179" s="187"/>
      <c r="AD179" s="187"/>
      <c r="AE179" s="187"/>
      <c r="AF179" s="187"/>
      <c r="AG179" s="187"/>
      <c r="AH179" s="187"/>
      <c r="AI179" s="187"/>
    </row>
    <row r="180">
      <c r="A180" s="187"/>
      <c r="B180" s="187"/>
      <c r="C180" s="187"/>
      <c r="D180" s="187"/>
      <c r="E180" s="188" t="s">
        <v>3259</v>
      </c>
      <c r="F180" s="188" t="s">
        <v>3260</v>
      </c>
      <c r="G180" s="187"/>
      <c r="H180" s="187"/>
      <c r="I180" s="188" t="s">
        <v>3261</v>
      </c>
      <c r="J180" s="187"/>
      <c r="K180" s="187"/>
      <c r="L180" s="187"/>
      <c r="M180" s="192"/>
      <c r="N180" s="187"/>
      <c r="O180" s="187"/>
      <c r="P180" s="187"/>
      <c r="Q180" s="187"/>
      <c r="R180" s="187"/>
      <c r="S180" s="187"/>
      <c r="T180" s="187"/>
      <c r="U180" s="187"/>
      <c r="V180" s="187"/>
      <c r="W180" s="187"/>
      <c r="X180" s="187"/>
      <c r="Y180" s="187"/>
      <c r="Z180" s="187"/>
      <c r="AA180" s="187"/>
      <c r="AB180" s="187"/>
      <c r="AC180" s="187"/>
      <c r="AD180" s="187"/>
      <c r="AE180" s="187"/>
      <c r="AF180" s="187"/>
      <c r="AG180" s="187"/>
      <c r="AH180" s="187"/>
      <c r="AI180" s="187"/>
    </row>
    <row r="181">
      <c r="A181" s="187"/>
      <c r="B181" s="187"/>
      <c r="C181" s="187"/>
      <c r="D181" s="187"/>
      <c r="E181" s="188" t="s">
        <v>3262</v>
      </c>
      <c r="F181" s="188" t="s">
        <v>3263</v>
      </c>
      <c r="G181" s="187"/>
      <c r="H181" s="187"/>
      <c r="I181" s="188" t="s">
        <v>3255</v>
      </c>
      <c r="J181" s="187"/>
      <c r="K181" s="187"/>
      <c r="L181" s="187"/>
      <c r="M181" s="192"/>
      <c r="N181" s="187"/>
      <c r="O181" s="187"/>
      <c r="P181" s="187"/>
      <c r="Q181" s="187"/>
      <c r="R181" s="187"/>
      <c r="S181" s="187"/>
      <c r="T181" s="187"/>
      <c r="U181" s="187"/>
      <c r="V181" s="187"/>
      <c r="W181" s="187"/>
      <c r="X181" s="187"/>
      <c r="Y181" s="187"/>
      <c r="Z181" s="187"/>
      <c r="AA181" s="187"/>
      <c r="AB181" s="187"/>
      <c r="AC181" s="187"/>
      <c r="AD181" s="187"/>
      <c r="AE181" s="187"/>
      <c r="AF181" s="187"/>
      <c r="AG181" s="187"/>
      <c r="AH181" s="187"/>
      <c r="AI181" s="187"/>
    </row>
    <row r="182">
      <c r="A182" s="187"/>
      <c r="B182" s="187"/>
      <c r="C182" s="187"/>
      <c r="D182" s="187"/>
      <c r="E182" s="188" t="s">
        <v>3264</v>
      </c>
      <c r="F182" s="187"/>
      <c r="G182" s="187"/>
      <c r="H182" s="187"/>
      <c r="I182" s="212" t="s">
        <v>3265</v>
      </c>
      <c r="J182" s="187"/>
      <c r="K182" s="187"/>
      <c r="L182" s="187"/>
      <c r="M182" s="192"/>
      <c r="N182" s="187"/>
      <c r="O182" s="187"/>
      <c r="P182" s="187"/>
      <c r="Q182" s="187"/>
      <c r="R182" s="187"/>
      <c r="S182" s="187"/>
      <c r="T182" s="187"/>
      <c r="U182" s="187"/>
      <c r="V182" s="187"/>
      <c r="W182" s="187"/>
      <c r="X182" s="187"/>
      <c r="Y182" s="187"/>
      <c r="Z182" s="187"/>
      <c r="AA182" s="187"/>
      <c r="AB182" s="187"/>
      <c r="AC182" s="187"/>
      <c r="AD182" s="187"/>
      <c r="AE182" s="187"/>
      <c r="AF182" s="187"/>
      <c r="AG182" s="187"/>
      <c r="AH182" s="187"/>
      <c r="AI182" s="187"/>
    </row>
    <row r="183">
      <c r="A183" s="187"/>
      <c r="B183" s="187"/>
      <c r="C183" s="187"/>
      <c r="D183" s="187"/>
      <c r="E183" s="188" t="s">
        <v>3266</v>
      </c>
      <c r="F183" s="219" t="s">
        <v>3267</v>
      </c>
      <c r="G183" s="187"/>
      <c r="H183" s="187"/>
      <c r="I183" s="187"/>
      <c r="J183" s="187"/>
      <c r="K183" s="187"/>
      <c r="L183" s="187"/>
      <c r="M183" s="192"/>
      <c r="N183" s="187"/>
      <c r="O183" s="187"/>
      <c r="P183" s="187"/>
      <c r="Q183" s="187"/>
      <c r="R183" s="187"/>
      <c r="S183" s="187"/>
      <c r="T183" s="187"/>
      <c r="U183" s="187"/>
      <c r="V183" s="187"/>
      <c r="W183" s="187"/>
      <c r="X183" s="187"/>
      <c r="Y183" s="187"/>
      <c r="Z183" s="187"/>
      <c r="AA183" s="187"/>
      <c r="AB183" s="187"/>
      <c r="AC183" s="187"/>
      <c r="AD183" s="187"/>
      <c r="AE183" s="187"/>
      <c r="AF183" s="187"/>
      <c r="AG183" s="187"/>
      <c r="AH183" s="187"/>
      <c r="AI183" s="187"/>
    </row>
    <row r="184">
      <c r="A184" s="187"/>
      <c r="B184" s="187"/>
      <c r="C184" s="187"/>
      <c r="D184" s="187"/>
      <c r="E184" s="188" t="s">
        <v>3268</v>
      </c>
      <c r="F184" s="220" t="s">
        <v>3269</v>
      </c>
      <c r="G184" s="187"/>
      <c r="H184" s="187"/>
      <c r="I184" s="188" t="s">
        <v>3255</v>
      </c>
      <c r="J184" s="187"/>
      <c r="K184" s="187"/>
      <c r="L184" s="187"/>
      <c r="M184" s="192"/>
      <c r="N184" s="187"/>
      <c r="O184" s="187"/>
      <c r="P184" s="187"/>
      <c r="Q184" s="187"/>
      <c r="R184" s="187"/>
      <c r="S184" s="187"/>
      <c r="T184" s="187"/>
      <c r="U184" s="187"/>
      <c r="V184" s="187"/>
      <c r="W184" s="187"/>
      <c r="X184" s="187"/>
      <c r="Y184" s="187"/>
      <c r="Z184" s="187"/>
      <c r="AA184" s="187"/>
      <c r="AB184" s="187"/>
      <c r="AC184" s="187"/>
      <c r="AD184" s="187"/>
      <c r="AE184" s="187"/>
      <c r="AF184" s="187"/>
      <c r="AG184" s="187"/>
      <c r="AH184" s="187"/>
      <c r="AI184" s="187"/>
    </row>
    <row r="185">
      <c r="A185" s="187"/>
      <c r="B185" s="187"/>
      <c r="C185" s="187"/>
      <c r="D185" s="187"/>
      <c r="E185" s="188"/>
      <c r="F185" s="220"/>
      <c r="G185" s="187"/>
      <c r="H185" s="187"/>
      <c r="I185" s="187"/>
      <c r="J185" s="187"/>
      <c r="K185" s="187"/>
      <c r="L185" s="187"/>
      <c r="M185" s="192"/>
      <c r="N185" s="187"/>
      <c r="O185" s="187"/>
      <c r="P185" s="187"/>
      <c r="Q185" s="187"/>
      <c r="R185" s="187"/>
      <c r="S185" s="187"/>
      <c r="T185" s="187"/>
      <c r="U185" s="187"/>
      <c r="V185" s="187"/>
      <c r="W185" s="187"/>
      <c r="X185" s="187"/>
      <c r="Y185" s="187"/>
      <c r="Z185" s="187"/>
      <c r="AA185" s="187"/>
      <c r="AB185" s="187"/>
      <c r="AC185" s="187"/>
      <c r="AD185" s="187"/>
      <c r="AE185" s="187"/>
      <c r="AF185" s="187"/>
      <c r="AG185" s="187"/>
      <c r="AH185" s="187"/>
      <c r="AI185" s="187"/>
    </row>
    <row r="186">
      <c r="A186" s="187"/>
      <c r="B186" s="187"/>
      <c r="C186" s="187"/>
      <c r="D186" s="187"/>
      <c r="E186" s="188" t="s">
        <v>3270</v>
      </c>
      <c r="F186" s="220" t="s">
        <v>3271</v>
      </c>
      <c r="G186" s="187"/>
      <c r="H186" s="187"/>
      <c r="I186" s="188" t="s">
        <v>3272</v>
      </c>
      <c r="J186" s="187"/>
      <c r="K186" s="187"/>
      <c r="L186" s="187"/>
      <c r="M186" s="192"/>
      <c r="N186" s="187"/>
      <c r="O186" s="187"/>
      <c r="P186" s="187"/>
      <c r="Q186" s="187"/>
      <c r="R186" s="187"/>
      <c r="S186" s="187"/>
      <c r="T186" s="187"/>
      <c r="U186" s="187"/>
      <c r="V186" s="187"/>
      <c r="W186" s="187"/>
      <c r="X186" s="187"/>
      <c r="Y186" s="187"/>
      <c r="Z186" s="187"/>
      <c r="AA186" s="187"/>
      <c r="AB186" s="187"/>
      <c r="AC186" s="187"/>
      <c r="AD186" s="187"/>
      <c r="AE186" s="187"/>
      <c r="AF186" s="187"/>
      <c r="AG186" s="187"/>
      <c r="AH186" s="187"/>
      <c r="AI186" s="187"/>
    </row>
    <row r="187">
      <c r="A187" s="187"/>
      <c r="B187" s="187"/>
      <c r="C187" s="187"/>
      <c r="D187" s="187"/>
      <c r="E187" s="188" t="s">
        <v>3273</v>
      </c>
      <c r="F187" s="187"/>
      <c r="G187" s="187"/>
      <c r="H187" s="187"/>
      <c r="I187" s="188" t="s">
        <v>3274</v>
      </c>
      <c r="J187" s="187"/>
      <c r="K187" s="187"/>
      <c r="L187" s="187"/>
      <c r="M187" s="192"/>
      <c r="N187" s="187"/>
      <c r="O187" s="187"/>
      <c r="P187" s="187"/>
      <c r="Q187" s="187"/>
      <c r="R187" s="187"/>
      <c r="S187" s="187"/>
      <c r="T187" s="187"/>
      <c r="U187" s="187"/>
      <c r="V187" s="187"/>
      <c r="W187" s="187"/>
      <c r="X187" s="187"/>
      <c r="Y187" s="187"/>
      <c r="Z187" s="187"/>
      <c r="AA187" s="187"/>
      <c r="AB187" s="187"/>
      <c r="AC187" s="187"/>
      <c r="AD187" s="187"/>
      <c r="AE187" s="187"/>
      <c r="AF187" s="187"/>
      <c r="AG187" s="187"/>
      <c r="AH187" s="187"/>
      <c r="AI187" s="187"/>
    </row>
    <row r="188">
      <c r="A188" s="187"/>
      <c r="B188" s="187"/>
      <c r="C188" s="187"/>
      <c r="D188" s="187"/>
      <c r="E188" s="221" t="s">
        <v>3275</v>
      </c>
      <c r="F188" s="188" t="s">
        <v>3276</v>
      </c>
      <c r="G188" s="197" t="s">
        <v>3277</v>
      </c>
      <c r="H188" s="187"/>
      <c r="I188" s="187"/>
      <c r="J188" s="187"/>
      <c r="K188" s="187"/>
      <c r="L188" s="187"/>
      <c r="M188" s="192"/>
      <c r="N188" s="187"/>
      <c r="O188" s="187"/>
      <c r="P188" s="187"/>
      <c r="Q188" s="187"/>
      <c r="R188" s="187"/>
      <c r="S188" s="187"/>
      <c r="T188" s="187"/>
      <c r="U188" s="187"/>
      <c r="V188" s="187"/>
      <c r="W188" s="187"/>
      <c r="X188" s="187"/>
      <c r="Y188" s="187"/>
      <c r="Z188" s="187"/>
      <c r="AA188" s="187"/>
      <c r="AB188" s="187"/>
      <c r="AC188" s="187"/>
      <c r="AD188" s="187"/>
      <c r="AE188" s="187"/>
      <c r="AF188" s="187"/>
      <c r="AG188" s="187"/>
      <c r="AH188" s="187"/>
      <c r="AI188" s="187"/>
    </row>
    <row r="189">
      <c r="A189" s="187"/>
      <c r="B189" s="187"/>
      <c r="C189" s="187"/>
      <c r="D189" s="187"/>
      <c r="E189" s="219" t="s">
        <v>3278</v>
      </c>
      <c r="F189" s="188" t="s">
        <v>3279</v>
      </c>
      <c r="G189" s="187"/>
      <c r="H189" s="188" t="s">
        <v>3280</v>
      </c>
      <c r="I189" s="205" t="s">
        <v>3281</v>
      </c>
      <c r="J189" s="188" t="s">
        <v>3282</v>
      </c>
      <c r="K189" s="187"/>
      <c r="L189" s="187"/>
      <c r="M189" s="192"/>
      <c r="N189" s="187"/>
      <c r="O189" s="187"/>
      <c r="P189" s="187"/>
      <c r="Q189" s="187"/>
      <c r="R189" s="187"/>
      <c r="S189" s="187"/>
      <c r="T189" s="187"/>
      <c r="U189" s="187"/>
      <c r="V189" s="187"/>
      <c r="W189" s="187"/>
      <c r="X189" s="187"/>
      <c r="Y189" s="187"/>
      <c r="Z189" s="187"/>
      <c r="AA189" s="187"/>
      <c r="AB189" s="187"/>
      <c r="AC189" s="187"/>
      <c r="AD189" s="187"/>
      <c r="AE189" s="187"/>
      <c r="AF189" s="187"/>
      <c r="AG189" s="187"/>
      <c r="AH189" s="187"/>
      <c r="AI189" s="187"/>
    </row>
    <row r="190">
      <c r="A190" s="187"/>
      <c r="B190" s="187"/>
      <c r="C190" s="187"/>
      <c r="D190" s="187"/>
      <c r="E190" s="188" t="s">
        <v>3283</v>
      </c>
      <c r="F190" s="188" t="s">
        <v>3284</v>
      </c>
      <c r="G190" s="187"/>
      <c r="H190" s="187"/>
      <c r="I190" s="188" t="s">
        <v>3285</v>
      </c>
      <c r="J190" s="187"/>
      <c r="K190" s="187"/>
      <c r="L190" s="187"/>
      <c r="M190" s="192"/>
      <c r="N190" s="187"/>
      <c r="O190" s="187"/>
      <c r="P190" s="187"/>
      <c r="Q190" s="187"/>
      <c r="R190" s="187"/>
      <c r="S190" s="187"/>
      <c r="T190" s="187"/>
      <c r="U190" s="187"/>
      <c r="V190" s="187"/>
      <c r="W190" s="187"/>
      <c r="X190" s="187"/>
      <c r="Y190" s="187"/>
      <c r="Z190" s="187"/>
      <c r="AA190" s="187"/>
      <c r="AB190" s="187"/>
      <c r="AC190" s="187"/>
      <c r="AD190" s="187"/>
      <c r="AE190" s="187"/>
      <c r="AF190" s="187"/>
      <c r="AG190" s="187"/>
      <c r="AH190" s="187"/>
      <c r="AI190" s="187"/>
    </row>
    <row r="191">
      <c r="A191" s="187"/>
      <c r="B191" s="187"/>
      <c r="C191" s="187"/>
      <c r="D191" s="187"/>
      <c r="E191" s="188" t="s">
        <v>3286</v>
      </c>
      <c r="F191" s="188" t="s">
        <v>3287</v>
      </c>
      <c r="G191" s="187"/>
      <c r="H191" s="187"/>
      <c r="I191" s="205" t="s">
        <v>3288</v>
      </c>
      <c r="J191" s="194"/>
      <c r="K191" s="187"/>
      <c r="L191" s="187"/>
      <c r="M191" s="192"/>
      <c r="N191" s="187"/>
      <c r="O191" s="187"/>
      <c r="P191" s="187"/>
      <c r="Q191" s="187"/>
      <c r="R191" s="187"/>
      <c r="S191" s="187"/>
      <c r="T191" s="187"/>
      <c r="U191" s="187"/>
      <c r="V191" s="187"/>
      <c r="W191" s="187"/>
      <c r="X191" s="187"/>
      <c r="Y191" s="187"/>
      <c r="Z191" s="187"/>
      <c r="AA191" s="187"/>
      <c r="AB191" s="187"/>
      <c r="AC191" s="187"/>
      <c r="AD191" s="187"/>
      <c r="AE191" s="187"/>
      <c r="AF191" s="187"/>
      <c r="AG191" s="187"/>
      <c r="AH191" s="187"/>
      <c r="AI191" s="187"/>
    </row>
    <row r="192">
      <c r="A192" s="187"/>
      <c r="B192" s="187"/>
      <c r="C192" s="187"/>
      <c r="D192" s="187"/>
      <c r="E192" s="221" t="s">
        <v>3289</v>
      </c>
      <c r="F192" s="188" t="s">
        <v>3290</v>
      </c>
      <c r="G192" s="187"/>
      <c r="H192" s="187"/>
      <c r="I192" s="188" t="s">
        <v>3291</v>
      </c>
      <c r="J192" s="187"/>
      <c r="K192" s="187"/>
      <c r="L192" s="187"/>
      <c r="M192" s="192"/>
      <c r="N192" s="187"/>
      <c r="O192" s="187"/>
      <c r="P192" s="187"/>
      <c r="Q192" s="187"/>
      <c r="R192" s="187"/>
      <c r="S192" s="187"/>
      <c r="T192" s="187"/>
      <c r="U192" s="187"/>
      <c r="V192" s="187"/>
      <c r="W192" s="187"/>
      <c r="X192" s="187"/>
      <c r="Y192" s="187"/>
      <c r="Z192" s="187"/>
      <c r="AA192" s="187"/>
      <c r="AB192" s="187"/>
      <c r="AC192" s="187"/>
      <c r="AD192" s="187"/>
      <c r="AE192" s="187"/>
      <c r="AF192" s="187"/>
      <c r="AG192" s="187"/>
      <c r="AH192" s="187"/>
      <c r="AI192" s="187"/>
    </row>
    <row r="193">
      <c r="A193" s="187"/>
      <c r="B193" s="187"/>
      <c r="C193" s="187"/>
      <c r="D193" s="187"/>
      <c r="E193" s="188" t="s">
        <v>3292</v>
      </c>
      <c r="F193" s="187"/>
      <c r="G193" s="187"/>
      <c r="H193" s="187"/>
      <c r="I193" s="188" t="s">
        <v>3293</v>
      </c>
      <c r="J193" s="187"/>
      <c r="K193" s="187"/>
      <c r="L193" s="187"/>
      <c r="M193" s="192"/>
      <c r="N193" s="187"/>
      <c r="O193" s="187"/>
      <c r="P193" s="187"/>
      <c r="Q193" s="187"/>
      <c r="R193" s="187"/>
      <c r="S193" s="187"/>
      <c r="T193" s="187"/>
      <c r="U193" s="187"/>
      <c r="V193" s="187"/>
      <c r="W193" s="187"/>
      <c r="X193" s="187"/>
      <c r="Y193" s="187"/>
      <c r="Z193" s="187"/>
      <c r="AA193" s="187"/>
      <c r="AB193" s="187"/>
      <c r="AC193" s="187"/>
      <c r="AD193" s="187"/>
      <c r="AE193" s="187"/>
      <c r="AF193" s="187"/>
      <c r="AG193" s="187"/>
      <c r="AH193" s="187"/>
      <c r="AI193" s="187"/>
    </row>
    <row r="194">
      <c r="A194" s="187"/>
      <c r="B194" s="187"/>
      <c r="C194" s="187"/>
      <c r="D194" s="187"/>
      <c r="E194" s="188" t="s">
        <v>3294</v>
      </c>
      <c r="F194" s="221" t="s">
        <v>3295</v>
      </c>
      <c r="G194" s="187"/>
      <c r="H194" s="187"/>
      <c r="I194" s="205" t="s">
        <v>3296</v>
      </c>
      <c r="J194" s="187"/>
      <c r="K194" s="187"/>
      <c r="L194" s="187"/>
      <c r="M194" s="192"/>
      <c r="N194" s="187"/>
      <c r="O194" s="187"/>
      <c r="P194" s="187"/>
      <c r="Q194" s="187"/>
      <c r="R194" s="187"/>
      <c r="S194" s="187"/>
      <c r="T194" s="187"/>
      <c r="U194" s="187"/>
      <c r="V194" s="187"/>
      <c r="W194" s="187"/>
      <c r="X194" s="187"/>
      <c r="Y194" s="187"/>
      <c r="Z194" s="187"/>
      <c r="AA194" s="187"/>
      <c r="AB194" s="187"/>
      <c r="AC194" s="187"/>
      <c r="AD194" s="187"/>
      <c r="AE194" s="187"/>
      <c r="AF194" s="187"/>
      <c r="AG194" s="187"/>
      <c r="AH194" s="187"/>
      <c r="AI194" s="187"/>
    </row>
    <row r="195">
      <c r="A195" s="187"/>
      <c r="B195" s="187"/>
      <c r="C195" s="187"/>
      <c r="D195" s="187"/>
      <c r="E195" s="188" t="s">
        <v>3297</v>
      </c>
      <c r="F195" s="188" t="s">
        <v>3298</v>
      </c>
      <c r="G195" s="188" t="s">
        <v>3299</v>
      </c>
      <c r="H195" s="187"/>
      <c r="I195" s="187"/>
      <c r="J195" s="187"/>
      <c r="K195" s="187"/>
      <c r="L195" s="187"/>
      <c r="M195" s="192"/>
      <c r="N195" s="187"/>
      <c r="O195" s="187"/>
      <c r="P195" s="187"/>
      <c r="Q195" s="187"/>
      <c r="R195" s="187"/>
      <c r="S195" s="187"/>
      <c r="T195" s="187"/>
      <c r="U195" s="187"/>
      <c r="V195" s="187"/>
      <c r="W195" s="187"/>
      <c r="X195" s="187"/>
      <c r="Y195" s="187"/>
      <c r="Z195" s="187"/>
      <c r="AA195" s="187"/>
      <c r="AB195" s="187"/>
      <c r="AC195" s="187"/>
      <c r="AD195" s="187"/>
      <c r="AE195" s="187"/>
      <c r="AF195" s="187"/>
      <c r="AG195" s="187"/>
      <c r="AH195" s="187"/>
      <c r="AI195" s="187"/>
    </row>
    <row r="196">
      <c r="A196" s="187"/>
      <c r="B196" s="187"/>
      <c r="C196" s="187"/>
      <c r="D196" s="187"/>
      <c r="E196" s="188" t="s">
        <v>3300</v>
      </c>
      <c r="F196" s="221" t="s">
        <v>3301</v>
      </c>
      <c r="G196" s="188" t="s">
        <v>3302</v>
      </c>
      <c r="H196" s="187"/>
      <c r="I196" s="188" t="s">
        <v>3303</v>
      </c>
      <c r="J196" s="187"/>
      <c r="K196" s="187"/>
      <c r="L196" s="187"/>
      <c r="M196" s="192"/>
      <c r="N196" s="187"/>
      <c r="O196" s="187"/>
      <c r="P196" s="187"/>
      <c r="Q196" s="187"/>
      <c r="R196" s="187"/>
      <c r="S196" s="187"/>
      <c r="T196" s="187"/>
      <c r="U196" s="187"/>
      <c r="V196" s="187"/>
      <c r="W196" s="187"/>
      <c r="X196" s="187"/>
      <c r="Y196" s="187"/>
      <c r="Z196" s="187"/>
      <c r="AA196" s="187"/>
      <c r="AB196" s="187"/>
      <c r="AC196" s="187"/>
      <c r="AD196" s="187"/>
      <c r="AE196" s="187"/>
      <c r="AF196" s="187"/>
      <c r="AG196" s="187"/>
      <c r="AH196" s="187"/>
      <c r="AI196" s="187"/>
    </row>
    <row r="197">
      <c r="A197" s="187"/>
      <c r="B197" s="187"/>
      <c r="C197" s="187"/>
      <c r="D197" s="187"/>
      <c r="E197" s="188" t="s">
        <v>3304</v>
      </c>
      <c r="F197" s="188" t="s">
        <v>3305</v>
      </c>
      <c r="G197" s="187"/>
      <c r="H197" s="187"/>
      <c r="I197" s="187"/>
      <c r="J197" s="187"/>
      <c r="K197" s="187"/>
      <c r="L197" s="187"/>
      <c r="M197" s="192"/>
      <c r="N197" s="187"/>
      <c r="O197" s="187"/>
      <c r="P197" s="187"/>
      <c r="Q197" s="187"/>
      <c r="R197" s="187"/>
      <c r="S197" s="187"/>
      <c r="T197" s="187"/>
      <c r="U197" s="187"/>
      <c r="V197" s="187"/>
      <c r="W197" s="187"/>
      <c r="X197" s="187"/>
      <c r="Y197" s="187"/>
      <c r="Z197" s="187"/>
      <c r="AA197" s="187"/>
      <c r="AB197" s="187"/>
      <c r="AC197" s="187"/>
      <c r="AD197" s="187"/>
      <c r="AE197" s="187"/>
      <c r="AF197" s="187"/>
      <c r="AG197" s="187"/>
      <c r="AH197" s="187"/>
      <c r="AI197" s="187"/>
    </row>
    <row r="198">
      <c r="A198" s="187"/>
      <c r="B198" s="187"/>
      <c r="C198" s="187"/>
      <c r="D198" s="187"/>
      <c r="E198" s="188" t="s">
        <v>3306</v>
      </c>
      <c r="F198" s="188"/>
      <c r="G198" s="188" t="s">
        <v>3307</v>
      </c>
      <c r="H198" s="187"/>
      <c r="I198" s="187"/>
      <c r="J198" s="187"/>
      <c r="K198" s="187"/>
      <c r="L198" s="187"/>
      <c r="M198" s="192"/>
      <c r="N198" s="187"/>
      <c r="O198" s="187"/>
      <c r="P198" s="187"/>
      <c r="Q198" s="187"/>
      <c r="R198" s="187"/>
      <c r="S198" s="187"/>
      <c r="T198" s="187"/>
      <c r="U198" s="187"/>
      <c r="V198" s="187"/>
      <c r="W198" s="187"/>
      <c r="X198" s="187"/>
      <c r="Y198" s="187"/>
      <c r="Z198" s="187"/>
      <c r="AA198" s="187"/>
      <c r="AB198" s="187"/>
      <c r="AC198" s="187"/>
      <c r="AD198" s="187"/>
      <c r="AE198" s="187"/>
      <c r="AF198" s="187"/>
      <c r="AG198" s="187"/>
      <c r="AH198" s="187"/>
      <c r="AI198" s="187"/>
    </row>
    <row r="199">
      <c r="A199" s="187"/>
      <c r="B199" s="187"/>
      <c r="C199" s="187"/>
      <c r="D199" s="187"/>
      <c r="E199" s="188" t="s">
        <v>3308</v>
      </c>
      <c r="F199" s="188"/>
      <c r="G199" s="188" t="s">
        <v>3309</v>
      </c>
      <c r="H199" s="187"/>
      <c r="I199" s="187"/>
      <c r="J199" s="187"/>
      <c r="K199" s="187"/>
      <c r="L199" s="187"/>
      <c r="M199" s="192"/>
      <c r="N199" s="187"/>
      <c r="O199" s="187"/>
      <c r="P199" s="187"/>
      <c r="Q199" s="187"/>
      <c r="R199" s="187"/>
      <c r="S199" s="187"/>
      <c r="T199" s="187"/>
      <c r="U199" s="187"/>
      <c r="V199" s="187"/>
      <c r="W199" s="187"/>
      <c r="X199" s="187"/>
      <c r="Y199" s="187"/>
      <c r="Z199" s="187"/>
      <c r="AA199" s="187"/>
      <c r="AB199" s="187"/>
      <c r="AC199" s="187"/>
      <c r="AD199" s="187"/>
      <c r="AE199" s="187"/>
      <c r="AF199" s="187"/>
      <c r="AG199" s="187"/>
      <c r="AH199" s="187"/>
      <c r="AI199" s="187"/>
    </row>
    <row r="200">
      <c r="A200" s="187"/>
      <c r="B200" s="187"/>
      <c r="C200" s="187"/>
      <c r="D200" s="187"/>
      <c r="E200" s="188" t="s">
        <v>3310</v>
      </c>
      <c r="F200" s="188"/>
      <c r="G200" s="188" t="s">
        <v>3311</v>
      </c>
      <c r="H200" s="187"/>
      <c r="I200" s="188" t="s">
        <v>3312</v>
      </c>
      <c r="J200" s="187"/>
      <c r="K200" s="187"/>
      <c r="L200" s="187"/>
      <c r="M200" s="192"/>
      <c r="N200" s="187"/>
      <c r="O200" s="187"/>
      <c r="P200" s="187"/>
      <c r="Q200" s="187"/>
      <c r="R200" s="187"/>
      <c r="S200" s="187"/>
      <c r="T200" s="187"/>
      <c r="U200" s="187"/>
      <c r="V200" s="187"/>
      <c r="W200" s="187"/>
      <c r="X200" s="187"/>
      <c r="Y200" s="187"/>
      <c r="Z200" s="187"/>
      <c r="AA200" s="187"/>
      <c r="AB200" s="187"/>
      <c r="AC200" s="187"/>
      <c r="AD200" s="187"/>
      <c r="AE200" s="187"/>
      <c r="AF200" s="187"/>
      <c r="AG200" s="187"/>
      <c r="AH200" s="187"/>
      <c r="AI200" s="187"/>
    </row>
    <row r="201">
      <c r="A201" s="187"/>
      <c r="B201" s="187"/>
      <c r="C201" s="187"/>
      <c r="D201" s="187"/>
      <c r="E201" s="188" t="s">
        <v>3313</v>
      </c>
      <c r="F201" s="187"/>
      <c r="G201" s="187"/>
      <c r="H201" s="187"/>
      <c r="I201" s="188" t="s">
        <v>3314</v>
      </c>
      <c r="J201" s="187"/>
      <c r="K201" s="187"/>
      <c r="L201" s="187"/>
      <c r="M201" s="192"/>
      <c r="N201" s="187"/>
      <c r="O201" s="187"/>
      <c r="P201" s="187"/>
      <c r="Q201" s="187"/>
      <c r="R201" s="187"/>
      <c r="S201" s="187"/>
      <c r="T201" s="187"/>
      <c r="U201" s="187"/>
      <c r="V201" s="187"/>
      <c r="W201" s="187"/>
      <c r="X201" s="187"/>
      <c r="Y201" s="187"/>
      <c r="Z201" s="187"/>
      <c r="AA201" s="187"/>
      <c r="AB201" s="187"/>
      <c r="AC201" s="187"/>
      <c r="AD201" s="187"/>
      <c r="AE201" s="187"/>
      <c r="AF201" s="187"/>
      <c r="AG201" s="187"/>
      <c r="AH201" s="187"/>
      <c r="AI201" s="187"/>
    </row>
    <row r="202">
      <c r="A202" s="187"/>
      <c r="B202" s="187"/>
      <c r="C202" s="187"/>
      <c r="D202" s="187"/>
      <c r="E202" s="188" t="s">
        <v>3315</v>
      </c>
      <c r="F202" s="187"/>
      <c r="G202" s="187"/>
      <c r="H202" s="187"/>
      <c r="I202" s="188" t="s">
        <v>3101</v>
      </c>
      <c r="J202" s="188" t="s">
        <v>3316</v>
      </c>
      <c r="K202" s="187"/>
      <c r="L202" s="187"/>
      <c r="M202" s="192"/>
      <c r="N202" s="187"/>
      <c r="O202" s="187"/>
      <c r="P202" s="187"/>
      <c r="Q202" s="187"/>
      <c r="R202" s="187"/>
      <c r="S202" s="187"/>
      <c r="T202" s="187"/>
      <c r="U202" s="187"/>
      <c r="V202" s="187"/>
      <c r="W202" s="187"/>
      <c r="X202" s="187"/>
      <c r="Y202" s="187"/>
      <c r="Z202" s="187"/>
      <c r="AA202" s="187"/>
      <c r="AB202" s="187"/>
      <c r="AC202" s="187"/>
      <c r="AD202" s="187"/>
      <c r="AE202" s="187"/>
      <c r="AF202" s="187"/>
      <c r="AG202" s="187"/>
      <c r="AH202" s="187"/>
      <c r="AI202" s="187"/>
    </row>
    <row r="203">
      <c r="A203" s="187"/>
      <c r="B203" s="187"/>
      <c r="C203" s="187"/>
      <c r="D203" s="187"/>
      <c r="E203" s="188" t="s">
        <v>3317</v>
      </c>
      <c r="F203" s="187"/>
      <c r="G203" s="187"/>
      <c r="H203" s="187"/>
      <c r="I203" s="188" t="s">
        <v>2735</v>
      </c>
      <c r="J203" s="187"/>
      <c r="K203" s="187"/>
      <c r="L203" s="187"/>
      <c r="M203" s="192"/>
      <c r="N203" s="187"/>
      <c r="O203" s="187"/>
      <c r="P203" s="187"/>
      <c r="Q203" s="187"/>
      <c r="R203" s="187"/>
      <c r="S203" s="187"/>
      <c r="T203" s="187"/>
      <c r="U203" s="187"/>
      <c r="V203" s="187"/>
      <c r="W203" s="187"/>
      <c r="X203" s="187"/>
      <c r="Y203" s="187"/>
      <c r="Z203" s="187"/>
      <c r="AA203" s="187"/>
      <c r="AB203" s="187"/>
      <c r="AC203" s="187"/>
      <c r="AD203" s="187"/>
      <c r="AE203" s="187"/>
      <c r="AF203" s="187"/>
      <c r="AG203" s="187"/>
      <c r="AH203" s="187"/>
      <c r="AI203" s="187"/>
    </row>
    <row r="204">
      <c r="A204" s="187"/>
      <c r="B204" s="187"/>
      <c r="C204" s="187"/>
      <c r="D204" s="187"/>
      <c r="E204" s="188" t="s">
        <v>3318</v>
      </c>
      <c r="F204" s="221" t="s">
        <v>3319</v>
      </c>
      <c r="G204" s="187"/>
      <c r="H204" s="187"/>
      <c r="I204" s="188" t="s">
        <v>3320</v>
      </c>
      <c r="J204" s="187"/>
      <c r="K204" s="187"/>
      <c r="L204" s="187"/>
      <c r="M204" s="192"/>
      <c r="N204" s="187"/>
      <c r="O204" s="187"/>
      <c r="P204" s="187"/>
      <c r="Q204" s="187"/>
      <c r="R204" s="187"/>
      <c r="S204" s="187"/>
      <c r="T204" s="187"/>
      <c r="U204" s="187"/>
      <c r="V204" s="187"/>
      <c r="W204" s="187"/>
      <c r="X204" s="187"/>
      <c r="Y204" s="187"/>
      <c r="Z204" s="187"/>
      <c r="AA204" s="187"/>
      <c r="AB204" s="187"/>
      <c r="AC204" s="187"/>
      <c r="AD204" s="187"/>
      <c r="AE204" s="187"/>
      <c r="AF204" s="187"/>
      <c r="AG204" s="187"/>
      <c r="AH204" s="187"/>
      <c r="AI204" s="187"/>
    </row>
    <row r="205">
      <c r="A205" s="187"/>
      <c r="B205" s="187"/>
      <c r="C205" s="187"/>
      <c r="D205" s="188"/>
      <c r="E205" s="188" t="s">
        <v>3321</v>
      </c>
      <c r="F205" s="222" t="s">
        <v>3322</v>
      </c>
      <c r="G205" s="187"/>
      <c r="H205" s="187"/>
      <c r="I205" s="188" t="s">
        <v>2735</v>
      </c>
      <c r="J205" s="187"/>
      <c r="K205" s="187"/>
      <c r="L205" s="187"/>
      <c r="M205" s="192"/>
      <c r="N205" s="187"/>
      <c r="O205" s="187"/>
      <c r="P205" s="187"/>
      <c r="Q205" s="187"/>
      <c r="R205" s="187"/>
      <c r="S205" s="187"/>
      <c r="T205" s="187"/>
      <c r="U205" s="187"/>
      <c r="V205" s="187"/>
      <c r="W205" s="187"/>
      <c r="X205" s="187"/>
      <c r="Y205" s="187"/>
      <c r="Z205" s="187"/>
      <c r="AA205" s="187"/>
      <c r="AB205" s="187"/>
      <c r="AC205" s="187"/>
      <c r="AD205" s="187"/>
      <c r="AE205" s="187"/>
      <c r="AF205" s="187"/>
      <c r="AG205" s="187"/>
      <c r="AH205" s="187"/>
      <c r="AI205" s="187"/>
    </row>
    <row r="206">
      <c r="A206" s="187"/>
      <c r="B206" s="187"/>
      <c r="C206" s="187"/>
      <c r="D206" s="187"/>
      <c r="E206" s="187"/>
      <c r="F206" s="187"/>
      <c r="G206" s="187"/>
      <c r="H206" s="187"/>
      <c r="I206" s="187"/>
      <c r="J206" s="187"/>
      <c r="K206" s="187"/>
      <c r="L206" s="187"/>
      <c r="M206" s="192"/>
      <c r="N206" s="187"/>
      <c r="O206" s="187"/>
      <c r="P206" s="187"/>
      <c r="Q206" s="187"/>
      <c r="R206" s="187"/>
      <c r="S206" s="187"/>
      <c r="T206" s="187"/>
      <c r="U206" s="187"/>
      <c r="V206" s="187"/>
      <c r="W206" s="187"/>
      <c r="X206" s="187"/>
      <c r="Y206" s="187"/>
      <c r="Z206" s="187"/>
      <c r="AA206" s="187"/>
      <c r="AB206" s="187"/>
      <c r="AC206" s="187"/>
      <c r="AD206" s="187"/>
      <c r="AE206" s="187"/>
      <c r="AF206" s="187"/>
      <c r="AG206" s="187"/>
      <c r="AH206" s="187"/>
      <c r="AI206" s="187"/>
    </row>
    <row r="207">
      <c r="A207" s="187"/>
      <c r="B207" s="187"/>
      <c r="C207" s="188" t="s">
        <v>3323</v>
      </c>
      <c r="D207" s="187"/>
      <c r="E207" s="188" t="s">
        <v>3324</v>
      </c>
      <c r="F207" s="188" t="s">
        <v>3325</v>
      </c>
      <c r="G207" s="188" t="s">
        <v>3326</v>
      </c>
      <c r="H207" s="187"/>
      <c r="I207" s="188" t="s">
        <v>3327</v>
      </c>
      <c r="J207" s="187"/>
      <c r="K207" s="187"/>
      <c r="L207" s="187"/>
      <c r="M207" s="192"/>
      <c r="N207" s="187"/>
      <c r="O207" s="187"/>
      <c r="P207" s="187"/>
      <c r="Q207" s="187"/>
      <c r="R207" s="187"/>
      <c r="S207" s="187"/>
      <c r="T207" s="187"/>
      <c r="U207" s="187"/>
      <c r="V207" s="187"/>
      <c r="W207" s="187"/>
      <c r="X207" s="187"/>
      <c r="Y207" s="187"/>
      <c r="Z207" s="187"/>
      <c r="AA207" s="187"/>
      <c r="AB207" s="187"/>
      <c r="AC207" s="187"/>
      <c r="AD207" s="187"/>
      <c r="AE207" s="187"/>
      <c r="AF207" s="187"/>
      <c r="AG207" s="187"/>
      <c r="AH207" s="187"/>
      <c r="AI207" s="187"/>
    </row>
    <row r="208">
      <c r="A208" s="187"/>
      <c r="B208" s="187"/>
      <c r="C208" s="188" t="s">
        <v>3323</v>
      </c>
      <c r="D208" s="187"/>
      <c r="E208" s="188" t="s">
        <v>3328</v>
      </c>
      <c r="F208" s="188" t="s">
        <v>3329</v>
      </c>
      <c r="G208" s="187"/>
      <c r="H208" s="187"/>
      <c r="I208" s="188" t="s">
        <v>2828</v>
      </c>
      <c r="J208" s="187"/>
      <c r="K208" s="187"/>
      <c r="L208" s="187"/>
      <c r="M208" s="192"/>
      <c r="N208" s="187"/>
      <c r="O208" s="187"/>
      <c r="P208" s="187"/>
      <c r="Q208" s="187"/>
      <c r="R208" s="187"/>
      <c r="S208" s="187"/>
      <c r="T208" s="187"/>
      <c r="U208" s="187"/>
      <c r="V208" s="187"/>
      <c r="W208" s="187"/>
      <c r="X208" s="187"/>
      <c r="Y208" s="187"/>
      <c r="Z208" s="187"/>
      <c r="AA208" s="187"/>
      <c r="AB208" s="187"/>
      <c r="AC208" s="187"/>
      <c r="AD208" s="187"/>
      <c r="AE208" s="187"/>
      <c r="AF208" s="187"/>
      <c r="AG208" s="187"/>
      <c r="AH208" s="187"/>
      <c r="AI208" s="187"/>
    </row>
    <row r="209">
      <c r="A209" s="187"/>
      <c r="B209" s="187"/>
      <c r="C209" s="188" t="s">
        <v>3323</v>
      </c>
      <c r="D209" s="187"/>
      <c r="E209" s="188" t="s">
        <v>3330</v>
      </c>
      <c r="F209" s="188" t="s">
        <v>3331</v>
      </c>
      <c r="G209" s="188"/>
      <c r="H209" s="188" t="s">
        <v>3332</v>
      </c>
      <c r="I209" s="188" t="s">
        <v>3333</v>
      </c>
      <c r="J209" s="187"/>
      <c r="K209" s="187"/>
      <c r="L209" s="187"/>
      <c r="M209" s="192"/>
      <c r="N209" s="187"/>
      <c r="O209" s="187"/>
      <c r="P209" s="187"/>
      <c r="Q209" s="187"/>
      <c r="R209" s="187"/>
      <c r="S209" s="187"/>
      <c r="T209" s="187"/>
      <c r="U209" s="187"/>
      <c r="V209" s="187"/>
      <c r="W209" s="187"/>
      <c r="X209" s="187"/>
      <c r="Y209" s="187"/>
      <c r="Z209" s="187"/>
      <c r="AA209" s="187"/>
      <c r="AB209" s="187"/>
      <c r="AC209" s="187"/>
      <c r="AD209" s="187"/>
      <c r="AE209" s="187"/>
      <c r="AF209" s="187"/>
      <c r="AG209" s="187"/>
      <c r="AH209" s="187"/>
      <c r="AI209" s="187"/>
    </row>
    <row r="210">
      <c r="A210" s="187"/>
      <c r="B210" s="187"/>
      <c r="C210" s="188" t="s">
        <v>3323</v>
      </c>
      <c r="D210" s="187"/>
      <c r="E210" s="188" t="s">
        <v>3334</v>
      </c>
      <c r="F210" s="188" t="s">
        <v>3335</v>
      </c>
      <c r="G210" s="188" t="s">
        <v>3336</v>
      </c>
      <c r="H210" s="187"/>
      <c r="I210" s="188" t="s">
        <v>3101</v>
      </c>
      <c r="J210" s="187"/>
      <c r="K210" s="187"/>
      <c r="L210" s="187"/>
      <c r="M210" s="192"/>
      <c r="N210" s="187"/>
      <c r="O210" s="187"/>
      <c r="P210" s="187"/>
      <c r="Q210" s="187"/>
      <c r="R210" s="187"/>
      <c r="S210" s="187"/>
      <c r="T210" s="187"/>
      <c r="U210" s="187"/>
      <c r="V210" s="187"/>
      <c r="W210" s="187"/>
      <c r="X210" s="187"/>
      <c r="Y210" s="187"/>
      <c r="Z210" s="187"/>
      <c r="AA210" s="187"/>
      <c r="AB210" s="187"/>
      <c r="AC210" s="187"/>
      <c r="AD210" s="187"/>
      <c r="AE210" s="187"/>
      <c r="AF210" s="187"/>
      <c r="AG210" s="187"/>
      <c r="AH210" s="187"/>
      <c r="AI210" s="187"/>
    </row>
    <row r="211">
      <c r="A211" s="187"/>
      <c r="B211" s="187"/>
      <c r="C211" s="188" t="s">
        <v>3323</v>
      </c>
      <c r="D211" s="187"/>
      <c r="E211" s="188" t="s">
        <v>3337</v>
      </c>
      <c r="F211" s="188" t="s">
        <v>3338</v>
      </c>
      <c r="G211" s="187"/>
      <c r="H211" s="188" t="s">
        <v>3339</v>
      </c>
      <c r="I211" s="188" t="s">
        <v>2828</v>
      </c>
      <c r="J211" s="187"/>
      <c r="K211" s="187"/>
      <c r="L211" s="187"/>
      <c r="M211" s="192"/>
      <c r="N211" s="187"/>
      <c r="O211" s="187"/>
      <c r="P211" s="187"/>
      <c r="Q211" s="187"/>
      <c r="R211" s="187"/>
      <c r="S211" s="187"/>
      <c r="T211" s="187"/>
      <c r="U211" s="187"/>
      <c r="V211" s="187"/>
      <c r="W211" s="187"/>
      <c r="X211" s="187"/>
      <c r="Y211" s="187"/>
      <c r="Z211" s="187"/>
      <c r="AA211" s="187"/>
      <c r="AB211" s="187"/>
      <c r="AC211" s="187"/>
      <c r="AD211" s="187"/>
      <c r="AE211" s="187"/>
      <c r="AF211" s="187"/>
      <c r="AG211" s="187"/>
      <c r="AH211" s="187"/>
      <c r="AI211" s="187"/>
    </row>
    <row r="212">
      <c r="A212" s="187"/>
      <c r="B212" s="187"/>
      <c r="C212" s="188" t="s">
        <v>3323</v>
      </c>
      <c r="D212" s="187"/>
      <c r="E212" s="188" t="s">
        <v>3340</v>
      </c>
      <c r="F212" s="187"/>
      <c r="G212" s="187"/>
      <c r="H212" s="188"/>
      <c r="I212" s="188"/>
      <c r="J212" s="187"/>
      <c r="K212" s="187"/>
      <c r="L212" s="187"/>
      <c r="M212" s="192"/>
      <c r="N212" s="187"/>
      <c r="O212" s="187"/>
      <c r="P212" s="187"/>
      <c r="Q212" s="187"/>
      <c r="R212" s="187"/>
      <c r="S212" s="187"/>
      <c r="T212" s="187"/>
      <c r="U212" s="187"/>
      <c r="V212" s="187"/>
      <c r="W212" s="187"/>
      <c r="X212" s="187"/>
      <c r="Y212" s="187"/>
      <c r="Z212" s="187"/>
      <c r="AA212" s="187"/>
      <c r="AB212" s="187"/>
      <c r="AC212" s="187"/>
      <c r="AD212" s="187"/>
      <c r="AE212" s="187"/>
      <c r="AF212" s="187"/>
      <c r="AG212" s="187"/>
      <c r="AH212" s="187"/>
      <c r="AI212" s="187"/>
    </row>
    <row r="213">
      <c r="A213" s="187"/>
      <c r="B213" s="187"/>
      <c r="C213" s="188" t="s">
        <v>3323</v>
      </c>
      <c r="D213" s="187"/>
      <c r="E213" s="188" t="s">
        <v>3341</v>
      </c>
      <c r="F213" s="188" t="s">
        <v>3342</v>
      </c>
      <c r="G213" s="188" t="s">
        <v>3343</v>
      </c>
      <c r="H213" s="188"/>
      <c r="I213" s="188"/>
      <c r="J213" s="187"/>
      <c r="K213" s="187"/>
      <c r="L213" s="187"/>
      <c r="M213" s="192"/>
      <c r="N213" s="187"/>
      <c r="O213" s="187"/>
      <c r="P213" s="187"/>
      <c r="Q213" s="187"/>
      <c r="R213" s="187"/>
      <c r="S213" s="187"/>
      <c r="T213" s="187"/>
      <c r="U213" s="187"/>
      <c r="V213" s="187"/>
      <c r="W213" s="187"/>
      <c r="X213" s="187"/>
      <c r="Y213" s="187"/>
      <c r="Z213" s="187"/>
      <c r="AA213" s="187"/>
      <c r="AB213" s="187"/>
      <c r="AC213" s="187"/>
      <c r="AD213" s="187"/>
      <c r="AE213" s="187"/>
      <c r="AF213" s="187"/>
      <c r="AG213" s="187"/>
      <c r="AH213" s="187"/>
      <c r="AI213" s="187"/>
    </row>
    <row r="214">
      <c r="A214" s="187"/>
      <c r="B214" s="187"/>
      <c r="C214" s="188" t="s">
        <v>3323</v>
      </c>
      <c r="D214" s="187"/>
      <c r="E214" s="188" t="s">
        <v>3344</v>
      </c>
      <c r="F214" s="188" t="s">
        <v>3345</v>
      </c>
      <c r="G214" s="187"/>
      <c r="H214" s="188"/>
      <c r="I214" s="188"/>
      <c r="J214" s="187"/>
      <c r="K214" s="187"/>
      <c r="L214" s="187"/>
      <c r="M214" s="192"/>
      <c r="N214" s="187"/>
      <c r="O214" s="187"/>
      <c r="P214" s="187"/>
      <c r="Q214" s="187"/>
      <c r="R214" s="187"/>
      <c r="S214" s="187"/>
      <c r="T214" s="187"/>
      <c r="U214" s="187"/>
      <c r="V214" s="187"/>
      <c r="W214" s="187"/>
      <c r="X214" s="187"/>
      <c r="Y214" s="187"/>
      <c r="Z214" s="187"/>
      <c r="AA214" s="187"/>
      <c r="AB214" s="187"/>
      <c r="AC214" s="187"/>
      <c r="AD214" s="187"/>
      <c r="AE214" s="187"/>
      <c r="AF214" s="187"/>
      <c r="AG214" s="187"/>
      <c r="AH214" s="187"/>
      <c r="AI214" s="187"/>
    </row>
    <row r="215">
      <c r="A215" s="187"/>
      <c r="B215" s="187"/>
      <c r="C215" s="188" t="s">
        <v>3323</v>
      </c>
      <c r="D215" s="187"/>
      <c r="E215" s="188" t="s">
        <v>3346</v>
      </c>
      <c r="F215" s="188" t="s">
        <v>3347</v>
      </c>
      <c r="G215" s="188" t="s">
        <v>3348</v>
      </c>
      <c r="H215" s="188"/>
      <c r="I215" s="188"/>
      <c r="J215" s="187"/>
      <c r="K215" s="187"/>
      <c r="L215" s="187"/>
      <c r="M215" s="192"/>
      <c r="N215" s="187"/>
      <c r="O215" s="187"/>
      <c r="P215" s="187"/>
      <c r="Q215" s="187"/>
      <c r="R215" s="187"/>
      <c r="S215" s="187"/>
      <c r="T215" s="187"/>
      <c r="U215" s="187"/>
      <c r="V215" s="187"/>
      <c r="W215" s="187"/>
      <c r="X215" s="187"/>
      <c r="Y215" s="187"/>
      <c r="Z215" s="187"/>
      <c r="AA215" s="187"/>
      <c r="AB215" s="187"/>
      <c r="AC215" s="187"/>
      <c r="AD215" s="187"/>
      <c r="AE215" s="187"/>
      <c r="AF215" s="187"/>
      <c r="AG215" s="187"/>
      <c r="AH215" s="187"/>
      <c r="AI215" s="187"/>
    </row>
    <row r="216">
      <c r="A216" s="187"/>
      <c r="B216" s="187"/>
      <c r="C216" s="188"/>
      <c r="D216" s="187"/>
      <c r="E216" s="188"/>
      <c r="F216" s="187"/>
      <c r="G216" s="187"/>
      <c r="H216" s="188"/>
      <c r="I216" s="188"/>
      <c r="J216" s="187"/>
      <c r="K216" s="187"/>
      <c r="L216" s="187"/>
      <c r="M216" s="192"/>
      <c r="N216" s="187"/>
      <c r="O216" s="187"/>
      <c r="P216" s="187"/>
      <c r="Q216" s="187"/>
      <c r="R216" s="187"/>
      <c r="S216" s="187"/>
      <c r="T216" s="187"/>
      <c r="U216" s="187"/>
      <c r="V216" s="187"/>
      <c r="W216" s="187"/>
      <c r="X216" s="187"/>
      <c r="Y216" s="187"/>
      <c r="Z216" s="187"/>
      <c r="AA216" s="187"/>
      <c r="AB216" s="187"/>
      <c r="AC216" s="187"/>
      <c r="AD216" s="187"/>
      <c r="AE216" s="187"/>
      <c r="AF216" s="187"/>
      <c r="AG216" s="187"/>
      <c r="AH216" s="187"/>
      <c r="AI216" s="187"/>
    </row>
    <row r="217">
      <c r="A217" s="187"/>
      <c r="B217" s="187"/>
      <c r="C217" s="188"/>
      <c r="D217" s="187"/>
      <c r="E217" s="188"/>
      <c r="F217" s="187"/>
      <c r="G217" s="187"/>
      <c r="H217" s="188"/>
      <c r="I217" s="188"/>
      <c r="J217" s="187"/>
      <c r="K217" s="187"/>
      <c r="L217" s="187"/>
      <c r="M217" s="192"/>
      <c r="N217" s="187"/>
      <c r="O217" s="187"/>
      <c r="P217" s="187"/>
      <c r="Q217" s="187"/>
      <c r="R217" s="187"/>
      <c r="S217" s="187"/>
      <c r="T217" s="187"/>
      <c r="U217" s="187"/>
      <c r="V217" s="187"/>
      <c r="W217" s="187"/>
      <c r="X217" s="187"/>
      <c r="Y217" s="187"/>
      <c r="Z217" s="187"/>
      <c r="AA217" s="187"/>
      <c r="AB217" s="187"/>
      <c r="AC217" s="187"/>
      <c r="AD217" s="187"/>
      <c r="AE217" s="187"/>
      <c r="AF217" s="187"/>
      <c r="AG217" s="187"/>
      <c r="AH217" s="187"/>
      <c r="AI217" s="187"/>
    </row>
    <row r="218">
      <c r="A218" s="187"/>
      <c r="B218" s="187"/>
      <c r="C218" s="188"/>
      <c r="D218" s="187"/>
      <c r="E218" s="188"/>
      <c r="F218" s="187"/>
      <c r="G218" s="187"/>
      <c r="H218" s="188"/>
      <c r="I218" s="188"/>
      <c r="J218" s="187"/>
      <c r="K218" s="187"/>
      <c r="L218" s="187"/>
      <c r="M218" s="192"/>
      <c r="N218" s="187"/>
      <c r="O218" s="187"/>
      <c r="P218" s="187"/>
      <c r="Q218" s="187"/>
      <c r="R218" s="187"/>
      <c r="S218" s="187"/>
      <c r="T218" s="187"/>
      <c r="U218" s="187"/>
      <c r="V218" s="187"/>
      <c r="W218" s="187"/>
      <c r="X218" s="187"/>
      <c r="Y218" s="187"/>
      <c r="Z218" s="187"/>
      <c r="AA218" s="187"/>
      <c r="AB218" s="187"/>
      <c r="AC218" s="187"/>
      <c r="AD218" s="187"/>
      <c r="AE218" s="187"/>
      <c r="AF218" s="187"/>
      <c r="AG218" s="187"/>
      <c r="AH218" s="187"/>
      <c r="AI218" s="187"/>
    </row>
    <row r="219">
      <c r="A219" s="187"/>
      <c r="B219" s="187"/>
      <c r="C219" s="188" t="s">
        <v>3349</v>
      </c>
      <c r="D219" s="187"/>
      <c r="E219" s="188" t="s">
        <v>3350</v>
      </c>
      <c r="F219" s="187"/>
      <c r="G219" s="187"/>
      <c r="H219" s="188" t="s">
        <v>3351</v>
      </c>
      <c r="I219" s="188" t="s">
        <v>2828</v>
      </c>
      <c r="J219" s="187"/>
      <c r="K219" s="187"/>
      <c r="L219" s="187"/>
      <c r="M219" s="192"/>
      <c r="N219" s="187"/>
      <c r="O219" s="187"/>
      <c r="P219" s="187"/>
      <c r="Q219" s="187"/>
      <c r="R219" s="187"/>
      <c r="S219" s="187"/>
      <c r="T219" s="187"/>
      <c r="U219" s="187"/>
      <c r="V219" s="187"/>
      <c r="W219" s="187"/>
      <c r="X219" s="187"/>
      <c r="Y219" s="187"/>
      <c r="Z219" s="187"/>
      <c r="AA219" s="187"/>
      <c r="AB219" s="187"/>
      <c r="AC219" s="187"/>
      <c r="AD219" s="187"/>
      <c r="AE219" s="187"/>
      <c r="AF219" s="187"/>
      <c r="AG219" s="187"/>
      <c r="AH219" s="187"/>
      <c r="AI219" s="187"/>
    </row>
    <row r="220">
      <c r="A220" s="187"/>
      <c r="B220" s="187"/>
      <c r="C220" s="188" t="s">
        <v>3349</v>
      </c>
      <c r="D220" s="187"/>
      <c r="E220" s="188" t="s">
        <v>3352</v>
      </c>
      <c r="F220" s="187"/>
      <c r="G220" s="188" t="s">
        <v>3353</v>
      </c>
      <c r="H220" s="187"/>
      <c r="I220" s="188" t="s">
        <v>3354</v>
      </c>
      <c r="J220" s="187"/>
      <c r="K220" s="187"/>
      <c r="L220" s="187"/>
      <c r="M220" s="192"/>
      <c r="N220" s="187"/>
      <c r="O220" s="187"/>
      <c r="P220" s="187"/>
      <c r="Q220" s="187"/>
      <c r="R220" s="187"/>
      <c r="S220" s="187"/>
      <c r="T220" s="187"/>
      <c r="U220" s="187"/>
      <c r="V220" s="187"/>
      <c r="W220" s="187"/>
      <c r="X220" s="187"/>
      <c r="Y220" s="187"/>
      <c r="Z220" s="187"/>
      <c r="AA220" s="187"/>
      <c r="AB220" s="187"/>
      <c r="AC220" s="187"/>
      <c r="AD220" s="187"/>
      <c r="AE220" s="187"/>
      <c r="AF220" s="187"/>
      <c r="AG220" s="187"/>
      <c r="AH220" s="187"/>
      <c r="AI220" s="187"/>
    </row>
    <row r="221">
      <c r="A221" s="187"/>
      <c r="B221" s="187"/>
      <c r="C221" s="223">
        <v>8.369647488E9</v>
      </c>
      <c r="D221" s="187"/>
      <c r="E221" s="187"/>
      <c r="F221" s="187"/>
      <c r="G221" s="187"/>
      <c r="H221" s="187"/>
      <c r="I221" s="187"/>
      <c r="J221" s="187"/>
      <c r="K221" s="187"/>
      <c r="L221" s="187"/>
      <c r="M221" s="192"/>
      <c r="N221" s="187"/>
      <c r="O221" s="187"/>
      <c r="P221" s="187"/>
      <c r="Q221" s="187"/>
      <c r="R221" s="187"/>
      <c r="S221" s="187"/>
      <c r="T221" s="187"/>
      <c r="U221" s="187"/>
      <c r="V221" s="187"/>
      <c r="W221" s="187"/>
      <c r="X221" s="187"/>
      <c r="Y221" s="187"/>
      <c r="Z221" s="187"/>
      <c r="AA221" s="187"/>
      <c r="AB221" s="187"/>
      <c r="AC221" s="187"/>
      <c r="AD221" s="187"/>
      <c r="AE221" s="187"/>
      <c r="AF221" s="187"/>
      <c r="AG221" s="187"/>
      <c r="AH221" s="187"/>
      <c r="AI221" s="187"/>
    </row>
    <row r="222">
      <c r="A222" s="187"/>
      <c r="B222" s="187"/>
      <c r="C222" s="188" t="s">
        <v>3349</v>
      </c>
      <c r="D222" s="187"/>
      <c r="E222" s="188" t="s">
        <v>3355</v>
      </c>
      <c r="F222" s="188"/>
      <c r="G222" s="188" t="s">
        <v>3356</v>
      </c>
      <c r="H222" s="187"/>
      <c r="I222" s="187"/>
      <c r="J222" s="187"/>
      <c r="K222" s="187"/>
      <c r="L222" s="187"/>
      <c r="M222" s="192"/>
      <c r="N222" s="187"/>
      <c r="O222" s="187"/>
      <c r="P222" s="187"/>
      <c r="Q222" s="187"/>
      <c r="R222" s="187"/>
      <c r="S222" s="187"/>
      <c r="T222" s="187"/>
      <c r="U222" s="187"/>
      <c r="V222" s="187"/>
      <c r="W222" s="187"/>
      <c r="X222" s="187"/>
      <c r="Y222" s="187"/>
      <c r="Z222" s="187"/>
      <c r="AA222" s="187"/>
      <c r="AB222" s="187"/>
      <c r="AC222" s="187"/>
      <c r="AD222" s="187"/>
      <c r="AE222" s="187"/>
      <c r="AF222" s="187"/>
      <c r="AG222" s="187"/>
      <c r="AH222" s="187"/>
      <c r="AI222" s="187"/>
    </row>
    <row r="223">
      <c r="A223" s="187"/>
      <c r="B223" s="187"/>
      <c r="C223" s="188" t="s">
        <v>3357</v>
      </c>
      <c r="D223" s="188" t="s">
        <v>3358</v>
      </c>
      <c r="E223" s="188" t="s">
        <v>3359</v>
      </c>
      <c r="F223" s="187"/>
      <c r="G223" s="188" t="s">
        <v>3360</v>
      </c>
      <c r="H223" s="187"/>
      <c r="I223" s="188" t="s">
        <v>3361</v>
      </c>
      <c r="J223" s="187"/>
      <c r="K223" s="187"/>
      <c r="L223" s="187"/>
      <c r="M223" s="192"/>
      <c r="N223" s="187"/>
      <c r="O223" s="187"/>
      <c r="P223" s="187"/>
      <c r="Q223" s="187"/>
      <c r="R223" s="187"/>
      <c r="S223" s="187"/>
      <c r="T223" s="187"/>
      <c r="U223" s="187"/>
      <c r="V223" s="187"/>
      <c r="W223" s="187"/>
      <c r="X223" s="187"/>
      <c r="Y223" s="187"/>
      <c r="Z223" s="187"/>
      <c r="AA223" s="187"/>
      <c r="AB223" s="187"/>
      <c r="AC223" s="187"/>
      <c r="AD223" s="187"/>
      <c r="AE223" s="187"/>
      <c r="AF223" s="187"/>
      <c r="AG223" s="187"/>
      <c r="AH223" s="187"/>
      <c r="AI223" s="187"/>
    </row>
    <row r="224">
      <c r="A224" s="187"/>
      <c r="B224" s="187"/>
      <c r="C224" s="188" t="s">
        <v>3349</v>
      </c>
      <c r="D224" s="187"/>
      <c r="E224" s="188" t="s">
        <v>3362</v>
      </c>
      <c r="F224" s="188" t="s">
        <v>3363</v>
      </c>
      <c r="G224" s="188" t="s">
        <v>3364</v>
      </c>
      <c r="H224" s="187"/>
      <c r="I224" s="187"/>
      <c r="J224" s="187"/>
      <c r="K224" s="187"/>
      <c r="L224" s="187"/>
      <c r="M224" s="192"/>
      <c r="N224" s="187"/>
      <c r="O224" s="187"/>
      <c r="P224" s="187"/>
      <c r="Q224" s="187"/>
      <c r="R224" s="187"/>
      <c r="S224" s="187"/>
      <c r="T224" s="187"/>
      <c r="U224" s="187"/>
      <c r="V224" s="187"/>
      <c r="W224" s="187"/>
      <c r="X224" s="187"/>
      <c r="Y224" s="187"/>
      <c r="Z224" s="187"/>
      <c r="AA224" s="187"/>
      <c r="AB224" s="187"/>
      <c r="AC224" s="187"/>
      <c r="AD224" s="187"/>
      <c r="AE224" s="187"/>
      <c r="AF224" s="187"/>
      <c r="AG224" s="187"/>
      <c r="AH224" s="187"/>
      <c r="AI224" s="187"/>
    </row>
    <row r="225">
      <c r="A225" s="187"/>
      <c r="B225" s="187"/>
      <c r="C225" s="188" t="s">
        <v>3357</v>
      </c>
      <c r="D225" s="187"/>
      <c r="E225" s="188" t="s">
        <v>3365</v>
      </c>
      <c r="F225" s="187"/>
      <c r="G225" s="188" t="s">
        <v>3366</v>
      </c>
      <c r="H225" s="187"/>
      <c r="I225" s="187"/>
      <c r="J225" s="187"/>
      <c r="K225" s="187"/>
      <c r="L225" s="187"/>
      <c r="M225" s="192"/>
      <c r="N225" s="187"/>
      <c r="O225" s="187"/>
      <c r="P225" s="187"/>
      <c r="Q225" s="187"/>
      <c r="R225" s="187"/>
      <c r="S225" s="187"/>
      <c r="T225" s="187"/>
      <c r="U225" s="187"/>
      <c r="V225" s="187"/>
      <c r="W225" s="187"/>
      <c r="X225" s="187"/>
      <c r="Y225" s="187"/>
      <c r="Z225" s="187"/>
      <c r="AA225" s="187"/>
      <c r="AB225" s="187"/>
      <c r="AC225" s="187"/>
      <c r="AD225" s="187"/>
      <c r="AE225" s="187"/>
      <c r="AF225" s="187"/>
      <c r="AG225" s="187"/>
      <c r="AH225" s="187"/>
      <c r="AI225" s="187"/>
    </row>
    <row r="226">
      <c r="A226" s="187"/>
      <c r="B226" s="187"/>
      <c r="C226" s="188" t="s">
        <v>3349</v>
      </c>
      <c r="D226" s="187"/>
      <c r="E226" s="188" t="s">
        <v>3367</v>
      </c>
      <c r="F226" s="187"/>
      <c r="G226" s="188" t="s">
        <v>3368</v>
      </c>
      <c r="H226" s="187"/>
      <c r="I226" s="187"/>
      <c r="J226" s="187"/>
      <c r="K226" s="187"/>
      <c r="L226" s="187"/>
      <c r="M226" s="192"/>
      <c r="N226" s="187"/>
      <c r="O226" s="187"/>
      <c r="P226" s="187"/>
      <c r="Q226" s="187"/>
      <c r="R226" s="187"/>
      <c r="S226" s="187"/>
      <c r="T226" s="187"/>
      <c r="U226" s="187"/>
      <c r="V226" s="187"/>
      <c r="W226" s="187"/>
      <c r="X226" s="187"/>
      <c r="Y226" s="187"/>
      <c r="Z226" s="187"/>
      <c r="AA226" s="187"/>
      <c r="AB226" s="187"/>
      <c r="AC226" s="187"/>
      <c r="AD226" s="187"/>
      <c r="AE226" s="187"/>
      <c r="AF226" s="187"/>
      <c r="AG226" s="187"/>
      <c r="AH226" s="187"/>
      <c r="AI226" s="187"/>
    </row>
    <row r="227">
      <c r="A227" s="187"/>
      <c r="B227" s="187"/>
      <c r="C227" s="187"/>
      <c r="D227" s="187"/>
      <c r="E227" s="188" t="s">
        <v>3369</v>
      </c>
      <c r="F227" s="187"/>
      <c r="G227" s="188" t="s">
        <v>3370</v>
      </c>
      <c r="H227" s="187"/>
      <c r="I227" s="187"/>
      <c r="J227" s="187"/>
      <c r="K227" s="187"/>
      <c r="L227" s="187"/>
      <c r="M227" s="192"/>
      <c r="N227" s="187"/>
      <c r="O227" s="187"/>
      <c r="P227" s="187"/>
      <c r="Q227" s="187"/>
      <c r="R227" s="187"/>
      <c r="S227" s="187"/>
      <c r="T227" s="187"/>
      <c r="U227" s="187"/>
      <c r="V227" s="187"/>
      <c r="W227" s="187"/>
      <c r="X227" s="187"/>
      <c r="Y227" s="187"/>
      <c r="Z227" s="187"/>
      <c r="AA227" s="187"/>
      <c r="AB227" s="187"/>
      <c r="AC227" s="187"/>
      <c r="AD227" s="187"/>
      <c r="AE227" s="187"/>
      <c r="AF227" s="187"/>
      <c r="AG227" s="187"/>
      <c r="AH227" s="187"/>
      <c r="AI227" s="187"/>
    </row>
    <row r="228">
      <c r="A228" s="187"/>
      <c r="B228" s="187"/>
      <c r="C228" s="188" t="s">
        <v>3349</v>
      </c>
      <c r="D228" s="187"/>
      <c r="E228" s="188" t="s">
        <v>3371</v>
      </c>
      <c r="F228" s="187"/>
      <c r="H228" s="187"/>
      <c r="I228" s="187"/>
      <c r="J228" s="187"/>
      <c r="K228" s="187"/>
      <c r="L228" s="187"/>
      <c r="M228" s="192"/>
      <c r="N228" s="187"/>
      <c r="O228" s="187"/>
      <c r="P228" s="187"/>
      <c r="Q228" s="187"/>
      <c r="R228" s="187"/>
      <c r="S228" s="187"/>
      <c r="T228" s="187"/>
      <c r="U228" s="187"/>
      <c r="V228" s="187"/>
      <c r="W228" s="187"/>
      <c r="X228" s="187"/>
      <c r="Y228" s="187"/>
      <c r="Z228" s="187"/>
      <c r="AA228" s="187"/>
      <c r="AB228" s="187"/>
      <c r="AC228" s="187"/>
      <c r="AD228" s="187"/>
      <c r="AE228" s="187"/>
      <c r="AF228" s="187"/>
      <c r="AG228" s="187"/>
      <c r="AH228" s="187"/>
      <c r="AI228" s="187"/>
    </row>
    <row r="229">
      <c r="A229" s="187"/>
      <c r="B229" s="187"/>
      <c r="C229" s="188" t="s">
        <v>3349</v>
      </c>
      <c r="D229" s="187"/>
      <c r="E229" s="188" t="s">
        <v>3372</v>
      </c>
      <c r="F229" s="187"/>
      <c r="G229" s="188" t="s">
        <v>3373</v>
      </c>
      <c r="H229" s="187"/>
      <c r="I229" s="187"/>
      <c r="J229" s="187"/>
      <c r="K229" s="187"/>
      <c r="L229" s="187"/>
      <c r="M229" s="192"/>
      <c r="N229" s="187"/>
      <c r="O229" s="187"/>
      <c r="P229" s="187"/>
      <c r="Q229" s="187"/>
      <c r="R229" s="187"/>
      <c r="S229" s="187"/>
      <c r="T229" s="187"/>
      <c r="U229" s="187"/>
      <c r="V229" s="187"/>
      <c r="W229" s="187"/>
      <c r="X229" s="187"/>
      <c r="Y229" s="187"/>
      <c r="Z229" s="187"/>
      <c r="AA229" s="187"/>
      <c r="AB229" s="187"/>
      <c r="AC229" s="187"/>
      <c r="AD229" s="187"/>
      <c r="AE229" s="187"/>
      <c r="AF229" s="187"/>
      <c r="AG229" s="187"/>
      <c r="AH229" s="187"/>
      <c r="AI229" s="187"/>
    </row>
    <row r="230">
      <c r="A230" s="187"/>
      <c r="B230" s="187"/>
      <c r="C230" s="188" t="s">
        <v>3349</v>
      </c>
      <c r="D230" s="187"/>
      <c r="E230" s="188" t="s">
        <v>3374</v>
      </c>
      <c r="F230" s="187"/>
      <c r="G230" s="221" t="s">
        <v>3375</v>
      </c>
      <c r="H230" s="187"/>
      <c r="I230" s="187"/>
      <c r="J230" s="187"/>
      <c r="K230" s="187"/>
      <c r="L230" s="187"/>
      <c r="M230" s="192"/>
      <c r="N230" s="187"/>
      <c r="O230" s="187"/>
      <c r="P230" s="187"/>
      <c r="Q230" s="187"/>
      <c r="R230" s="187"/>
      <c r="S230" s="187"/>
      <c r="T230" s="187"/>
      <c r="U230" s="187"/>
      <c r="V230" s="187"/>
      <c r="W230" s="187"/>
      <c r="X230" s="187"/>
      <c r="Y230" s="187"/>
      <c r="Z230" s="187"/>
      <c r="AA230" s="187"/>
      <c r="AB230" s="187"/>
      <c r="AC230" s="187"/>
      <c r="AD230" s="187"/>
      <c r="AE230" s="187"/>
      <c r="AF230" s="187"/>
      <c r="AG230" s="187"/>
      <c r="AH230" s="187"/>
      <c r="AI230" s="187"/>
    </row>
    <row r="231">
      <c r="A231" s="187"/>
      <c r="B231" s="187"/>
      <c r="C231" s="188" t="s">
        <v>3349</v>
      </c>
      <c r="D231" s="187"/>
      <c r="E231" s="188" t="s">
        <v>3376</v>
      </c>
      <c r="G231" s="188" t="s">
        <v>3377</v>
      </c>
      <c r="H231" s="187"/>
      <c r="I231" s="187"/>
      <c r="J231" s="187"/>
      <c r="K231" s="187"/>
      <c r="L231" s="187"/>
      <c r="M231" s="192"/>
      <c r="N231" s="187"/>
      <c r="O231" s="187"/>
      <c r="P231" s="187"/>
      <c r="Q231" s="187"/>
      <c r="R231" s="187"/>
      <c r="S231" s="187"/>
      <c r="T231" s="187"/>
      <c r="U231" s="187"/>
      <c r="V231" s="187"/>
      <c r="W231" s="187"/>
      <c r="X231" s="187"/>
      <c r="Y231" s="187"/>
      <c r="Z231" s="187"/>
      <c r="AA231" s="187"/>
      <c r="AB231" s="187"/>
      <c r="AC231" s="187"/>
      <c r="AD231" s="187"/>
      <c r="AE231" s="187"/>
      <c r="AF231" s="187"/>
      <c r="AG231" s="187"/>
      <c r="AH231" s="187"/>
      <c r="AI231" s="187"/>
    </row>
    <row r="232">
      <c r="A232" s="187"/>
      <c r="B232" s="187"/>
      <c r="C232" s="188" t="s">
        <v>3349</v>
      </c>
      <c r="D232" s="187"/>
      <c r="E232" s="221" t="s">
        <v>3378</v>
      </c>
      <c r="F232" s="187"/>
      <c r="G232" s="188" t="s">
        <v>3379</v>
      </c>
      <c r="H232" s="187"/>
      <c r="I232" s="187"/>
      <c r="J232" s="187"/>
      <c r="K232" s="187"/>
      <c r="L232" s="187"/>
      <c r="M232" s="192"/>
      <c r="N232" s="187"/>
      <c r="O232" s="187"/>
      <c r="P232" s="187"/>
      <c r="Q232" s="187"/>
      <c r="R232" s="187"/>
      <c r="S232" s="187"/>
      <c r="T232" s="187"/>
      <c r="U232" s="187"/>
      <c r="V232" s="187"/>
      <c r="W232" s="187"/>
      <c r="X232" s="187"/>
      <c r="Y232" s="187"/>
      <c r="Z232" s="187"/>
      <c r="AA232" s="187"/>
      <c r="AB232" s="187"/>
      <c r="AC232" s="187"/>
      <c r="AD232" s="187"/>
      <c r="AE232" s="187"/>
      <c r="AF232" s="187"/>
      <c r="AG232" s="187"/>
      <c r="AH232" s="187"/>
      <c r="AI232" s="187"/>
    </row>
    <row r="233">
      <c r="A233" s="187"/>
      <c r="B233" s="187"/>
      <c r="C233" s="188" t="s">
        <v>3349</v>
      </c>
      <c r="D233" s="187"/>
      <c r="E233" s="188" t="s">
        <v>3380</v>
      </c>
      <c r="F233" s="187"/>
      <c r="G233" s="187"/>
      <c r="H233" s="187"/>
      <c r="I233" s="187"/>
      <c r="J233" s="187"/>
      <c r="K233" s="187"/>
      <c r="L233" s="187"/>
      <c r="M233" s="192"/>
      <c r="N233" s="187"/>
      <c r="O233" s="187"/>
      <c r="P233" s="187"/>
      <c r="Q233" s="187"/>
      <c r="R233" s="187"/>
      <c r="S233" s="187"/>
      <c r="T233" s="187"/>
      <c r="U233" s="187"/>
      <c r="V233" s="187"/>
      <c r="W233" s="187"/>
      <c r="X233" s="187"/>
      <c r="Y233" s="187"/>
      <c r="Z233" s="187"/>
      <c r="AA233" s="187"/>
      <c r="AB233" s="187"/>
      <c r="AC233" s="187"/>
      <c r="AD233" s="187"/>
      <c r="AE233" s="187"/>
      <c r="AF233" s="187"/>
      <c r="AG233" s="187"/>
      <c r="AH233" s="187"/>
      <c r="AI233" s="187"/>
    </row>
    <row r="234">
      <c r="A234" s="187"/>
      <c r="B234" s="187"/>
      <c r="C234" s="188" t="s">
        <v>3349</v>
      </c>
      <c r="D234" s="187"/>
      <c r="E234" s="221" t="s">
        <v>3381</v>
      </c>
      <c r="F234" s="187"/>
      <c r="G234" s="187"/>
      <c r="I234" s="188" t="s">
        <v>3382</v>
      </c>
      <c r="J234" s="187"/>
      <c r="K234" s="187"/>
      <c r="L234" s="187"/>
      <c r="M234" s="192"/>
      <c r="N234" s="187"/>
      <c r="O234" s="187"/>
      <c r="P234" s="187"/>
      <c r="Q234" s="187"/>
      <c r="R234" s="187"/>
      <c r="S234" s="187"/>
      <c r="T234" s="187"/>
      <c r="U234" s="187"/>
      <c r="V234" s="187"/>
      <c r="W234" s="187"/>
      <c r="X234" s="187"/>
      <c r="Y234" s="187"/>
      <c r="Z234" s="187"/>
      <c r="AA234" s="187"/>
      <c r="AB234" s="187"/>
      <c r="AC234" s="187"/>
      <c r="AD234" s="187"/>
      <c r="AE234" s="187"/>
      <c r="AF234" s="187"/>
      <c r="AG234" s="187"/>
      <c r="AH234" s="187"/>
      <c r="AI234" s="187"/>
    </row>
    <row r="235">
      <c r="A235" s="187"/>
      <c r="B235" s="187"/>
      <c r="C235" s="188" t="s">
        <v>3383</v>
      </c>
      <c r="D235" s="187"/>
      <c r="E235" s="188" t="s">
        <v>3384</v>
      </c>
      <c r="F235" s="187"/>
      <c r="G235" s="187"/>
      <c r="H235" s="188" t="s">
        <v>3385</v>
      </c>
      <c r="I235" s="188" t="s">
        <v>3386</v>
      </c>
      <c r="J235" s="187"/>
      <c r="K235" s="187"/>
      <c r="L235" s="187"/>
      <c r="M235" s="192"/>
      <c r="N235" s="187"/>
      <c r="O235" s="187"/>
      <c r="P235" s="187"/>
      <c r="Q235" s="187"/>
      <c r="R235" s="187"/>
      <c r="S235" s="187"/>
      <c r="T235" s="187"/>
      <c r="U235" s="187"/>
      <c r="V235" s="187"/>
      <c r="W235" s="187"/>
      <c r="X235" s="187"/>
      <c r="Y235" s="187"/>
      <c r="Z235" s="187"/>
      <c r="AA235" s="187"/>
      <c r="AB235" s="187"/>
      <c r="AC235" s="187"/>
      <c r="AD235" s="187"/>
      <c r="AE235" s="187"/>
      <c r="AF235" s="187"/>
      <c r="AG235" s="187"/>
      <c r="AH235" s="187"/>
      <c r="AI235" s="187"/>
    </row>
    <row r="236">
      <c r="A236" s="187"/>
      <c r="B236" s="187"/>
      <c r="C236" s="188" t="s">
        <v>3387</v>
      </c>
      <c r="D236" s="187"/>
      <c r="E236" s="188" t="s">
        <v>3388</v>
      </c>
      <c r="F236" s="187"/>
      <c r="G236" s="187"/>
      <c r="H236" s="187"/>
      <c r="I236" s="187"/>
      <c r="J236" s="187"/>
      <c r="K236" s="187"/>
      <c r="L236" s="187"/>
      <c r="M236" s="192"/>
      <c r="N236" s="187"/>
      <c r="O236" s="187"/>
      <c r="P236" s="187"/>
      <c r="Q236" s="187"/>
      <c r="R236" s="187"/>
      <c r="S236" s="187"/>
      <c r="T236" s="187"/>
      <c r="U236" s="187"/>
      <c r="V236" s="187"/>
      <c r="W236" s="187"/>
      <c r="X236" s="187"/>
      <c r="Y236" s="187"/>
      <c r="Z236" s="187"/>
      <c r="AA236" s="187"/>
      <c r="AB236" s="187"/>
      <c r="AC236" s="187"/>
      <c r="AD236" s="187"/>
      <c r="AE236" s="187"/>
      <c r="AF236" s="187"/>
      <c r="AG236" s="187"/>
      <c r="AH236" s="187"/>
      <c r="AI236" s="187"/>
    </row>
    <row r="237">
      <c r="A237" s="187"/>
      <c r="B237" s="187"/>
      <c r="C237" s="188" t="s">
        <v>3349</v>
      </c>
      <c r="D237" s="187"/>
      <c r="E237" s="188" t="s">
        <v>3389</v>
      </c>
      <c r="F237" s="187"/>
      <c r="G237" s="188" t="s">
        <v>3390</v>
      </c>
      <c r="H237" s="187"/>
      <c r="I237" s="188" t="s">
        <v>3391</v>
      </c>
      <c r="J237" s="187"/>
      <c r="K237" s="187"/>
      <c r="L237" s="187"/>
      <c r="M237" s="192"/>
      <c r="N237" s="187"/>
      <c r="O237" s="187"/>
      <c r="P237" s="187"/>
      <c r="Q237" s="187"/>
      <c r="R237" s="187"/>
      <c r="S237" s="187"/>
      <c r="T237" s="187"/>
      <c r="U237" s="187"/>
      <c r="V237" s="187"/>
      <c r="W237" s="187"/>
      <c r="X237" s="187"/>
      <c r="Y237" s="187"/>
      <c r="Z237" s="187"/>
      <c r="AA237" s="187"/>
      <c r="AB237" s="187"/>
      <c r="AC237" s="187"/>
      <c r="AD237" s="187"/>
      <c r="AE237" s="187"/>
      <c r="AF237" s="187"/>
      <c r="AG237" s="187"/>
      <c r="AH237" s="187"/>
      <c r="AI237" s="187"/>
    </row>
    <row r="238">
      <c r="A238" s="187"/>
      <c r="B238" s="187"/>
      <c r="C238" s="188" t="s">
        <v>3349</v>
      </c>
      <c r="D238" s="187"/>
      <c r="E238" s="188" t="s">
        <v>3392</v>
      </c>
      <c r="F238" s="187"/>
      <c r="G238" s="187"/>
      <c r="H238" s="187"/>
      <c r="I238" s="187"/>
      <c r="J238" s="187"/>
      <c r="K238" s="187"/>
      <c r="L238" s="187"/>
      <c r="M238" s="192"/>
      <c r="N238" s="187"/>
      <c r="O238" s="187"/>
      <c r="P238" s="187"/>
      <c r="Q238" s="187"/>
      <c r="R238" s="187"/>
      <c r="S238" s="187"/>
      <c r="T238" s="187"/>
      <c r="U238" s="187"/>
      <c r="V238" s="187"/>
      <c r="W238" s="187"/>
      <c r="X238" s="187"/>
      <c r="Y238" s="187"/>
      <c r="Z238" s="187"/>
      <c r="AA238" s="187"/>
      <c r="AB238" s="187"/>
      <c r="AC238" s="187"/>
      <c r="AD238" s="187"/>
      <c r="AE238" s="187"/>
      <c r="AF238" s="187"/>
      <c r="AG238" s="187"/>
      <c r="AH238" s="187"/>
      <c r="AI238" s="187"/>
    </row>
    <row r="239">
      <c r="A239" s="187"/>
      <c r="B239" s="187"/>
      <c r="C239" s="188" t="s">
        <v>3383</v>
      </c>
      <c r="D239" s="187"/>
      <c r="E239" s="188" t="s">
        <v>3393</v>
      </c>
      <c r="F239" s="187"/>
      <c r="G239" s="188" t="s">
        <v>2229</v>
      </c>
      <c r="H239" s="187"/>
      <c r="I239" s="187"/>
      <c r="J239" s="187"/>
      <c r="K239" s="187"/>
      <c r="L239" s="187"/>
      <c r="M239" s="192"/>
      <c r="N239" s="187"/>
      <c r="O239" s="187"/>
      <c r="P239" s="187"/>
      <c r="Q239" s="187"/>
      <c r="R239" s="187"/>
      <c r="S239" s="187"/>
      <c r="T239" s="187"/>
      <c r="U239" s="187"/>
      <c r="V239" s="187"/>
      <c r="W239" s="187"/>
      <c r="X239" s="187"/>
      <c r="Y239" s="187"/>
      <c r="Z239" s="187"/>
      <c r="AA239" s="187"/>
      <c r="AB239" s="187"/>
      <c r="AC239" s="187"/>
      <c r="AD239" s="187"/>
      <c r="AE239" s="187"/>
      <c r="AF239" s="187"/>
      <c r="AG239" s="187"/>
      <c r="AH239" s="187"/>
      <c r="AI239" s="187"/>
    </row>
    <row r="240">
      <c r="A240" s="187"/>
      <c r="B240" s="187"/>
      <c r="C240" s="187"/>
      <c r="D240" s="187"/>
      <c r="E240" s="187"/>
      <c r="F240" s="187"/>
      <c r="G240" s="187"/>
      <c r="H240" s="187"/>
      <c r="I240" s="187"/>
      <c r="J240" s="187"/>
      <c r="K240" s="187"/>
      <c r="L240" s="187"/>
      <c r="M240" s="192"/>
      <c r="N240" s="187"/>
      <c r="O240" s="187"/>
      <c r="P240" s="187"/>
      <c r="Q240" s="187"/>
      <c r="R240" s="187"/>
      <c r="S240" s="187"/>
      <c r="T240" s="187"/>
      <c r="U240" s="187"/>
      <c r="V240" s="187"/>
      <c r="W240" s="187"/>
      <c r="X240" s="187"/>
      <c r="Y240" s="187"/>
      <c r="Z240" s="187"/>
      <c r="AA240" s="187"/>
      <c r="AB240" s="187"/>
      <c r="AC240" s="187"/>
      <c r="AD240" s="187"/>
      <c r="AE240" s="187"/>
      <c r="AF240" s="187"/>
      <c r="AG240" s="187"/>
      <c r="AH240" s="187"/>
      <c r="AI240" s="187"/>
    </row>
    <row r="241">
      <c r="A241" s="187"/>
      <c r="B241" s="187"/>
      <c r="C241" s="187"/>
      <c r="D241" s="187"/>
      <c r="E241" s="187"/>
      <c r="F241" s="187"/>
      <c r="G241" s="187"/>
      <c r="H241" s="187"/>
      <c r="I241" s="187"/>
      <c r="J241" s="187"/>
      <c r="K241" s="187"/>
      <c r="L241" s="187"/>
      <c r="M241" s="192"/>
      <c r="N241" s="187"/>
      <c r="O241" s="187"/>
      <c r="P241" s="187"/>
      <c r="Q241" s="187"/>
      <c r="R241" s="187"/>
      <c r="S241" s="187"/>
      <c r="T241" s="187"/>
      <c r="U241" s="187"/>
      <c r="V241" s="187"/>
      <c r="W241" s="187"/>
      <c r="X241" s="187"/>
      <c r="Y241" s="187"/>
      <c r="Z241" s="187"/>
      <c r="AA241" s="187"/>
      <c r="AB241" s="187"/>
      <c r="AC241" s="187"/>
      <c r="AD241" s="187"/>
      <c r="AE241" s="187"/>
      <c r="AF241" s="187"/>
      <c r="AG241" s="187"/>
      <c r="AH241" s="187"/>
      <c r="AI241" s="187"/>
    </row>
    <row r="242">
      <c r="A242" s="187"/>
      <c r="B242" s="187"/>
      <c r="C242" s="187"/>
      <c r="D242" s="187"/>
      <c r="E242" s="187"/>
      <c r="F242" s="187"/>
      <c r="G242" s="187"/>
      <c r="H242" s="187"/>
      <c r="I242" s="187"/>
      <c r="J242" s="187"/>
      <c r="K242" s="187"/>
      <c r="L242" s="187"/>
      <c r="M242" s="192"/>
      <c r="N242" s="187"/>
      <c r="O242" s="187"/>
      <c r="P242" s="187"/>
      <c r="Q242" s="187"/>
      <c r="R242" s="187"/>
      <c r="S242" s="187"/>
      <c r="T242" s="187"/>
      <c r="U242" s="187"/>
      <c r="V242" s="187"/>
      <c r="W242" s="187"/>
      <c r="X242" s="187"/>
      <c r="Y242" s="187"/>
      <c r="Z242" s="187"/>
      <c r="AA242" s="187"/>
      <c r="AB242" s="187"/>
      <c r="AC242" s="187"/>
      <c r="AD242" s="187"/>
      <c r="AE242" s="187"/>
      <c r="AF242" s="187"/>
      <c r="AG242" s="187"/>
      <c r="AH242" s="187"/>
      <c r="AI242" s="187"/>
    </row>
    <row r="243">
      <c r="A243" s="187"/>
      <c r="B243" s="187"/>
      <c r="C243" s="187"/>
      <c r="D243" s="187"/>
      <c r="E243" s="187"/>
      <c r="F243" s="187"/>
      <c r="G243" s="187"/>
      <c r="H243" s="187"/>
      <c r="I243" s="187"/>
      <c r="J243" s="187"/>
      <c r="K243" s="187"/>
      <c r="L243" s="187"/>
      <c r="M243" s="192"/>
      <c r="N243" s="187"/>
      <c r="O243" s="187"/>
      <c r="P243" s="187"/>
      <c r="Q243" s="187"/>
      <c r="R243" s="187"/>
      <c r="S243" s="187"/>
      <c r="T243" s="187"/>
      <c r="U243" s="187"/>
      <c r="V243" s="187"/>
      <c r="W243" s="187"/>
      <c r="X243" s="187"/>
      <c r="Y243" s="187"/>
      <c r="Z243" s="187"/>
      <c r="AA243" s="187"/>
      <c r="AB243" s="187"/>
      <c r="AC243" s="187"/>
      <c r="AD243" s="187"/>
      <c r="AE243" s="187"/>
      <c r="AF243" s="187"/>
      <c r="AG243" s="187"/>
      <c r="AH243" s="187"/>
      <c r="AI243" s="187"/>
    </row>
    <row r="244">
      <c r="A244" s="187"/>
      <c r="B244" s="187"/>
      <c r="C244" s="187"/>
      <c r="D244" s="187"/>
      <c r="E244" s="187"/>
      <c r="F244" s="187"/>
      <c r="G244" s="187"/>
      <c r="H244" s="187"/>
      <c r="I244" s="187"/>
      <c r="J244" s="187"/>
      <c r="K244" s="187"/>
      <c r="L244" s="187"/>
      <c r="M244" s="192"/>
      <c r="N244" s="187"/>
      <c r="O244" s="187"/>
      <c r="P244" s="187"/>
      <c r="Q244" s="187"/>
      <c r="R244" s="187"/>
      <c r="S244" s="187"/>
      <c r="T244" s="187"/>
      <c r="U244" s="187"/>
      <c r="V244" s="187"/>
      <c r="W244" s="187"/>
      <c r="X244" s="187"/>
      <c r="Y244" s="187"/>
      <c r="Z244" s="187"/>
      <c r="AA244" s="187"/>
      <c r="AB244" s="187"/>
      <c r="AC244" s="187"/>
      <c r="AD244" s="187"/>
      <c r="AE244" s="187"/>
      <c r="AF244" s="187"/>
      <c r="AG244" s="187"/>
      <c r="AH244" s="187"/>
      <c r="AI244" s="187"/>
    </row>
    <row r="245">
      <c r="A245" s="187"/>
      <c r="B245" s="187"/>
      <c r="C245" s="187"/>
      <c r="D245" s="187"/>
      <c r="E245" s="187"/>
      <c r="F245" s="187"/>
      <c r="G245" s="187"/>
      <c r="H245" s="187"/>
      <c r="I245" s="187"/>
      <c r="J245" s="187"/>
      <c r="K245" s="187"/>
      <c r="L245" s="187"/>
      <c r="M245" s="192"/>
      <c r="N245" s="187"/>
      <c r="O245" s="187"/>
      <c r="P245" s="187"/>
      <c r="Q245" s="187"/>
      <c r="R245" s="187"/>
      <c r="S245" s="187"/>
      <c r="T245" s="187"/>
      <c r="U245" s="187"/>
      <c r="V245" s="187"/>
      <c r="W245" s="187"/>
      <c r="X245" s="187"/>
      <c r="Y245" s="187"/>
      <c r="Z245" s="187"/>
      <c r="AA245" s="187"/>
      <c r="AB245" s="187"/>
      <c r="AC245" s="187"/>
      <c r="AD245" s="187"/>
      <c r="AE245" s="187"/>
      <c r="AF245" s="187"/>
      <c r="AG245" s="187"/>
      <c r="AH245" s="187"/>
      <c r="AI245" s="187"/>
    </row>
    <row r="246">
      <c r="A246" s="187"/>
      <c r="B246" s="187"/>
      <c r="C246" s="187"/>
      <c r="D246" s="187"/>
      <c r="E246" s="187"/>
      <c r="F246" s="187"/>
      <c r="G246" s="187"/>
      <c r="H246" s="187"/>
      <c r="I246" s="187"/>
      <c r="J246" s="187"/>
      <c r="K246" s="187"/>
      <c r="L246" s="187"/>
      <c r="M246" s="192"/>
      <c r="N246" s="187"/>
      <c r="O246" s="187"/>
      <c r="P246" s="187"/>
      <c r="Q246" s="187"/>
      <c r="R246" s="187"/>
      <c r="S246" s="187"/>
      <c r="T246" s="187"/>
      <c r="U246" s="187"/>
      <c r="V246" s="187"/>
      <c r="W246" s="187"/>
      <c r="X246" s="187"/>
      <c r="Y246" s="187"/>
      <c r="Z246" s="187"/>
      <c r="AA246" s="187"/>
      <c r="AB246" s="187"/>
      <c r="AC246" s="187"/>
      <c r="AD246" s="187"/>
      <c r="AE246" s="187"/>
      <c r="AF246" s="187"/>
      <c r="AG246" s="187"/>
      <c r="AH246" s="187"/>
      <c r="AI246" s="187"/>
    </row>
    <row r="247">
      <c r="A247" s="187"/>
      <c r="B247" s="187"/>
      <c r="C247" s="187"/>
      <c r="D247" s="187"/>
      <c r="E247" s="187"/>
      <c r="F247" s="187"/>
      <c r="G247" s="187"/>
      <c r="H247" s="187"/>
      <c r="I247" s="187"/>
      <c r="J247" s="187"/>
      <c r="K247" s="187"/>
      <c r="L247" s="187"/>
      <c r="M247" s="192"/>
      <c r="N247" s="187"/>
      <c r="O247" s="187"/>
      <c r="P247" s="187"/>
      <c r="Q247" s="187"/>
      <c r="R247" s="187"/>
      <c r="S247" s="187"/>
      <c r="T247" s="187"/>
      <c r="U247" s="187"/>
      <c r="V247" s="187"/>
      <c r="W247" s="187"/>
      <c r="X247" s="187"/>
      <c r="Y247" s="187"/>
      <c r="Z247" s="187"/>
      <c r="AA247" s="187"/>
      <c r="AB247" s="187"/>
      <c r="AC247" s="187"/>
      <c r="AD247" s="187"/>
      <c r="AE247" s="187"/>
      <c r="AF247" s="187"/>
      <c r="AG247" s="187"/>
      <c r="AH247" s="187"/>
      <c r="AI247" s="187"/>
    </row>
    <row r="248">
      <c r="A248" s="187"/>
      <c r="B248" s="187"/>
      <c r="C248" s="187"/>
      <c r="D248" s="187"/>
      <c r="E248" s="187"/>
      <c r="F248" s="187"/>
      <c r="G248" s="187"/>
      <c r="H248" s="187"/>
      <c r="I248" s="187"/>
      <c r="J248" s="187"/>
      <c r="K248" s="187"/>
      <c r="L248" s="187"/>
      <c r="M248" s="192"/>
      <c r="N248" s="187"/>
      <c r="O248" s="187"/>
      <c r="P248" s="187"/>
      <c r="Q248" s="187"/>
      <c r="R248" s="187"/>
      <c r="S248" s="187"/>
      <c r="T248" s="187"/>
      <c r="U248" s="187"/>
      <c r="V248" s="187"/>
      <c r="W248" s="187"/>
      <c r="X248" s="187"/>
      <c r="Y248" s="187"/>
      <c r="Z248" s="187"/>
      <c r="AA248" s="187"/>
      <c r="AB248" s="187"/>
      <c r="AC248" s="187"/>
      <c r="AD248" s="187"/>
      <c r="AE248" s="187"/>
      <c r="AF248" s="187"/>
      <c r="AG248" s="187"/>
      <c r="AH248" s="187"/>
      <c r="AI248" s="187"/>
    </row>
    <row r="249">
      <c r="A249" s="187"/>
      <c r="B249" s="187"/>
      <c r="C249" s="187"/>
      <c r="D249" s="187"/>
      <c r="E249" s="187"/>
      <c r="F249" s="187"/>
      <c r="G249" s="187"/>
      <c r="H249" s="187"/>
      <c r="I249" s="187"/>
      <c r="J249" s="187"/>
      <c r="K249" s="187"/>
      <c r="L249" s="187"/>
      <c r="M249" s="192"/>
      <c r="N249" s="187"/>
      <c r="O249" s="187"/>
      <c r="P249" s="187"/>
      <c r="Q249" s="187"/>
      <c r="R249" s="187"/>
      <c r="S249" s="187"/>
      <c r="T249" s="187"/>
      <c r="U249" s="187"/>
      <c r="V249" s="187"/>
      <c r="W249" s="187"/>
      <c r="X249" s="187"/>
      <c r="Y249" s="187"/>
      <c r="Z249" s="187"/>
      <c r="AA249" s="187"/>
      <c r="AB249" s="187"/>
      <c r="AC249" s="187"/>
      <c r="AD249" s="187"/>
      <c r="AE249" s="187"/>
      <c r="AF249" s="187"/>
      <c r="AG249" s="187"/>
      <c r="AH249" s="187"/>
      <c r="AI249" s="187"/>
    </row>
    <row r="250">
      <c r="A250" s="187"/>
      <c r="B250" s="187"/>
      <c r="C250" s="187"/>
      <c r="D250" s="187"/>
      <c r="E250" s="187"/>
      <c r="F250" s="187"/>
      <c r="G250" s="187"/>
      <c r="H250" s="187"/>
      <c r="I250" s="187"/>
      <c r="J250" s="187"/>
      <c r="K250" s="187"/>
      <c r="L250" s="187"/>
      <c r="M250" s="192"/>
      <c r="N250" s="187"/>
      <c r="O250" s="187"/>
      <c r="P250" s="187"/>
      <c r="Q250" s="187"/>
      <c r="R250" s="187"/>
      <c r="S250" s="187"/>
      <c r="T250" s="187"/>
      <c r="U250" s="187"/>
      <c r="V250" s="187"/>
      <c r="W250" s="187"/>
      <c r="X250" s="187"/>
      <c r="Y250" s="187"/>
      <c r="Z250" s="187"/>
      <c r="AA250" s="187"/>
      <c r="AB250" s="187"/>
      <c r="AC250" s="187"/>
      <c r="AD250" s="187"/>
      <c r="AE250" s="187"/>
      <c r="AF250" s="187"/>
      <c r="AG250" s="187"/>
      <c r="AH250" s="187"/>
      <c r="AI250" s="187"/>
    </row>
    <row r="251">
      <c r="A251" s="187"/>
      <c r="B251" s="187"/>
      <c r="C251" s="187"/>
      <c r="D251" s="187"/>
      <c r="E251" s="187"/>
      <c r="F251" s="187"/>
      <c r="G251" s="187"/>
      <c r="H251" s="187"/>
      <c r="I251" s="187"/>
      <c r="J251" s="187"/>
      <c r="K251" s="187"/>
      <c r="L251" s="187"/>
      <c r="M251" s="192"/>
      <c r="N251" s="187"/>
      <c r="O251" s="187"/>
      <c r="P251" s="187"/>
      <c r="Q251" s="187"/>
      <c r="R251" s="187"/>
      <c r="S251" s="187"/>
      <c r="T251" s="187"/>
      <c r="U251" s="187"/>
      <c r="V251" s="187"/>
      <c r="W251" s="187"/>
      <c r="X251" s="187"/>
      <c r="Y251" s="187"/>
      <c r="Z251" s="187"/>
      <c r="AA251" s="187"/>
      <c r="AB251" s="187"/>
      <c r="AC251" s="187"/>
      <c r="AD251" s="187"/>
      <c r="AE251" s="187"/>
      <c r="AF251" s="187"/>
      <c r="AG251" s="187"/>
      <c r="AH251" s="187"/>
      <c r="AI251" s="187"/>
    </row>
    <row r="252">
      <c r="A252" s="187"/>
      <c r="B252" s="187"/>
      <c r="C252" s="187"/>
      <c r="D252" s="187"/>
      <c r="E252" s="187"/>
      <c r="F252" s="187"/>
      <c r="G252" s="187"/>
      <c r="H252" s="187"/>
      <c r="I252" s="187"/>
      <c r="J252" s="187"/>
      <c r="K252" s="187"/>
      <c r="L252" s="187"/>
      <c r="M252" s="192"/>
      <c r="N252" s="187"/>
      <c r="O252" s="187"/>
      <c r="P252" s="187"/>
      <c r="Q252" s="187"/>
      <c r="R252" s="187"/>
      <c r="S252" s="187"/>
      <c r="T252" s="187"/>
      <c r="U252" s="187"/>
      <c r="V252" s="187"/>
      <c r="W252" s="187"/>
      <c r="X252" s="187"/>
      <c r="Y252" s="187"/>
      <c r="Z252" s="187"/>
      <c r="AA252" s="187"/>
      <c r="AB252" s="187"/>
      <c r="AC252" s="187"/>
      <c r="AD252" s="187"/>
      <c r="AE252" s="187"/>
      <c r="AF252" s="187"/>
      <c r="AG252" s="187"/>
      <c r="AH252" s="187"/>
      <c r="AI252" s="187"/>
    </row>
    <row r="253">
      <c r="A253" s="187"/>
      <c r="B253" s="187"/>
      <c r="C253" s="187"/>
      <c r="D253" s="187"/>
      <c r="E253" s="187"/>
      <c r="F253" s="187"/>
      <c r="G253" s="187"/>
      <c r="H253" s="187"/>
      <c r="I253" s="187"/>
      <c r="J253" s="187"/>
      <c r="K253" s="187"/>
      <c r="L253" s="187"/>
      <c r="M253" s="192"/>
      <c r="N253" s="187"/>
      <c r="O253" s="187"/>
      <c r="P253" s="187"/>
      <c r="Q253" s="187"/>
      <c r="R253" s="187"/>
      <c r="S253" s="187"/>
      <c r="T253" s="187"/>
      <c r="U253" s="187"/>
      <c r="V253" s="187"/>
      <c r="W253" s="187"/>
      <c r="X253" s="187"/>
      <c r="Y253" s="187"/>
      <c r="Z253" s="187"/>
      <c r="AA253" s="187"/>
      <c r="AB253" s="187"/>
      <c r="AC253" s="187"/>
      <c r="AD253" s="187"/>
      <c r="AE253" s="187"/>
      <c r="AF253" s="187"/>
      <c r="AG253" s="187"/>
      <c r="AH253" s="187"/>
      <c r="AI253" s="187"/>
    </row>
    <row r="254">
      <c r="A254" s="187"/>
      <c r="B254" s="187"/>
      <c r="C254" s="187"/>
      <c r="D254" s="187"/>
      <c r="E254" s="187"/>
      <c r="F254" s="187"/>
      <c r="G254" s="187"/>
      <c r="H254" s="187"/>
      <c r="I254" s="187"/>
      <c r="J254" s="187"/>
      <c r="K254" s="187"/>
      <c r="L254" s="187"/>
      <c r="M254" s="192"/>
      <c r="N254" s="187"/>
      <c r="O254" s="187"/>
      <c r="P254" s="187"/>
      <c r="Q254" s="187"/>
      <c r="R254" s="187"/>
      <c r="S254" s="187"/>
      <c r="T254" s="187"/>
      <c r="U254" s="187"/>
      <c r="V254" s="187"/>
      <c r="W254" s="187"/>
      <c r="X254" s="187"/>
      <c r="Y254" s="187"/>
      <c r="Z254" s="187"/>
      <c r="AA254" s="187"/>
      <c r="AB254" s="187"/>
      <c r="AC254" s="187"/>
      <c r="AD254" s="187"/>
      <c r="AE254" s="187"/>
      <c r="AF254" s="187"/>
      <c r="AG254" s="187"/>
      <c r="AH254" s="187"/>
      <c r="AI254" s="187"/>
    </row>
    <row r="255">
      <c r="A255" s="187"/>
      <c r="B255" s="187"/>
      <c r="C255" s="187"/>
      <c r="D255" s="187"/>
      <c r="E255" s="187"/>
      <c r="F255" s="187"/>
      <c r="G255" s="187"/>
      <c r="H255" s="187"/>
      <c r="I255" s="187"/>
      <c r="J255" s="187"/>
      <c r="K255" s="187"/>
      <c r="L255" s="187"/>
      <c r="M255" s="192"/>
      <c r="N255" s="187"/>
      <c r="O255" s="187"/>
      <c r="P255" s="187"/>
      <c r="Q255" s="187"/>
      <c r="R255" s="187"/>
      <c r="S255" s="187"/>
      <c r="T255" s="187"/>
      <c r="U255" s="187"/>
      <c r="V255" s="187"/>
      <c r="W255" s="187"/>
      <c r="X255" s="187"/>
      <c r="Y255" s="187"/>
      <c r="Z255" s="187"/>
      <c r="AA255" s="187"/>
      <c r="AB255" s="187"/>
      <c r="AC255" s="187"/>
      <c r="AD255" s="187"/>
      <c r="AE255" s="187"/>
      <c r="AF255" s="187"/>
      <c r="AG255" s="187"/>
      <c r="AH255" s="187"/>
      <c r="AI255" s="187"/>
    </row>
    <row r="256">
      <c r="A256" s="187"/>
      <c r="B256" s="187"/>
      <c r="C256" s="187"/>
      <c r="D256" s="187"/>
      <c r="E256" s="187"/>
      <c r="F256" s="187"/>
      <c r="G256" s="187"/>
      <c r="H256" s="187"/>
      <c r="I256" s="187"/>
      <c r="J256" s="187"/>
      <c r="K256" s="187"/>
      <c r="L256" s="187"/>
      <c r="M256" s="192"/>
      <c r="N256" s="187"/>
      <c r="O256" s="187"/>
      <c r="P256" s="187"/>
      <c r="Q256" s="187"/>
      <c r="R256" s="187"/>
      <c r="S256" s="187"/>
      <c r="T256" s="187"/>
      <c r="U256" s="187"/>
      <c r="V256" s="187"/>
      <c r="W256" s="187"/>
      <c r="X256" s="187"/>
      <c r="Y256" s="187"/>
      <c r="Z256" s="187"/>
      <c r="AA256" s="187"/>
      <c r="AB256" s="187"/>
      <c r="AC256" s="187"/>
      <c r="AD256" s="187"/>
      <c r="AE256" s="187"/>
      <c r="AF256" s="187"/>
      <c r="AG256" s="187"/>
      <c r="AH256" s="187"/>
      <c r="AI256" s="187"/>
    </row>
    <row r="257">
      <c r="A257" s="187"/>
      <c r="B257" s="187"/>
      <c r="C257" s="187"/>
      <c r="D257" s="187"/>
      <c r="E257" s="187"/>
      <c r="F257" s="187"/>
      <c r="G257" s="187"/>
      <c r="H257" s="187"/>
      <c r="I257" s="187"/>
      <c r="J257" s="187"/>
      <c r="K257" s="187"/>
      <c r="L257" s="187"/>
      <c r="M257" s="192"/>
      <c r="N257" s="187"/>
      <c r="O257" s="187"/>
      <c r="P257" s="187"/>
      <c r="Q257" s="187"/>
      <c r="R257" s="187"/>
      <c r="S257" s="187"/>
      <c r="T257" s="187"/>
      <c r="U257" s="187"/>
      <c r="V257" s="187"/>
      <c r="W257" s="187"/>
      <c r="X257" s="187"/>
      <c r="Y257" s="187"/>
      <c r="Z257" s="187"/>
      <c r="AA257" s="187"/>
      <c r="AB257" s="187"/>
      <c r="AC257" s="187"/>
      <c r="AD257" s="187"/>
      <c r="AE257" s="187"/>
      <c r="AF257" s="187"/>
      <c r="AG257" s="187"/>
      <c r="AH257" s="187"/>
      <c r="AI257" s="187"/>
    </row>
    <row r="258">
      <c r="A258" s="187"/>
      <c r="B258" s="187"/>
      <c r="C258" s="187"/>
      <c r="D258" s="187"/>
      <c r="E258" s="187"/>
      <c r="F258" s="187"/>
      <c r="G258" s="187"/>
      <c r="H258" s="187"/>
      <c r="I258" s="187"/>
      <c r="J258" s="187"/>
      <c r="K258" s="187"/>
      <c r="L258" s="187"/>
      <c r="M258" s="192"/>
      <c r="N258" s="187"/>
      <c r="O258" s="187"/>
      <c r="P258" s="187"/>
      <c r="Q258" s="187"/>
      <c r="R258" s="187"/>
      <c r="S258" s="187"/>
      <c r="T258" s="187"/>
      <c r="U258" s="187"/>
      <c r="V258" s="187"/>
      <c r="W258" s="187"/>
      <c r="X258" s="187"/>
      <c r="Y258" s="187"/>
      <c r="Z258" s="187"/>
      <c r="AA258" s="187"/>
      <c r="AB258" s="187"/>
      <c r="AC258" s="187"/>
      <c r="AD258" s="187"/>
      <c r="AE258" s="187"/>
      <c r="AF258" s="187"/>
      <c r="AG258" s="187"/>
      <c r="AH258" s="187"/>
      <c r="AI258" s="187"/>
    </row>
    <row r="259">
      <c r="A259" s="187"/>
      <c r="B259" s="187"/>
      <c r="C259" s="187"/>
      <c r="D259" s="187"/>
      <c r="E259" s="187"/>
      <c r="F259" s="187"/>
      <c r="G259" s="187"/>
      <c r="H259" s="187"/>
      <c r="I259" s="187"/>
      <c r="J259" s="187"/>
      <c r="K259" s="187"/>
      <c r="L259" s="187"/>
      <c r="M259" s="192"/>
      <c r="N259" s="187"/>
      <c r="O259" s="187"/>
      <c r="P259" s="187"/>
      <c r="Q259" s="187"/>
      <c r="R259" s="187"/>
      <c r="S259" s="187"/>
      <c r="T259" s="187"/>
      <c r="U259" s="187"/>
      <c r="V259" s="187"/>
      <c r="W259" s="187"/>
      <c r="X259" s="187"/>
      <c r="Y259" s="187"/>
      <c r="Z259" s="187"/>
      <c r="AA259" s="187"/>
      <c r="AB259" s="187"/>
      <c r="AC259" s="187"/>
      <c r="AD259" s="187"/>
      <c r="AE259" s="187"/>
      <c r="AF259" s="187"/>
      <c r="AG259" s="187"/>
      <c r="AH259" s="187"/>
      <c r="AI259" s="187"/>
    </row>
    <row r="260">
      <c r="A260" s="187"/>
      <c r="B260" s="187"/>
      <c r="C260" s="187"/>
      <c r="D260" s="187"/>
      <c r="E260" s="187"/>
      <c r="F260" s="187"/>
      <c r="G260" s="187"/>
      <c r="H260" s="187"/>
      <c r="I260" s="187"/>
      <c r="J260" s="187"/>
      <c r="K260" s="187"/>
      <c r="L260" s="187"/>
      <c r="M260" s="192"/>
      <c r="N260" s="187"/>
      <c r="O260" s="187"/>
      <c r="P260" s="187"/>
      <c r="Q260" s="187"/>
      <c r="R260" s="187"/>
      <c r="S260" s="187"/>
      <c r="T260" s="187"/>
      <c r="U260" s="187"/>
      <c r="V260" s="187"/>
      <c r="W260" s="187"/>
      <c r="X260" s="187"/>
      <c r="Y260" s="187"/>
      <c r="Z260" s="187"/>
      <c r="AA260" s="187"/>
      <c r="AB260" s="187"/>
      <c r="AC260" s="187"/>
      <c r="AD260" s="187"/>
      <c r="AE260" s="187"/>
      <c r="AF260" s="187"/>
      <c r="AG260" s="187"/>
      <c r="AH260" s="187"/>
      <c r="AI260" s="187"/>
    </row>
    <row r="261">
      <c r="A261" s="187"/>
      <c r="B261" s="187"/>
      <c r="C261" s="187"/>
      <c r="D261" s="187"/>
      <c r="E261" s="187"/>
      <c r="F261" s="187"/>
      <c r="G261" s="187"/>
      <c r="H261" s="187"/>
      <c r="I261" s="187"/>
      <c r="J261" s="187"/>
      <c r="K261" s="187"/>
      <c r="L261" s="187"/>
      <c r="M261" s="192"/>
      <c r="N261" s="187"/>
      <c r="O261" s="187"/>
      <c r="P261" s="187"/>
      <c r="Q261" s="187"/>
      <c r="R261" s="187"/>
      <c r="S261" s="187"/>
      <c r="T261" s="187"/>
      <c r="U261" s="187"/>
      <c r="V261" s="187"/>
      <c r="W261" s="187"/>
      <c r="X261" s="187"/>
      <c r="Y261" s="187"/>
      <c r="Z261" s="187"/>
      <c r="AA261" s="187"/>
      <c r="AB261" s="187"/>
      <c r="AC261" s="187"/>
      <c r="AD261" s="187"/>
      <c r="AE261" s="187"/>
      <c r="AF261" s="187"/>
      <c r="AG261" s="187"/>
      <c r="AH261" s="187"/>
      <c r="AI261" s="187"/>
    </row>
    <row r="262">
      <c r="A262" s="187"/>
      <c r="B262" s="187"/>
      <c r="C262" s="187"/>
      <c r="D262" s="187"/>
      <c r="E262" s="187"/>
      <c r="F262" s="187"/>
      <c r="G262" s="187"/>
      <c r="H262" s="187"/>
      <c r="I262" s="187"/>
      <c r="J262" s="187"/>
      <c r="K262" s="187"/>
      <c r="L262" s="187"/>
      <c r="M262" s="192"/>
      <c r="N262" s="187"/>
      <c r="O262" s="187"/>
      <c r="P262" s="187"/>
      <c r="Q262" s="187"/>
      <c r="R262" s="187"/>
      <c r="S262" s="187"/>
      <c r="T262" s="187"/>
      <c r="U262" s="187"/>
      <c r="V262" s="187"/>
      <c r="W262" s="187"/>
      <c r="X262" s="187"/>
      <c r="Y262" s="187"/>
      <c r="Z262" s="187"/>
      <c r="AA262" s="187"/>
      <c r="AB262" s="187"/>
      <c r="AC262" s="187"/>
      <c r="AD262" s="187"/>
      <c r="AE262" s="187"/>
      <c r="AF262" s="187"/>
      <c r="AG262" s="187"/>
      <c r="AH262" s="187"/>
      <c r="AI262" s="187"/>
    </row>
    <row r="263">
      <c r="A263" s="187"/>
      <c r="B263" s="187"/>
      <c r="C263" s="187"/>
      <c r="D263" s="187"/>
      <c r="E263" s="187"/>
      <c r="F263" s="187"/>
      <c r="G263" s="187"/>
      <c r="H263" s="187"/>
      <c r="I263" s="187"/>
      <c r="J263" s="187"/>
      <c r="K263" s="187"/>
      <c r="L263" s="187"/>
      <c r="M263" s="192"/>
      <c r="N263" s="187"/>
      <c r="O263" s="187"/>
      <c r="P263" s="187"/>
      <c r="Q263" s="187"/>
      <c r="R263" s="187"/>
      <c r="S263" s="187"/>
      <c r="T263" s="187"/>
      <c r="U263" s="187"/>
      <c r="V263" s="187"/>
      <c r="W263" s="187"/>
      <c r="X263" s="187"/>
      <c r="Y263" s="187"/>
      <c r="Z263" s="187"/>
      <c r="AA263" s="187"/>
      <c r="AB263" s="187"/>
      <c r="AC263" s="187"/>
      <c r="AD263" s="187"/>
      <c r="AE263" s="187"/>
      <c r="AF263" s="187"/>
      <c r="AG263" s="187"/>
      <c r="AH263" s="187"/>
      <c r="AI263" s="187"/>
    </row>
    <row r="264">
      <c r="A264" s="187"/>
      <c r="B264" s="187"/>
      <c r="C264" s="187"/>
      <c r="D264" s="187"/>
      <c r="E264" s="187"/>
      <c r="F264" s="187"/>
      <c r="G264" s="187"/>
      <c r="H264" s="187"/>
      <c r="I264" s="187"/>
      <c r="J264" s="187"/>
      <c r="K264" s="187"/>
      <c r="L264" s="187"/>
      <c r="M264" s="192"/>
      <c r="N264" s="187"/>
      <c r="O264" s="187"/>
      <c r="P264" s="187"/>
      <c r="Q264" s="187"/>
      <c r="R264" s="187"/>
      <c r="S264" s="187"/>
      <c r="T264" s="187"/>
      <c r="U264" s="187"/>
      <c r="V264" s="187"/>
      <c r="W264" s="187"/>
      <c r="X264" s="187"/>
      <c r="Y264" s="187"/>
      <c r="Z264" s="187"/>
      <c r="AA264" s="187"/>
      <c r="AB264" s="187"/>
      <c r="AC264" s="187"/>
      <c r="AD264" s="187"/>
      <c r="AE264" s="187"/>
      <c r="AF264" s="187"/>
      <c r="AG264" s="187"/>
      <c r="AH264" s="187"/>
      <c r="AI264" s="187"/>
    </row>
    <row r="265">
      <c r="A265" s="187"/>
      <c r="B265" s="187"/>
      <c r="C265" s="187"/>
      <c r="D265" s="187"/>
      <c r="E265" s="187"/>
      <c r="F265" s="187"/>
      <c r="G265" s="187"/>
      <c r="H265" s="187"/>
      <c r="I265" s="187"/>
      <c r="J265" s="187"/>
      <c r="K265" s="187"/>
      <c r="L265" s="187"/>
      <c r="M265" s="192"/>
      <c r="N265" s="187"/>
      <c r="O265" s="187"/>
      <c r="P265" s="187"/>
      <c r="Q265" s="187"/>
      <c r="R265" s="187"/>
      <c r="S265" s="187"/>
      <c r="T265" s="187"/>
      <c r="U265" s="187"/>
      <c r="V265" s="187"/>
      <c r="W265" s="187"/>
      <c r="X265" s="187"/>
      <c r="Y265" s="187"/>
      <c r="Z265" s="187"/>
      <c r="AA265" s="187"/>
      <c r="AB265" s="187"/>
      <c r="AC265" s="187"/>
      <c r="AD265" s="187"/>
      <c r="AE265" s="187"/>
      <c r="AF265" s="187"/>
      <c r="AG265" s="187"/>
      <c r="AH265" s="187"/>
      <c r="AI265" s="187"/>
    </row>
    <row r="266">
      <c r="A266" s="187"/>
      <c r="B266" s="187"/>
      <c r="C266" s="187"/>
      <c r="D266" s="187"/>
      <c r="E266" s="187"/>
      <c r="F266" s="187"/>
      <c r="G266" s="187"/>
      <c r="H266" s="187"/>
      <c r="I266" s="187"/>
      <c r="J266" s="187"/>
      <c r="K266" s="187"/>
      <c r="L266" s="187"/>
      <c r="M266" s="192"/>
      <c r="N266" s="187"/>
      <c r="O266" s="187"/>
      <c r="P266" s="187"/>
      <c r="Q266" s="187"/>
      <c r="R266" s="187"/>
      <c r="S266" s="187"/>
      <c r="T266" s="187"/>
      <c r="U266" s="187"/>
      <c r="V266" s="187"/>
      <c r="W266" s="187"/>
      <c r="X266" s="187"/>
      <c r="Y266" s="187"/>
      <c r="Z266" s="187"/>
      <c r="AA266" s="187"/>
      <c r="AB266" s="187"/>
      <c r="AC266" s="187"/>
      <c r="AD266" s="187"/>
      <c r="AE266" s="187"/>
      <c r="AF266" s="187"/>
      <c r="AG266" s="187"/>
      <c r="AH266" s="187"/>
      <c r="AI266" s="187"/>
    </row>
    <row r="267">
      <c r="A267" s="187"/>
      <c r="B267" s="187"/>
      <c r="C267" s="187"/>
      <c r="D267" s="187"/>
      <c r="E267" s="187"/>
      <c r="F267" s="187"/>
      <c r="G267" s="187"/>
      <c r="H267" s="187"/>
      <c r="I267" s="187"/>
      <c r="J267" s="187"/>
      <c r="K267" s="187"/>
      <c r="L267" s="187"/>
      <c r="M267" s="192"/>
      <c r="N267" s="187"/>
      <c r="O267" s="187"/>
      <c r="P267" s="187"/>
      <c r="Q267" s="187"/>
      <c r="R267" s="187"/>
      <c r="S267" s="187"/>
      <c r="T267" s="187"/>
      <c r="U267" s="187"/>
      <c r="V267" s="187"/>
      <c r="W267" s="187"/>
      <c r="X267" s="187"/>
      <c r="Y267" s="187"/>
      <c r="Z267" s="187"/>
      <c r="AA267" s="187"/>
      <c r="AB267" s="187"/>
      <c r="AC267" s="187"/>
      <c r="AD267" s="187"/>
      <c r="AE267" s="187"/>
      <c r="AF267" s="187"/>
      <c r="AG267" s="187"/>
      <c r="AH267" s="187"/>
      <c r="AI267" s="187"/>
    </row>
    <row r="268">
      <c r="A268" s="187"/>
      <c r="B268" s="187"/>
      <c r="C268" s="187"/>
      <c r="D268" s="187"/>
      <c r="E268" s="187"/>
      <c r="F268" s="187"/>
      <c r="G268" s="187"/>
      <c r="H268" s="187"/>
      <c r="I268" s="187"/>
      <c r="J268" s="187"/>
      <c r="K268" s="187"/>
      <c r="L268" s="187"/>
      <c r="M268" s="192"/>
      <c r="N268" s="187"/>
      <c r="O268" s="187"/>
      <c r="P268" s="187"/>
      <c r="Q268" s="187"/>
      <c r="R268" s="187"/>
      <c r="S268" s="187"/>
      <c r="T268" s="187"/>
      <c r="U268" s="187"/>
      <c r="V268" s="187"/>
      <c r="W268" s="187"/>
      <c r="X268" s="187"/>
      <c r="Y268" s="187"/>
      <c r="Z268" s="187"/>
      <c r="AA268" s="187"/>
      <c r="AB268" s="187"/>
      <c r="AC268" s="187"/>
      <c r="AD268" s="187"/>
      <c r="AE268" s="187"/>
      <c r="AF268" s="187"/>
      <c r="AG268" s="187"/>
      <c r="AH268" s="187"/>
      <c r="AI268" s="187"/>
    </row>
    <row r="269">
      <c r="A269" s="187"/>
      <c r="B269" s="187"/>
      <c r="C269" s="187"/>
      <c r="D269" s="187"/>
      <c r="E269" s="187"/>
      <c r="F269" s="187"/>
      <c r="G269" s="187"/>
      <c r="H269" s="187"/>
      <c r="I269" s="187"/>
      <c r="J269" s="187"/>
      <c r="K269" s="187"/>
      <c r="L269" s="187"/>
      <c r="M269" s="192"/>
      <c r="N269" s="187"/>
      <c r="O269" s="187"/>
      <c r="P269" s="187"/>
      <c r="Q269" s="187"/>
      <c r="R269" s="187"/>
      <c r="S269" s="187"/>
      <c r="T269" s="187"/>
      <c r="U269" s="187"/>
      <c r="V269" s="187"/>
      <c r="W269" s="187"/>
      <c r="X269" s="187"/>
      <c r="Y269" s="187"/>
      <c r="Z269" s="187"/>
      <c r="AA269" s="187"/>
      <c r="AB269" s="187"/>
      <c r="AC269" s="187"/>
      <c r="AD269" s="187"/>
      <c r="AE269" s="187"/>
      <c r="AF269" s="187"/>
      <c r="AG269" s="187"/>
      <c r="AH269" s="187"/>
      <c r="AI269" s="187"/>
    </row>
    <row r="270">
      <c r="A270" s="187"/>
      <c r="B270" s="187"/>
      <c r="C270" s="187"/>
      <c r="D270" s="187"/>
      <c r="E270" s="187"/>
      <c r="F270" s="187"/>
      <c r="G270" s="187"/>
      <c r="H270" s="187"/>
      <c r="I270" s="187"/>
      <c r="J270" s="187"/>
      <c r="K270" s="187"/>
      <c r="L270" s="187"/>
      <c r="M270" s="192"/>
      <c r="N270" s="187"/>
      <c r="O270" s="187"/>
      <c r="P270" s="187"/>
      <c r="Q270" s="187"/>
      <c r="R270" s="187"/>
      <c r="S270" s="187"/>
      <c r="T270" s="187"/>
      <c r="U270" s="187"/>
      <c r="V270" s="187"/>
      <c r="W270" s="187"/>
      <c r="X270" s="187"/>
      <c r="Y270" s="187"/>
      <c r="Z270" s="187"/>
      <c r="AA270" s="187"/>
      <c r="AB270" s="187"/>
      <c r="AC270" s="187"/>
      <c r="AD270" s="187"/>
      <c r="AE270" s="187"/>
      <c r="AF270" s="187"/>
      <c r="AG270" s="187"/>
      <c r="AH270" s="187"/>
      <c r="AI270" s="187"/>
    </row>
    <row r="271">
      <c r="A271" s="187"/>
      <c r="B271" s="187"/>
      <c r="C271" s="187"/>
      <c r="D271" s="187"/>
      <c r="E271" s="187"/>
      <c r="F271" s="187"/>
      <c r="G271" s="187"/>
      <c r="H271" s="187"/>
      <c r="I271" s="187"/>
      <c r="J271" s="187"/>
      <c r="K271" s="187"/>
      <c r="L271" s="187"/>
      <c r="M271" s="192"/>
      <c r="N271" s="187"/>
      <c r="O271" s="187"/>
      <c r="P271" s="187"/>
      <c r="Q271" s="187"/>
      <c r="R271" s="187"/>
      <c r="S271" s="187"/>
      <c r="T271" s="187"/>
      <c r="U271" s="187"/>
      <c r="V271" s="187"/>
      <c r="W271" s="187"/>
      <c r="X271" s="187"/>
      <c r="Y271" s="187"/>
      <c r="Z271" s="187"/>
      <c r="AA271" s="187"/>
      <c r="AB271" s="187"/>
      <c r="AC271" s="187"/>
      <c r="AD271" s="187"/>
      <c r="AE271" s="187"/>
      <c r="AF271" s="187"/>
      <c r="AG271" s="187"/>
      <c r="AH271" s="187"/>
      <c r="AI271" s="187"/>
    </row>
    <row r="272">
      <c r="A272" s="187"/>
      <c r="B272" s="187"/>
      <c r="C272" s="187"/>
      <c r="D272" s="187"/>
      <c r="E272" s="187"/>
      <c r="F272" s="187"/>
      <c r="G272" s="187"/>
      <c r="H272" s="187"/>
      <c r="I272" s="187"/>
      <c r="J272" s="187"/>
      <c r="K272" s="187"/>
      <c r="L272" s="187"/>
      <c r="M272" s="192"/>
      <c r="N272" s="187"/>
      <c r="O272" s="187"/>
      <c r="P272" s="187"/>
      <c r="Q272" s="187"/>
      <c r="R272" s="187"/>
      <c r="S272" s="187"/>
      <c r="T272" s="187"/>
      <c r="U272" s="187"/>
      <c r="V272" s="187"/>
      <c r="W272" s="187"/>
      <c r="X272" s="187"/>
      <c r="Y272" s="187"/>
      <c r="Z272" s="187"/>
      <c r="AA272" s="187"/>
      <c r="AB272" s="187"/>
      <c r="AC272" s="187"/>
      <c r="AD272" s="187"/>
      <c r="AE272" s="187"/>
      <c r="AF272" s="187"/>
      <c r="AG272" s="187"/>
      <c r="AH272" s="187"/>
      <c r="AI272" s="187"/>
    </row>
    <row r="273">
      <c r="A273" s="187"/>
      <c r="B273" s="187"/>
      <c r="C273" s="187"/>
      <c r="D273" s="187"/>
      <c r="E273" s="187"/>
      <c r="F273" s="187"/>
      <c r="G273" s="187"/>
      <c r="H273" s="187"/>
      <c r="I273" s="187"/>
      <c r="J273" s="187"/>
      <c r="K273" s="187"/>
      <c r="L273" s="187"/>
      <c r="M273" s="192"/>
      <c r="N273" s="187"/>
      <c r="O273" s="187"/>
      <c r="P273" s="187"/>
      <c r="Q273" s="187"/>
      <c r="R273" s="187"/>
      <c r="S273" s="187"/>
      <c r="T273" s="187"/>
      <c r="U273" s="187"/>
      <c r="V273" s="187"/>
      <c r="W273" s="187"/>
      <c r="X273" s="187"/>
      <c r="Y273" s="187"/>
      <c r="Z273" s="187"/>
      <c r="AA273" s="187"/>
      <c r="AB273" s="187"/>
      <c r="AC273" s="187"/>
      <c r="AD273" s="187"/>
      <c r="AE273" s="187"/>
      <c r="AF273" s="187"/>
      <c r="AG273" s="187"/>
      <c r="AH273" s="187"/>
      <c r="AI273" s="187"/>
    </row>
    <row r="274">
      <c r="A274" s="187"/>
      <c r="B274" s="187"/>
      <c r="C274" s="187"/>
      <c r="D274" s="187"/>
      <c r="E274" s="187"/>
      <c r="F274" s="187"/>
      <c r="G274" s="187"/>
      <c r="H274" s="187"/>
      <c r="I274" s="187"/>
      <c r="J274" s="187"/>
      <c r="K274" s="187"/>
      <c r="L274" s="187"/>
      <c r="M274" s="192"/>
      <c r="N274" s="187"/>
      <c r="O274" s="187"/>
      <c r="P274" s="187"/>
      <c r="Q274" s="187"/>
      <c r="R274" s="187"/>
      <c r="S274" s="187"/>
      <c r="T274" s="187"/>
      <c r="U274" s="187"/>
      <c r="V274" s="187"/>
      <c r="W274" s="187"/>
      <c r="X274" s="187"/>
      <c r="Y274" s="187"/>
      <c r="Z274" s="187"/>
      <c r="AA274" s="187"/>
      <c r="AB274" s="187"/>
      <c r="AC274" s="187"/>
      <c r="AD274" s="187"/>
      <c r="AE274" s="187"/>
      <c r="AF274" s="187"/>
      <c r="AG274" s="187"/>
      <c r="AH274" s="187"/>
      <c r="AI274" s="187"/>
    </row>
    <row r="275">
      <c r="A275" s="187"/>
      <c r="B275" s="187"/>
      <c r="C275" s="187"/>
      <c r="D275" s="187"/>
      <c r="E275" s="187"/>
      <c r="F275" s="187"/>
      <c r="G275" s="187"/>
      <c r="H275" s="187"/>
      <c r="I275" s="187"/>
      <c r="J275" s="187"/>
      <c r="K275" s="187"/>
      <c r="L275" s="187"/>
      <c r="M275" s="192"/>
      <c r="N275" s="187"/>
      <c r="O275" s="187"/>
      <c r="P275" s="187"/>
      <c r="Q275" s="187"/>
      <c r="R275" s="187"/>
      <c r="S275" s="187"/>
      <c r="T275" s="187"/>
      <c r="U275" s="187"/>
      <c r="V275" s="187"/>
      <c r="W275" s="187"/>
      <c r="X275" s="187"/>
      <c r="Y275" s="187"/>
      <c r="Z275" s="187"/>
      <c r="AA275" s="187"/>
      <c r="AB275" s="187"/>
      <c r="AC275" s="187"/>
      <c r="AD275" s="187"/>
      <c r="AE275" s="187"/>
      <c r="AF275" s="187"/>
      <c r="AG275" s="187"/>
      <c r="AH275" s="187"/>
      <c r="AI275" s="187"/>
    </row>
    <row r="276">
      <c r="A276" s="187"/>
      <c r="B276" s="187"/>
      <c r="C276" s="187"/>
      <c r="D276" s="187"/>
      <c r="E276" s="187"/>
      <c r="F276" s="187"/>
      <c r="G276" s="187"/>
      <c r="H276" s="187"/>
      <c r="I276" s="187"/>
      <c r="J276" s="187"/>
      <c r="K276" s="187"/>
      <c r="L276" s="187"/>
      <c r="M276" s="192"/>
      <c r="N276" s="187"/>
      <c r="O276" s="187"/>
      <c r="P276" s="187"/>
      <c r="Q276" s="187"/>
      <c r="R276" s="187"/>
      <c r="S276" s="187"/>
      <c r="T276" s="187"/>
      <c r="U276" s="187"/>
      <c r="V276" s="187"/>
      <c r="W276" s="187"/>
      <c r="X276" s="187"/>
      <c r="Y276" s="187"/>
      <c r="Z276" s="187"/>
      <c r="AA276" s="187"/>
      <c r="AB276" s="187"/>
      <c r="AC276" s="187"/>
      <c r="AD276" s="187"/>
      <c r="AE276" s="187"/>
      <c r="AF276" s="187"/>
      <c r="AG276" s="187"/>
      <c r="AH276" s="187"/>
      <c r="AI276" s="187"/>
    </row>
    <row r="277">
      <c r="A277" s="187"/>
      <c r="B277" s="187"/>
      <c r="C277" s="187"/>
      <c r="D277" s="187"/>
      <c r="E277" s="187"/>
      <c r="F277" s="187"/>
      <c r="G277" s="187"/>
      <c r="H277" s="187"/>
      <c r="I277" s="187"/>
      <c r="J277" s="187"/>
      <c r="K277" s="187"/>
      <c r="L277" s="187"/>
      <c r="M277" s="192"/>
      <c r="N277" s="187"/>
      <c r="O277" s="187"/>
      <c r="P277" s="187"/>
      <c r="Q277" s="187"/>
      <c r="R277" s="187"/>
      <c r="S277" s="187"/>
      <c r="T277" s="187"/>
      <c r="U277" s="187"/>
      <c r="V277" s="187"/>
      <c r="W277" s="187"/>
      <c r="X277" s="187"/>
      <c r="Y277" s="187"/>
      <c r="Z277" s="187"/>
      <c r="AA277" s="187"/>
      <c r="AB277" s="187"/>
      <c r="AC277" s="187"/>
      <c r="AD277" s="187"/>
      <c r="AE277" s="187"/>
      <c r="AF277" s="187"/>
      <c r="AG277" s="187"/>
      <c r="AH277" s="187"/>
      <c r="AI277" s="187"/>
    </row>
    <row r="278">
      <c r="A278" s="187"/>
      <c r="B278" s="187"/>
      <c r="C278" s="187"/>
      <c r="D278" s="187"/>
      <c r="E278" s="187"/>
      <c r="F278" s="187"/>
      <c r="G278" s="187"/>
      <c r="H278" s="187"/>
      <c r="I278" s="187"/>
      <c r="J278" s="187"/>
      <c r="K278" s="187"/>
      <c r="L278" s="187"/>
      <c r="M278" s="192"/>
      <c r="N278" s="187"/>
      <c r="O278" s="187"/>
      <c r="P278" s="187"/>
      <c r="Q278" s="187"/>
      <c r="R278" s="187"/>
      <c r="S278" s="187"/>
      <c r="T278" s="187"/>
      <c r="U278" s="187"/>
      <c r="V278" s="187"/>
      <c r="W278" s="187"/>
      <c r="X278" s="187"/>
      <c r="Y278" s="187"/>
      <c r="Z278" s="187"/>
      <c r="AA278" s="187"/>
      <c r="AB278" s="187"/>
      <c r="AC278" s="187"/>
      <c r="AD278" s="187"/>
      <c r="AE278" s="187"/>
      <c r="AF278" s="187"/>
      <c r="AG278" s="187"/>
      <c r="AH278" s="187"/>
      <c r="AI278" s="187"/>
    </row>
    <row r="279">
      <c r="A279" s="187"/>
      <c r="B279" s="187"/>
      <c r="C279" s="187"/>
      <c r="D279" s="187"/>
      <c r="E279" s="187"/>
      <c r="F279" s="187"/>
      <c r="G279" s="187"/>
      <c r="H279" s="187"/>
      <c r="I279" s="187"/>
      <c r="J279" s="187"/>
      <c r="K279" s="187"/>
      <c r="L279" s="187"/>
      <c r="M279" s="192"/>
      <c r="N279" s="187"/>
      <c r="O279" s="187"/>
      <c r="P279" s="187"/>
      <c r="Q279" s="187"/>
      <c r="R279" s="187"/>
      <c r="S279" s="187"/>
      <c r="T279" s="187"/>
      <c r="U279" s="187"/>
      <c r="V279" s="187"/>
      <c r="W279" s="187"/>
      <c r="X279" s="187"/>
      <c r="Y279" s="187"/>
      <c r="Z279" s="187"/>
      <c r="AA279" s="187"/>
      <c r="AB279" s="187"/>
      <c r="AC279" s="187"/>
      <c r="AD279" s="187"/>
      <c r="AE279" s="187"/>
      <c r="AF279" s="187"/>
      <c r="AG279" s="187"/>
      <c r="AH279" s="187"/>
      <c r="AI279" s="187"/>
    </row>
    <row r="280">
      <c r="A280" s="187"/>
      <c r="B280" s="187"/>
      <c r="C280" s="187"/>
      <c r="D280" s="187"/>
      <c r="E280" s="187"/>
      <c r="F280" s="187"/>
      <c r="G280" s="187"/>
      <c r="H280" s="187"/>
      <c r="I280" s="187"/>
      <c r="J280" s="187"/>
      <c r="K280" s="187"/>
      <c r="L280" s="187"/>
      <c r="M280" s="192"/>
      <c r="N280" s="187"/>
      <c r="O280" s="187"/>
      <c r="P280" s="187"/>
      <c r="Q280" s="187"/>
      <c r="R280" s="187"/>
      <c r="S280" s="187"/>
      <c r="T280" s="187"/>
      <c r="U280" s="187"/>
      <c r="V280" s="187"/>
      <c r="W280" s="187"/>
      <c r="X280" s="187"/>
      <c r="Y280" s="187"/>
      <c r="Z280" s="187"/>
      <c r="AA280" s="187"/>
      <c r="AB280" s="187"/>
      <c r="AC280" s="187"/>
      <c r="AD280" s="187"/>
      <c r="AE280" s="187"/>
      <c r="AF280" s="187"/>
      <c r="AG280" s="187"/>
      <c r="AH280" s="187"/>
      <c r="AI280" s="187"/>
    </row>
    <row r="281">
      <c r="A281" s="187"/>
      <c r="B281" s="187"/>
      <c r="C281" s="187"/>
      <c r="D281" s="187"/>
      <c r="E281" s="187"/>
      <c r="F281" s="187"/>
      <c r="G281" s="187"/>
      <c r="H281" s="187"/>
      <c r="I281" s="187"/>
      <c r="J281" s="187"/>
      <c r="K281" s="187"/>
      <c r="L281" s="187"/>
      <c r="M281" s="192"/>
      <c r="N281" s="187"/>
      <c r="O281" s="187"/>
      <c r="P281" s="187"/>
      <c r="Q281" s="187"/>
      <c r="R281" s="187"/>
      <c r="S281" s="187"/>
      <c r="T281" s="187"/>
      <c r="U281" s="187"/>
      <c r="V281" s="187"/>
      <c r="W281" s="187"/>
      <c r="X281" s="187"/>
      <c r="Y281" s="187"/>
      <c r="Z281" s="187"/>
      <c r="AA281" s="187"/>
      <c r="AB281" s="187"/>
      <c r="AC281" s="187"/>
      <c r="AD281" s="187"/>
      <c r="AE281" s="187"/>
      <c r="AF281" s="187"/>
      <c r="AG281" s="187"/>
      <c r="AH281" s="187"/>
      <c r="AI281" s="187"/>
    </row>
    <row r="282">
      <c r="A282" s="187"/>
      <c r="B282" s="187"/>
      <c r="C282" s="187"/>
      <c r="D282" s="187"/>
      <c r="E282" s="187"/>
      <c r="F282" s="187"/>
      <c r="G282" s="187"/>
      <c r="H282" s="187"/>
      <c r="I282" s="187"/>
      <c r="J282" s="187"/>
      <c r="K282" s="187"/>
      <c r="L282" s="187"/>
      <c r="M282" s="192"/>
      <c r="N282" s="187"/>
      <c r="O282" s="187"/>
      <c r="P282" s="187"/>
      <c r="Q282" s="187"/>
      <c r="R282" s="187"/>
      <c r="S282" s="187"/>
      <c r="T282" s="187"/>
      <c r="U282" s="187"/>
      <c r="V282" s="187"/>
      <c r="W282" s="187"/>
      <c r="X282" s="187"/>
      <c r="Y282" s="187"/>
      <c r="Z282" s="187"/>
      <c r="AA282" s="187"/>
      <c r="AB282" s="187"/>
      <c r="AC282" s="187"/>
      <c r="AD282" s="187"/>
      <c r="AE282" s="187"/>
      <c r="AF282" s="187"/>
      <c r="AG282" s="187"/>
      <c r="AH282" s="187"/>
      <c r="AI282" s="187"/>
    </row>
    <row r="283">
      <c r="A283" s="187"/>
      <c r="B283" s="187"/>
      <c r="C283" s="187"/>
      <c r="D283" s="187"/>
      <c r="E283" s="187"/>
      <c r="F283" s="187"/>
      <c r="G283" s="187"/>
      <c r="H283" s="187"/>
      <c r="I283" s="187"/>
      <c r="J283" s="187"/>
      <c r="K283" s="187"/>
      <c r="L283" s="187"/>
      <c r="M283" s="192"/>
      <c r="N283" s="187"/>
      <c r="O283" s="187"/>
      <c r="P283" s="187"/>
      <c r="Q283" s="187"/>
      <c r="R283" s="187"/>
      <c r="S283" s="187"/>
      <c r="T283" s="187"/>
      <c r="U283" s="187"/>
      <c r="V283" s="187"/>
      <c r="W283" s="187"/>
      <c r="X283" s="187"/>
      <c r="Y283" s="187"/>
      <c r="Z283" s="187"/>
      <c r="AA283" s="187"/>
      <c r="AB283" s="187"/>
      <c r="AC283" s="187"/>
      <c r="AD283" s="187"/>
      <c r="AE283" s="187"/>
      <c r="AF283" s="187"/>
      <c r="AG283" s="187"/>
      <c r="AH283" s="187"/>
      <c r="AI283" s="187"/>
    </row>
    <row r="284">
      <c r="A284" s="187"/>
      <c r="B284" s="187"/>
      <c r="C284" s="187"/>
      <c r="D284" s="187"/>
      <c r="E284" s="187"/>
      <c r="F284" s="187"/>
      <c r="G284" s="187"/>
      <c r="H284" s="187"/>
      <c r="I284" s="187"/>
      <c r="J284" s="187"/>
      <c r="K284" s="187"/>
      <c r="L284" s="187"/>
      <c r="M284" s="192"/>
      <c r="N284" s="187"/>
      <c r="O284" s="187"/>
      <c r="P284" s="187"/>
      <c r="Q284" s="187"/>
      <c r="R284" s="187"/>
      <c r="S284" s="187"/>
      <c r="T284" s="187"/>
      <c r="U284" s="187"/>
      <c r="V284" s="187"/>
      <c r="W284" s="187"/>
      <c r="X284" s="187"/>
      <c r="Y284" s="187"/>
      <c r="Z284" s="187"/>
      <c r="AA284" s="187"/>
      <c r="AB284" s="187"/>
      <c r="AC284" s="187"/>
      <c r="AD284" s="187"/>
      <c r="AE284" s="187"/>
      <c r="AF284" s="187"/>
      <c r="AG284" s="187"/>
      <c r="AH284" s="187"/>
      <c r="AI284" s="187"/>
    </row>
    <row r="285">
      <c r="A285" s="187"/>
      <c r="B285" s="187"/>
      <c r="C285" s="187"/>
      <c r="D285" s="187"/>
      <c r="E285" s="187"/>
      <c r="F285" s="187"/>
      <c r="G285" s="187"/>
      <c r="H285" s="187"/>
      <c r="I285" s="187"/>
      <c r="J285" s="187"/>
      <c r="K285" s="187"/>
      <c r="L285" s="187"/>
      <c r="M285" s="192"/>
      <c r="N285" s="187"/>
      <c r="O285" s="187"/>
      <c r="P285" s="187"/>
      <c r="Q285" s="187"/>
      <c r="R285" s="187"/>
      <c r="S285" s="187"/>
      <c r="T285" s="187"/>
      <c r="U285" s="187"/>
      <c r="V285" s="187"/>
      <c r="W285" s="187"/>
      <c r="X285" s="187"/>
      <c r="Y285" s="187"/>
      <c r="Z285" s="187"/>
      <c r="AA285" s="187"/>
      <c r="AB285" s="187"/>
      <c r="AC285" s="187"/>
      <c r="AD285" s="187"/>
      <c r="AE285" s="187"/>
      <c r="AF285" s="187"/>
      <c r="AG285" s="187"/>
      <c r="AH285" s="187"/>
      <c r="AI285" s="187"/>
    </row>
    <row r="286">
      <c r="A286" s="187"/>
      <c r="B286" s="187"/>
      <c r="C286" s="187"/>
      <c r="D286" s="187"/>
      <c r="E286" s="187"/>
      <c r="F286" s="187"/>
      <c r="G286" s="187"/>
      <c r="H286" s="187"/>
      <c r="I286" s="187"/>
      <c r="J286" s="187"/>
      <c r="K286" s="187"/>
      <c r="L286" s="187"/>
      <c r="M286" s="192"/>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row>
    <row r="287">
      <c r="A287" s="187"/>
      <c r="B287" s="187"/>
      <c r="C287" s="187"/>
      <c r="D287" s="187"/>
      <c r="E287" s="187"/>
      <c r="F287" s="187"/>
      <c r="G287" s="187"/>
      <c r="H287" s="187"/>
      <c r="I287" s="187"/>
      <c r="J287" s="187"/>
      <c r="K287" s="187"/>
      <c r="L287" s="187"/>
      <c r="M287" s="192"/>
      <c r="N287" s="187"/>
      <c r="O287" s="187"/>
      <c r="P287" s="187"/>
      <c r="Q287" s="187"/>
      <c r="R287" s="187"/>
      <c r="S287" s="187"/>
      <c r="T287" s="187"/>
      <c r="U287" s="187"/>
      <c r="V287" s="187"/>
      <c r="W287" s="187"/>
      <c r="X287" s="187"/>
      <c r="Y287" s="187"/>
      <c r="Z287" s="187"/>
      <c r="AA287" s="187"/>
      <c r="AB287" s="187"/>
      <c r="AC287" s="187"/>
      <c r="AD287" s="187"/>
      <c r="AE287" s="187"/>
      <c r="AF287" s="187"/>
      <c r="AG287" s="187"/>
      <c r="AH287" s="187"/>
      <c r="AI287" s="187"/>
    </row>
    <row r="288">
      <c r="A288" s="187"/>
      <c r="B288" s="187"/>
      <c r="C288" s="187"/>
      <c r="D288" s="187"/>
      <c r="E288" s="187"/>
      <c r="F288" s="187"/>
      <c r="G288" s="187"/>
      <c r="H288" s="187"/>
      <c r="I288" s="187"/>
      <c r="J288" s="187"/>
      <c r="K288" s="187"/>
      <c r="L288" s="187"/>
      <c r="M288" s="192"/>
      <c r="N288" s="187"/>
      <c r="O288" s="187"/>
      <c r="P288" s="187"/>
      <c r="Q288" s="187"/>
      <c r="R288" s="187"/>
      <c r="S288" s="187"/>
      <c r="T288" s="187"/>
      <c r="U288" s="187"/>
      <c r="V288" s="187"/>
      <c r="W288" s="187"/>
      <c r="X288" s="187"/>
      <c r="Y288" s="187"/>
      <c r="Z288" s="187"/>
      <c r="AA288" s="187"/>
      <c r="AB288" s="187"/>
      <c r="AC288" s="187"/>
      <c r="AD288" s="187"/>
      <c r="AE288" s="187"/>
      <c r="AF288" s="187"/>
      <c r="AG288" s="187"/>
      <c r="AH288" s="187"/>
      <c r="AI288" s="187"/>
    </row>
    <row r="289">
      <c r="A289" s="187"/>
      <c r="B289" s="187"/>
      <c r="C289" s="187"/>
      <c r="D289" s="187"/>
      <c r="E289" s="187"/>
      <c r="F289" s="187"/>
      <c r="G289" s="187"/>
      <c r="H289" s="187"/>
      <c r="I289" s="187"/>
      <c r="J289" s="187"/>
      <c r="K289" s="187"/>
      <c r="L289" s="187"/>
      <c r="M289" s="192"/>
      <c r="N289" s="187"/>
      <c r="O289" s="187"/>
      <c r="P289" s="187"/>
      <c r="Q289" s="187"/>
      <c r="R289" s="187"/>
      <c r="S289" s="187"/>
      <c r="T289" s="187"/>
      <c r="U289" s="187"/>
      <c r="V289" s="187"/>
      <c r="W289" s="187"/>
      <c r="X289" s="187"/>
      <c r="Y289" s="187"/>
      <c r="Z289" s="187"/>
      <c r="AA289" s="187"/>
      <c r="AB289" s="187"/>
      <c r="AC289" s="187"/>
      <c r="AD289" s="187"/>
      <c r="AE289" s="187"/>
      <c r="AF289" s="187"/>
      <c r="AG289" s="187"/>
      <c r="AH289" s="187"/>
      <c r="AI289" s="187"/>
    </row>
    <row r="290">
      <c r="A290" s="187"/>
      <c r="B290" s="187"/>
      <c r="C290" s="187"/>
      <c r="D290" s="187"/>
      <c r="E290" s="187"/>
      <c r="F290" s="187"/>
      <c r="G290" s="187"/>
      <c r="H290" s="187"/>
      <c r="I290" s="187"/>
      <c r="J290" s="187"/>
      <c r="K290" s="187"/>
      <c r="L290" s="187"/>
      <c r="M290" s="192"/>
      <c r="N290" s="187"/>
      <c r="O290" s="187"/>
      <c r="P290" s="187"/>
      <c r="Q290" s="187"/>
      <c r="R290" s="187"/>
      <c r="S290" s="187"/>
      <c r="T290" s="187"/>
      <c r="U290" s="187"/>
      <c r="V290" s="187"/>
      <c r="W290" s="187"/>
      <c r="X290" s="187"/>
      <c r="Y290" s="187"/>
      <c r="Z290" s="187"/>
      <c r="AA290" s="187"/>
      <c r="AB290" s="187"/>
      <c r="AC290" s="187"/>
      <c r="AD290" s="187"/>
      <c r="AE290" s="187"/>
      <c r="AF290" s="187"/>
      <c r="AG290" s="187"/>
      <c r="AH290" s="187"/>
      <c r="AI290" s="187"/>
    </row>
    <row r="291">
      <c r="A291" s="187"/>
      <c r="B291" s="187"/>
      <c r="C291" s="187"/>
      <c r="D291" s="187"/>
      <c r="E291" s="187"/>
      <c r="F291" s="187"/>
      <c r="G291" s="187"/>
      <c r="H291" s="187"/>
      <c r="I291" s="187"/>
      <c r="J291" s="187"/>
      <c r="K291" s="187"/>
      <c r="L291" s="187"/>
      <c r="M291" s="192"/>
      <c r="N291" s="187"/>
      <c r="O291" s="187"/>
      <c r="P291" s="187"/>
      <c r="Q291" s="187"/>
      <c r="R291" s="187"/>
      <c r="S291" s="187"/>
      <c r="T291" s="187"/>
      <c r="U291" s="187"/>
      <c r="V291" s="187"/>
      <c r="W291" s="187"/>
      <c r="X291" s="187"/>
      <c r="Y291" s="187"/>
      <c r="Z291" s="187"/>
      <c r="AA291" s="187"/>
      <c r="AB291" s="187"/>
      <c r="AC291" s="187"/>
      <c r="AD291" s="187"/>
      <c r="AE291" s="187"/>
      <c r="AF291" s="187"/>
      <c r="AG291" s="187"/>
      <c r="AH291" s="187"/>
      <c r="AI291" s="187"/>
    </row>
    <row r="292">
      <c r="A292" s="187"/>
      <c r="B292" s="187"/>
      <c r="C292" s="187"/>
      <c r="D292" s="187"/>
      <c r="E292" s="187"/>
      <c r="F292" s="187"/>
      <c r="G292" s="187"/>
      <c r="H292" s="187"/>
      <c r="I292" s="187"/>
      <c r="J292" s="187"/>
      <c r="K292" s="187"/>
      <c r="L292" s="187"/>
      <c r="M292" s="192"/>
      <c r="N292" s="187"/>
      <c r="O292" s="187"/>
      <c r="P292" s="187"/>
      <c r="Q292" s="187"/>
      <c r="R292" s="187"/>
      <c r="S292" s="187"/>
      <c r="T292" s="187"/>
      <c r="U292" s="187"/>
      <c r="V292" s="187"/>
      <c r="W292" s="187"/>
      <c r="X292" s="187"/>
      <c r="Y292" s="187"/>
      <c r="Z292" s="187"/>
      <c r="AA292" s="187"/>
      <c r="AB292" s="187"/>
      <c r="AC292" s="187"/>
      <c r="AD292" s="187"/>
      <c r="AE292" s="187"/>
      <c r="AF292" s="187"/>
      <c r="AG292" s="187"/>
      <c r="AH292" s="187"/>
      <c r="AI292" s="187"/>
    </row>
    <row r="293">
      <c r="A293" s="187"/>
      <c r="B293" s="187"/>
      <c r="C293" s="187"/>
      <c r="D293" s="187"/>
      <c r="E293" s="187"/>
      <c r="F293" s="187"/>
      <c r="G293" s="187"/>
      <c r="H293" s="187"/>
      <c r="I293" s="187"/>
      <c r="J293" s="187"/>
      <c r="K293" s="187"/>
      <c r="L293" s="187"/>
      <c r="M293" s="192"/>
      <c r="N293" s="187"/>
      <c r="O293" s="187"/>
      <c r="P293" s="187"/>
      <c r="Q293" s="187"/>
      <c r="R293" s="187"/>
      <c r="S293" s="187"/>
      <c r="T293" s="187"/>
      <c r="U293" s="187"/>
      <c r="V293" s="187"/>
      <c r="W293" s="187"/>
      <c r="X293" s="187"/>
      <c r="Y293" s="187"/>
      <c r="Z293" s="187"/>
      <c r="AA293" s="187"/>
      <c r="AB293" s="187"/>
      <c r="AC293" s="187"/>
      <c r="AD293" s="187"/>
      <c r="AE293" s="187"/>
      <c r="AF293" s="187"/>
      <c r="AG293" s="187"/>
      <c r="AH293" s="187"/>
      <c r="AI293" s="187"/>
    </row>
    <row r="294">
      <c r="A294" s="187"/>
      <c r="B294" s="187"/>
      <c r="C294" s="187"/>
      <c r="D294" s="187"/>
      <c r="E294" s="187"/>
      <c r="F294" s="187"/>
      <c r="G294" s="187"/>
      <c r="H294" s="187"/>
      <c r="I294" s="187"/>
      <c r="J294" s="187"/>
      <c r="K294" s="187"/>
      <c r="L294" s="187"/>
      <c r="M294" s="192"/>
      <c r="N294" s="187"/>
      <c r="O294" s="187"/>
      <c r="P294" s="187"/>
      <c r="Q294" s="187"/>
      <c r="R294" s="187"/>
      <c r="S294" s="187"/>
      <c r="T294" s="187"/>
      <c r="U294" s="187"/>
      <c r="V294" s="187"/>
      <c r="W294" s="187"/>
      <c r="X294" s="187"/>
      <c r="Y294" s="187"/>
      <c r="Z294" s="187"/>
      <c r="AA294" s="187"/>
      <c r="AB294" s="187"/>
      <c r="AC294" s="187"/>
      <c r="AD294" s="187"/>
      <c r="AE294" s="187"/>
      <c r="AF294" s="187"/>
      <c r="AG294" s="187"/>
      <c r="AH294" s="187"/>
      <c r="AI294" s="187"/>
    </row>
    <row r="295">
      <c r="A295" s="187"/>
      <c r="B295" s="187"/>
      <c r="C295" s="187"/>
      <c r="D295" s="187"/>
      <c r="E295" s="187"/>
      <c r="F295" s="187"/>
      <c r="G295" s="187"/>
      <c r="H295" s="187"/>
      <c r="I295" s="187"/>
      <c r="J295" s="187"/>
      <c r="K295" s="187"/>
      <c r="L295" s="187"/>
      <c r="M295" s="192"/>
      <c r="N295" s="187"/>
      <c r="O295" s="187"/>
      <c r="P295" s="187"/>
      <c r="Q295" s="187"/>
      <c r="R295" s="187"/>
      <c r="S295" s="187"/>
      <c r="T295" s="187"/>
      <c r="U295" s="187"/>
      <c r="V295" s="187"/>
      <c r="W295" s="187"/>
      <c r="X295" s="187"/>
      <c r="Y295" s="187"/>
      <c r="Z295" s="187"/>
      <c r="AA295" s="187"/>
      <c r="AB295" s="187"/>
      <c r="AC295" s="187"/>
      <c r="AD295" s="187"/>
      <c r="AE295" s="187"/>
      <c r="AF295" s="187"/>
      <c r="AG295" s="187"/>
      <c r="AH295" s="187"/>
      <c r="AI295" s="187"/>
    </row>
    <row r="296">
      <c r="A296" s="187"/>
      <c r="B296" s="187"/>
      <c r="C296" s="187"/>
      <c r="D296" s="187"/>
      <c r="E296" s="187"/>
      <c r="F296" s="187"/>
      <c r="G296" s="187"/>
      <c r="H296" s="187"/>
      <c r="I296" s="187"/>
      <c r="J296" s="187"/>
      <c r="K296" s="187"/>
      <c r="L296" s="187"/>
      <c r="M296" s="192"/>
      <c r="N296" s="187"/>
      <c r="O296" s="187"/>
      <c r="P296" s="187"/>
      <c r="Q296" s="187"/>
      <c r="R296" s="187"/>
      <c r="S296" s="187"/>
      <c r="T296" s="187"/>
      <c r="U296" s="187"/>
      <c r="V296" s="187"/>
      <c r="W296" s="187"/>
      <c r="X296" s="187"/>
      <c r="Y296" s="187"/>
      <c r="Z296" s="187"/>
      <c r="AA296" s="187"/>
      <c r="AB296" s="187"/>
      <c r="AC296" s="187"/>
      <c r="AD296" s="187"/>
      <c r="AE296" s="187"/>
      <c r="AF296" s="187"/>
      <c r="AG296" s="187"/>
      <c r="AH296" s="187"/>
      <c r="AI296" s="187"/>
    </row>
    <row r="297">
      <c r="A297" s="187"/>
      <c r="B297" s="187"/>
      <c r="C297" s="187"/>
      <c r="D297" s="187"/>
      <c r="E297" s="187"/>
      <c r="F297" s="187"/>
      <c r="G297" s="187"/>
      <c r="H297" s="187"/>
      <c r="I297" s="187"/>
      <c r="J297" s="187"/>
      <c r="K297" s="187"/>
      <c r="L297" s="187"/>
      <c r="M297" s="192"/>
      <c r="N297" s="187"/>
      <c r="O297" s="187"/>
      <c r="P297" s="187"/>
      <c r="Q297" s="187"/>
      <c r="R297" s="187"/>
      <c r="S297" s="187"/>
      <c r="T297" s="187"/>
      <c r="U297" s="187"/>
      <c r="V297" s="187"/>
      <c r="W297" s="187"/>
      <c r="X297" s="187"/>
      <c r="Y297" s="187"/>
      <c r="Z297" s="187"/>
      <c r="AA297" s="187"/>
      <c r="AB297" s="187"/>
      <c r="AC297" s="187"/>
      <c r="AD297" s="187"/>
      <c r="AE297" s="187"/>
      <c r="AF297" s="187"/>
      <c r="AG297" s="187"/>
      <c r="AH297" s="187"/>
      <c r="AI297" s="187"/>
    </row>
    <row r="298">
      <c r="A298" s="187"/>
      <c r="B298" s="187"/>
      <c r="C298" s="187"/>
      <c r="D298" s="187"/>
      <c r="E298" s="187"/>
      <c r="F298" s="187"/>
      <c r="G298" s="187"/>
      <c r="H298" s="187"/>
      <c r="I298" s="187"/>
      <c r="J298" s="187"/>
      <c r="K298" s="187"/>
      <c r="L298" s="187"/>
      <c r="M298" s="192"/>
      <c r="N298" s="187"/>
      <c r="O298" s="187"/>
      <c r="P298" s="187"/>
      <c r="Q298" s="187"/>
      <c r="R298" s="187"/>
      <c r="S298" s="187"/>
      <c r="T298" s="187"/>
      <c r="U298" s="187"/>
      <c r="V298" s="187"/>
      <c r="W298" s="187"/>
      <c r="X298" s="187"/>
      <c r="Y298" s="187"/>
      <c r="Z298" s="187"/>
      <c r="AA298" s="187"/>
      <c r="AB298" s="187"/>
      <c r="AC298" s="187"/>
      <c r="AD298" s="187"/>
      <c r="AE298" s="187"/>
      <c r="AF298" s="187"/>
      <c r="AG298" s="187"/>
      <c r="AH298" s="187"/>
      <c r="AI298" s="187"/>
    </row>
    <row r="299">
      <c r="A299" s="187"/>
      <c r="B299" s="187"/>
      <c r="C299" s="187"/>
      <c r="D299" s="187"/>
      <c r="E299" s="187"/>
      <c r="F299" s="187"/>
      <c r="G299" s="187"/>
      <c r="H299" s="187"/>
      <c r="I299" s="187"/>
      <c r="J299" s="187"/>
      <c r="K299" s="187"/>
      <c r="L299" s="187"/>
      <c r="M299" s="192"/>
      <c r="N299" s="187"/>
      <c r="O299" s="187"/>
      <c r="P299" s="187"/>
      <c r="Q299" s="187"/>
      <c r="R299" s="187"/>
      <c r="S299" s="187"/>
      <c r="T299" s="187"/>
      <c r="U299" s="187"/>
      <c r="V299" s="187"/>
      <c r="W299" s="187"/>
      <c r="X299" s="187"/>
      <c r="Y299" s="187"/>
      <c r="Z299" s="187"/>
      <c r="AA299" s="187"/>
      <c r="AB299" s="187"/>
      <c r="AC299" s="187"/>
      <c r="AD299" s="187"/>
      <c r="AE299" s="187"/>
      <c r="AF299" s="187"/>
      <c r="AG299" s="187"/>
      <c r="AH299" s="187"/>
      <c r="AI299" s="187"/>
    </row>
    <row r="300">
      <c r="A300" s="187"/>
      <c r="B300" s="187"/>
      <c r="C300" s="187"/>
      <c r="D300" s="187"/>
      <c r="E300" s="187"/>
      <c r="F300" s="187"/>
      <c r="G300" s="187"/>
      <c r="H300" s="187"/>
      <c r="I300" s="187"/>
      <c r="J300" s="187"/>
      <c r="K300" s="187"/>
      <c r="L300" s="187"/>
      <c r="M300" s="192"/>
      <c r="N300" s="187"/>
      <c r="O300" s="187"/>
      <c r="P300" s="187"/>
      <c r="Q300" s="187"/>
      <c r="R300" s="187"/>
      <c r="S300" s="187"/>
      <c r="T300" s="187"/>
      <c r="U300" s="187"/>
      <c r="V300" s="187"/>
      <c r="W300" s="187"/>
      <c r="X300" s="187"/>
      <c r="Y300" s="187"/>
      <c r="Z300" s="187"/>
      <c r="AA300" s="187"/>
      <c r="AB300" s="187"/>
      <c r="AC300" s="187"/>
      <c r="AD300" s="187"/>
      <c r="AE300" s="187"/>
      <c r="AF300" s="187"/>
      <c r="AG300" s="187"/>
      <c r="AH300" s="187"/>
      <c r="AI300" s="187"/>
    </row>
    <row r="301">
      <c r="A301" s="187"/>
      <c r="B301" s="187"/>
      <c r="C301" s="187"/>
      <c r="D301" s="187"/>
      <c r="E301" s="187"/>
      <c r="F301" s="187"/>
      <c r="G301" s="187"/>
      <c r="H301" s="187"/>
      <c r="I301" s="187"/>
      <c r="J301" s="187"/>
      <c r="K301" s="187"/>
      <c r="L301" s="187"/>
      <c r="M301" s="192"/>
      <c r="N301" s="187"/>
      <c r="O301" s="187"/>
      <c r="P301" s="187"/>
      <c r="Q301" s="187"/>
      <c r="R301" s="187"/>
      <c r="S301" s="187"/>
      <c r="T301" s="187"/>
      <c r="U301" s="187"/>
      <c r="V301" s="187"/>
      <c r="W301" s="187"/>
      <c r="X301" s="187"/>
      <c r="Y301" s="187"/>
      <c r="Z301" s="187"/>
      <c r="AA301" s="187"/>
      <c r="AB301" s="187"/>
      <c r="AC301" s="187"/>
      <c r="AD301" s="187"/>
      <c r="AE301" s="187"/>
      <c r="AF301" s="187"/>
      <c r="AG301" s="187"/>
      <c r="AH301" s="187"/>
      <c r="AI301" s="187"/>
    </row>
    <row r="302">
      <c r="A302" s="187"/>
      <c r="B302" s="187"/>
      <c r="C302" s="187"/>
      <c r="D302" s="187"/>
      <c r="E302" s="187"/>
      <c r="F302" s="187"/>
      <c r="G302" s="187"/>
      <c r="H302" s="187"/>
      <c r="I302" s="187"/>
      <c r="J302" s="187"/>
      <c r="K302" s="187"/>
      <c r="L302" s="187"/>
      <c r="M302" s="192"/>
      <c r="N302" s="187"/>
      <c r="O302" s="187"/>
      <c r="P302" s="187"/>
      <c r="Q302" s="187"/>
      <c r="R302" s="187"/>
      <c r="S302" s="187"/>
      <c r="T302" s="187"/>
      <c r="U302" s="187"/>
      <c r="V302" s="187"/>
      <c r="W302" s="187"/>
      <c r="X302" s="187"/>
      <c r="Y302" s="187"/>
      <c r="Z302" s="187"/>
      <c r="AA302" s="187"/>
      <c r="AB302" s="187"/>
      <c r="AC302" s="187"/>
      <c r="AD302" s="187"/>
      <c r="AE302" s="187"/>
      <c r="AF302" s="187"/>
      <c r="AG302" s="187"/>
      <c r="AH302" s="187"/>
      <c r="AI302" s="187"/>
    </row>
    <row r="303">
      <c r="A303" s="187"/>
      <c r="B303" s="187"/>
      <c r="C303" s="187"/>
      <c r="D303" s="187"/>
      <c r="E303" s="187"/>
      <c r="F303" s="187"/>
      <c r="G303" s="187"/>
      <c r="H303" s="187"/>
      <c r="I303" s="187"/>
      <c r="J303" s="187"/>
      <c r="K303" s="187"/>
      <c r="L303" s="187"/>
      <c r="M303" s="192"/>
      <c r="N303" s="187"/>
      <c r="O303" s="187"/>
      <c r="P303" s="187"/>
      <c r="Q303" s="187"/>
      <c r="R303" s="187"/>
      <c r="S303" s="187"/>
      <c r="T303" s="187"/>
      <c r="U303" s="187"/>
      <c r="V303" s="187"/>
      <c r="W303" s="187"/>
      <c r="X303" s="187"/>
      <c r="Y303" s="187"/>
      <c r="Z303" s="187"/>
      <c r="AA303" s="187"/>
      <c r="AB303" s="187"/>
      <c r="AC303" s="187"/>
      <c r="AD303" s="187"/>
      <c r="AE303" s="187"/>
      <c r="AF303" s="187"/>
      <c r="AG303" s="187"/>
      <c r="AH303" s="187"/>
      <c r="AI303" s="187"/>
    </row>
    <row r="304">
      <c r="A304" s="187"/>
      <c r="B304" s="187"/>
      <c r="C304" s="187"/>
      <c r="D304" s="187"/>
      <c r="E304" s="187"/>
      <c r="F304" s="187"/>
      <c r="G304" s="187"/>
      <c r="H304" s="187"/>
      <c r="I304" s="187"/>
      <c r="J304" s="187"/>
      <c r="K304" s="187"/>
      <c r="L304" s="187"/>
      <c r="M304" s="192"/>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row>
    <row r="305">
      <c r="A305" s="187"/>
      <c r="B305" s="187"/>
      <c r="C305" s="187"/>
      <c r="D305" s="187"/>
      <c r="E305" s="187"/>
      <c r="F305" s="187"/>
      <c r="G305" s="187"/>
      <c r="H305" s="187"/>
      <c r="I305" s="187"/>
      <c r="J305" s="187"/>
      <c r="K305" s="187"/>
      <c r="L305" s="187"/>
      <c r="M305" s="192"/>
      <c r="N305" s="187"/>
      <c r="O305" s="187"/>
      <c r="P305" s="187"/>
      <c r="Q305" s="187"/>
      <c r="R305" s="187"/>
      <c r="S305" s="187"/>
      <c r="T305" s="187"/>
      <c r="U305" s="187"/>
      <c r="V305" s="187"/>
      <c r="W305" s="187"/>
      <c r="X305" s="187"/>
      <c r="Y305" s="187"/>
      <c r="Z305" s="187"/>
      <c r="AA305" s="187"/>
      <c r="AB305" s="187"/>
      <c r="AC305" s="187"/>
      <c r="AD305" s="187"/>
      <c r="AE305" s="187"/>
      <c r="AF305" s="187"/>
      <c r="AG305" s="187"/>
      <c r="AH305" s="187"/>
      <c r="AI305" s="187"/>
    </row>
    <row r="306">
      <c r="A306" s="187"/>
      <c r="B306" s="187"/>
      <c r="C306" s="187"/>
      <c r="D306" s="187"/>
      <c r="E306" s="187"/>
      <c r="F306" s="187"/>
      <c r="G306" s="187"/>
      <c r="H306" s="187"/>
      <c r="I306" s="187"/>
      <c r="J306" s="187"/>
      <c r="K306" s="187"/>
      <c r="L306" s="187"/>
      <c r="M306" s="192"/>
      <c r="N306" s="187"/>
      <c r="O306" s="187"/>
      <c r="P306" s="187"/>
      <c r="Q306" s="187"/>
      <c r="R306" s="187"/>
      <c r="S306" s="187"/>
      <c r="T306" s="187"/>
      <c r="U306" s="187"/>
      <c r="V306" s="187"/>
      <c r="W306" s="187"/>
      <c r="X306" s="187"/>
      <c r="Y306" s="187"/>
      <c r="Z306" s="187"/>
      <c r="AA306" s="187"/>
      <c r="AB306" s="187"/>
      <c r="AC306" s="187"/>
      <c r="AD306" s="187"/>
      <c r="AE306" s="187"/>
      <c r="AF306" s="187"/>
      <c r="AG306" s="187"/>
      <c r="AH306" s="187"/>
      <c r="AI306" s="187"/>
    </row>
    <row r="307">
      <c r="A307" s="187"/>
      <c r="B307" s="187"/>
      <c r="C307" s="187"/>
      <c r="D307" s="187"/>
      <c r="E307" s="187"/>
      <c r="F307" s="187"/>
      <c r="G307" s="187"/>
      <c r="H307" s="187"/>
      <c r="I307" s="187"/>
      <c r="J307" s="187"/>
      <c r="K307" s="187"/>
      <c r="L307" s="187"/>
      <c r="M307" s="192"/>
      <c r="N307" s="187"/>
      <c r="O307" s="187"/>
      <c r="P307" s="187"/>
      <c r="Q307" s="187"/>
      <c r="R307" s="187"/>
      <c r="S307" s="187"/>
      <c r="T307" s="187"/>
      <c r="U307" s="187"/>
      <c r="V307" s="187"/>
      <c r="W307" s="187"/>
      <c r="X307" s="187"/>
      <c r="Y307" s="187"/>
      <c r="Z307" s="187"/>
      <c r="AA307" s="187"/>
      <c r="AB307" s="187"/>
      <c r="AC307" s="187"/>
      <c r="AD307" s="187"/>
      <c r="AE307" s="187"/>
      <c r="AF307" s="187"/>
      <c r="AG307" s="187"/>
      <c r="AH307" s="187"/>
      <c r="AI307" s="187"/>
    </row>
    <row r="308">
      <c r="A308" s="187"/>
      <c r="B308" s="187"/>
      <c r="C308" s="187"/>
      <c r="D308" s="187"/>
      <c r="E308" s="187"/>
      <c r="F308" s="187"/>
      <c r="G308" s="187"/>
      <c r="H308" s="187"/>
      <c r="I308" s="187"/>
      <c r="J308" s="187"/>
      <c r="K308" s="187"/>
      <c r="L308" s="187"/>
      <c r="M308" s="192"/>
      <c r="N308" s="187"/>
      <c r="O308" s="187"/>
      <c r="P308" s="187"/>
      <c r="Q308" s="187"/>
      <c r="R308" s="187"/>
      <c r="S308" s="187"/>
      <c r="T308" s="187"/>
      <c r="U308" s="187"/>
      <c r="V308" s="187"/>
      <c r="W308" s="187"/>
      <c r="X308" s="187"/>
      <c r="Y308" s="187"/>
      <c r="Z308" s="187"/>
      <c r="AA308" s="187"/>
      <c r="AB308" s="187"/>
      <c r="AC308" s="187"/>
      <c r="AD308" s="187"/>
      <c r="AE308" s="187"/>
      <c r="AF308" s="187"/>
      <c r="AG308" s="187"/>
      <c r="AH308" s="187"/>
      <c r="AI308" s="187"/>
    </row>
    <row r="309">
      <c r="A309" s="187"/>
      <c r="B309" s="187"/>
      <c r="C309" s="187"/>
      <c r="D309" s="187"/>
      <c r="E309" s="187"/>
      <c r="F309" s="187"/>
      <c r="G309" s="187"/>
      <c r="H309" s="187"/>
      <c r="I309" s="187"/>
      <c r="J309" s="187"/>
      <c r="K309" s="187"/>
      <c r="L309" s="187"/>
      <c r="M309" s="192"/>
      <c r="N309" s="187"/>
      <c r="O309" s="187"/>
      <c r="P309" s="187"/>
      <c r="Q309" s="187"/>
      <c r="R309" s="187"/>
      <c r="S309" s="187"/>
      <c r="T309" s="187"/>
      <c r="U309" s="187"/>
      <c r="V309" s="187"/>
      <c r="W309" s="187"/>
      <c r="X309" s="187"/>
      <c r="Y309" s="187"/>
      <c r="Z309" s="187"/>
      <c r="AA309" s="187"/>
      <c r="AB309" s="187"/>
      <c r="AC309" s="187"/>
      <c r="AD309" s="187"/>
      <c r="AE309" s="187"/>
      <c r="AF309" s="187"/>
      <c r="AG309" s="187"/>
      <c r="AH309" s="187"/>
      <c r="AI309" s="187"/>
    </row>
    <row r="310">
      <c r="A310" s="187"/>
      <c r="B310" s="187"/>
      <c r="C310" s="187"/>
      <c r="D310" s="187"/>
      <c r="E310" s="187"/>
      <c r="F310" s="187"/>
      <c r="G310" s="187"/>
      <c r="H310" s="187"/>
      <c r="I310" s="187"/>
      <c r="J310" s="187"/>
      <c r="K310" s="187"/>
      <c r="L310" s="187"/>
      <c r="M310" s="192"/>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row>
    <row r="311">
      <c r="A311" s="187"/>
      <c r="B311" s="187"/>
      <c r="C311" s="187"/>
      <c r="D311" s="187"/>
      <c r="E311" s="187"/>
      <c r="F311" s="187"/>
      <c r="G311" s="187"/>
      <c r="H311" s="187"/>
      <c r="I311" s="187"/>
      <c r="J311" s="187"/>
      <c r="K311" s="187"/>
      <c r="L311" s="187"/>
      <c r="M311" s="192"/>
      <c r="N311" s="187"/>
      <c r="O311" s="187"/>
      <c r="P311" s="187"/>
      <c r="Q311" s="187"/>
      <c r="R311" s="187"/>
      <c r="S311" s="187"/>
      <c r="T311" s="187"/>
      <c r="U311" s="187"/>
      <c r="V311" s="187"/>
      <c r="W311" s="187"/>
      <c r="X311" s="187"/>
      <c r="Y311" s="187"/>
      <c r="Z311" s="187"/>
      <c r="AA311" s="187"/>
      <c r="AB311" s="187"/>
      <c r="AC311" s="187"/>
      <c r="AD311" s="187"/>
      <c r="AE311" s="187"/>
      <c r="AF311" s="187"/>
      <c r="AG311" s="187"/>
      <c r="AH311" s="187"/>
      <c r="AI311" s="187"/>
    </row>
    <row r="312">
      <c r="A312" s="187"/>
      <c r="B312" s="187"/>
      <c r="C312" s="187"/>
      <c r="D312" s="187"/>
      <c r="E312" s="187"/>
      <c r="F312" s="187"/>
      <c r="G312" s="187"/>
      <c r="H312" s="187"/>
      <c r="I312" s="187"/>
      <c r="J312" s="187"/>
      <c r="K312" s="187"/>
      <c r="L312" s="187"/>
      <c r="M312" s="192"/>
      <c r="N312" s="187"/>
      <c r="O312" s="187"/>
      <c r="P312" s="187"/>
      <c r="Q312" s="187"/>
      <c r="R312" s="187"/>
      <c r="S312" s="187"/>
      <c r="T312" s="187"/>
      <c r="U312" s="187"/>
      <c r="V312" s="187"/>
      <c r="W312" s="187"/>
      <c r="X312" s="187"/>
      <c r="Y312" s="187"/>
      <c r="Z312" s="187"/>
      <c r="AA312" s="187"/>
      <c r="AB312" s="187"/>
      <c r="AC312" s="187"/>
      <c r="AD312" s="187"/>
      <c r="AE312" s="187"/>
      <c r="AF312" s="187"/>
      <c r="AG312" s="187"/>
      <c r="AH312" s="187"/>
      <c r="AI312" s="187"/>
    </row>
    <row r="313">
      <c r="A313" s="187"/>
      <c r="B313" s="187"/>
      <c r="C313" s="187"/>
      <c r="D313" s="187"/>
      <c r="E313" s="187"/>
      <c r="F313" s="187"/>
      <c r="G313" s="187"/>
      <c r="H313" s="187"/>
      <c r="I313" s="187"/>
      <c r="J313" s="187"/>
      <c r="K313" s="187"/>
      <c r="L313" s="187"/>
      <c r="M313" s="192"/>
      <c r="N313" s="187"/>
      <c r="O313" s="187"/>
      <c r="P313" s="187"/>
      <c r="Q313" s="187"/>
      <c r="R313" s="187"/>
      <c r="S313" s="187"/>
      <c r="T313" s="187"/>
      <c r="U313" s="187"/>
      <c r="V313" s="187"/>
      <c r="W313" s="187"/>
      <c r="X313" s="187"/>
      <c r="Y313" s="187"/>
      <c r="Z313" s="187"/>
      <c r="AA313" s="187"/>
      <c r="AB313" s="187"/>
      <c r="AC313" s="187"/>
      <c r="AD313" s="187"/>
      <c r="AE313" s="187"/>
      <c r="AF313" s="187"/>
      <c r="AG313" s="187"/>
      <c r="AH313" s="187"/>
      <c r="AI313" s="187"/>
    </row>
    <row r="314">
      <c r="A314" s="187"/>
      <c r="B314" s="187"/>
      <c r="C314" s="187"/>
      <c r="D314" s="187"/>
      <c r="E314" s="187"/>
      <c r="F314" s="187"/>
      <c r="G314" s="187"/>
      <c r="H314" s="187"/>
      <c r="I314" s="187"/>
      <c r="J314" s="187"/>
      <c r="K314" s="187"/>
      <c r="L314" s="187"/>
      <c r="M314" s="192"/>
      <c r="N314" s="187"/>
      <c r="O314" s="187"/>
      <c r="P314" s="187"/>
      <c r="Q314" s="187"/>
      <c r="R314" s="187"/>
      <c r="S314" s="187"/>
      <c r="T314" s="187"/>
      <c r="U314" s="187"/>
      <c r="V314" s="187"/>
      <c r="W314" s="187"/>
      <c r="X314" s="187"/>
      <c r="Y314" s="187"/>
      <c r="Z314" s="187"/>
      <c r="AA314" s="187"/>
      <c r="AB314" s="187"/>
      <c r="AC314" s="187"/>
      <c r="AD314" s="187"/>
      <c r="AE314" s="187"/>
      <c r="AF314" s="187"/>
      <c r="AG314" s="187"/>
      <c r="AH314" s="187"/>
      <c r="AI314" s="187"/>
    </row>
    <row r="315">
      <c r="A315" s="187"/>
      <c r="B315" s="187"/>
      <c r="C315" s="187"/>
      <c r="D315" s="187"/>
      <c r="E315" s="187"/>
      <c r="F315" s="187"/>
      <c r="G315" s="187"/>
      <c r="H315" s="187"/>
      <c r="I315" s="187"/>
      <c r="J315" s="187"/>
      <c r="K315" s="187"/>
      <c r="L315" s="187"/>
      <c r="M315" s="192"/>
      <c r="N315" s="187"/>
      <c r="O315" s="187"/>
      <c r="P315" s="187"/>
      <c r="Q315" s="187"/>
      <c r="R315" s="187"/>
      <c r="S315" s="187"/>
      <c r="T315" s="187"/>
      <c r="U315" s="187"/>
      <c r="V315" s="187"/>
      <c r="W315" s="187"/>
      <c r="X315" s="187"/>
      <c r="Y315" s="187"/>
      <c r="Z315" s="187"/>
      <c r="AA315" s="187"/>
      <c r="AB315" s="187"/>
      <c r="AC315" s="187"/>
      <c r="AD315" s="187"/>
      <c r="AE315" s="187"/>
      <c r="AF315" s="187"/>
      <c r="AG315" s="187"/>
      <c r="AH315" s="187"/>
      <c r="AI315" s="187"/>
    </row>
    <row r="316">
      <c r="A316" s="187"/>
      <c r="B316" s="187"/>
      <c r="C316" s="187"/>
      <c r="D316" s="187"/>
      <c r="E316" s="187"/>
      <c r="F316" s="187"/>
      <c r="G316" s="187"/>
      <c r="H316" s="187"/>
      <c r="I316" s="187"/>
      <c r="J316" s="187"/>
      <c r="K316" s="187"/>
      <c r="L316" s="187"/>
      <c r="M316" s="192"/>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row>
    <row r="317">
      <c r="A317" s="187"/>
      <c r="B317" s="187"/>
      <c r="C317" s="187"/>
      <c r="D317" s="187"/>
      <c r="E317" s="187"/>
      <c r="F317" s="187"/>
      <c r="G317" s="187"/>
      <c r="H317" s="187"/>
      <c r="I317" s="187"/>
      <c r="J317" s="187"/>
      <c r="K317" s="187"/>
      <c r="L317" s="187"/>
      <c r="M317" s="192"/>
      <c r="N317" s="187"/>
      <c r="O317" s="187"/>
      <c r="P317" s="187"/>
      <c r="Q317" s="187"/>
      <c r="R317" s="187"/>
      <c r="S317" s="187"/>
      <c r="T317" s="187"/>
      <c r="U317" s="187"/>
      <c r="V317" s="187"/>
      <c r="W317" s="187"/>
      <c r="X317" s="187"/>
      <c r="Y317" s="187"/>
      <c r="Z317" s="187"/>
      <c r="AA317" s="187"/>
      <c r="AB317" s="187"/>
      <c r="AC317" s="187"/>
      <c r="AD317" s="187"/>
      <c r="AE317" s="187"/>
      <c r="AF317" s="187"/>
      <c r="AG317" s="187"/>
      <c r="AH317" s="187"/>
      <c r="AI317" s="187"/>
    </row>
    <row r="318">
      <c r="A318" s="187"/>
      <c r="B318" s="187"/>
      <c r="C318" s="187"/>
      <c r="D318" s="187"/>
      <c r="E318" s="187"/>
      <c r="F318" s="187"/>
      <c r="G318" s="187"/>
      <c r="H318" s="187"/>
      <c r="I318" s="187"/>
      <c r="J318" s="187"/>
      <c r="K318" s="187"/>
      <c r="L318" s="187"/>
      <c r="M318" s="192"/>
      <c r="N318" s="187"/>
      <c r="O318" s="187"/>
      <c r="P318" s="187"/>
      <c r="Q318" s="187"/>
      <c r="R318" s="187"/>
      <c r="S318" s="187"/>
      <c r="T318" s="187"/>
      <c r="U318" s="187"/>
      <c r="V318" s="187"/>
      <c r="W318" s="187"/>
      <c r="X318" s="187"/>
      <c r="Y318" s="187"/>
      <c r="Z318" s="187"/>
      <c r="AA318" s="187"/>
      <c r="AB318" s="187"/>
      <c r="AC318" s="187"/>
      <c r="AD318" s="187"/>
      <c r="AE318" s="187"/>
      <c r="AF318" s="187"/>
      <c r="AG318" s="187"/>
      <c r="AH318" s="187"/>
      <c r="AI318" s="187"/>
    </row>
    <row r="319">
      <c r="A319" s="187"/>
      <c r="B319" s="187"/>
      <c r="C319" s="187"/>
      <c r="D319" s="187"/>
      <c r="E319" s="187"/>
      <c r="F319" s="187"/>
      <c r="G319" s="187"/>
      <c r="H319" s="187"/>
      <c r="I319" s="187"/>
      <c r="J319" s="187"/>
      <c r="K319" s="187"/>
      <c r="L319" s="187"/>
      <c r="M319" s="192"/>
      <c r="N319" s="187"/>
      <c r="O319" s="187"/>
      <c r="P319" s="187"/>
      <c r="Q319" s="187"/>
      <c r="R319" s="187"/>
      <c r="S319" s="187"/>
      <c r="T319" s="187"/>
      <c r="U319" s="187"/>
      <c r="V319" s="187"/>
      <c r="W319" s="187"/>
      <c r="X319" s="187"/>
      <c r="Y319" s="187"/>
      <c r="Z319" s="187"/>
      <c r="AA319" s="187"/>
      <c r="AB319" s="187"/>
      <c r="AC319" s="187"/>
      <c r="AD319" s="187"/>
      <c r="AE319" s="187"/>
      <c r="AF319" s="187"/>
      <c r="AG319" s="187"/>
      <c r="AH319" s="187"/>
      <c r="AI319" s="187"/>
    </row>
    <row r="320">
      <c r="A320" s="187"/>
      <c r="B320" s="187"/>
      <c r="C320" s="187"/>
      <c r="D320" s="187"/>
      <c r="E320" s="187"/>
      <c r="F320" s="187"/>
      <c r="G320" s="187"/>
      <c r="H320" s="187"/>
      <c r="I320" s="187"/>
      <c r="J320" s="187"/>
      <c r="K320" s="187"/>
      <c r="L320" s="187"/>
      <c r="M320" s="192"/>
      <c r="N320" s="187"/>
      <c r="O320" s="187"/>
      <c r="P320" s="187"/>
      <c r="Q320" s="187"/>
      <c r="R320" s="187"/>
      <c r="S320" s="187"/>
      <c r="T320" s="187"/>
      <c r="U320" s="187"/>
      <c r="V320" s="187"/>
      <c r="W320" s="187"/>
      <c r="X320" s="187"/>
      <c r="Y320" s="187"/>
      <c r="Z320" s="187"/>
      <c r="AA320" s="187"/>
      <c r="AB320" s="187"/>
      <c r="AC320" s="187"/>
      <c r="AD320" s="187"/>
      <c r="AE320" s="187"/>
      <c r="AF320" s="187"/>
      <c r="AG320" s="187"/>
      <c r="AH320" s="187"/>
      <c r="AI320" s="187"/>
    </row>
    <row r="321">
      <c r="A321" s="187"/>
      <c r="B321" s="187"/>
      <c r="C321" s="187"/>
      <c r="D321" s="187"/>
      <c r="E321" s="187"/>
      <c r="F321" s="187"/>
      <c r="G321" s="187"/>
      <c r="H321" s="187"/>
      <c r="I321" s="187"/>
      <c r="J321" s="187"/>
      <c r="K321" s="187"/>
      <c r="L321" s="187"/>
      <c r="M321" s="192"/>
      <c r="N321" s="187"/>
      <c r="O321" s="187"/>
      <c r="P321" s="187"/>
      <c r="Q321" s="187"/>
      <c r="R321" s="187"/>
      <c r="S321" s="187"/>
      <c r="T321" s="187"/>
      <c r="U321" s="187"/>
      <c r="V321" s="187"/>
      <c r="W321" s="187"/>
      <c r="X321" s="187"/>
      <c r="Y321" s="187"/>
      <c r="Z321" s="187"/>
      <c r="AA321" s="187"/>
      <c r="AB321" s="187"/>
      <c r="AC321" s="187"/>
      <c r="AD321" s="187"/>
      <c r="AE321" s="187"/>
      <c r="AF321" s="187"/>
      <c r="AG321" s="187"/>
      <c r="AH321" s="187"/>
      <c r="AI321" s="187"/>
    </row>
    <row r="322">
      <c r="A322" s="187"/>
      <c r="B322" s="187"/>
      <c r="C322" s="187"/>
      <c r="D322" s="187"/>
      <c r="E322" s="187"/>
      <c r="F322" s="187"/>
      <c r="G322" s="187"/>
      <c r="H322" s="187"/>
      <c r="I322" s="187"/>
      <c r="J322" s="187"/>
      <c r="K322" s="187"/>
      <c r="L322" s="187"/>
      <c r="M322" s="192"/>
      <c r="N322" s="187"/>
      <c r="O322" s="187"/>
      <c r="P322" s="187"/>
      <c r="Q322" s="187"/>
      <c r="R322" s="187"/>
      <c r="S322" s="187"/>
      <c r="T322" s="187"/>
      <c r="U322" s="187"/>
      <c r="V322" s="187"/>
      <c r="W322" s="187"/>
      <c r="X322" s="187"/>
      <c r="Y322" s="187"/>
      <c r="Z322" s="187"/>
      <c r="AA322" s="187"/>
      <c r="AB322" s="187"/>
      <c r="AC322" s="187"/>
      <c r="AD322" s="187"/>
      <c r="AE322" s="187"/>
      <c r="AF322" s="187"/>
      <c r="AG322" s="187"/>
      <c r="AH322" s="187"/>
      <c r="AI322" s="187"/>
    </row>
    <row r="323">
      <c r="A323" s="187"/>
      <c r="B323" s="187"/>
      <c r="C323" s="187"/>
      <c r="D323" s="187"/>
      <c r="E323" s="187"/>
      <c r="F323" s="187"/>
      <c r="G323" s="187"/>
      <c r="H323" s="187"/>
      <c r="I323" s="187"/>
      <c r="J323" s="187"/>
      <c r="K323" s="187"/>
      <c r="L323" s="187"/>
      <c r="M323" s="192"/>
      <c r="N323" s="187"/>
      <c r="O323" s="187"/>
      <c r="P323" s="187"/>
      <c r="Q323" s="187"/>
      <c r="R323" s="187"/>
      <c r="S323" s="187"/>
      <c r="T323" s="187"/>
      <c r="U323" s="187"/>
      <c r="V323" s="187"/>
      <c r="W323" s="187"/>
      <c r="X323" s="187"/>
      <c r="Y323" s="187"/>
      <c r="Z323" s="187"/>
      <c r="AA323" s="187"/>
      <c r="AB323" s="187"/>
      <c r="AC323" s="187"/>
      <c r="AD323" s="187"/>
      <c r="AE323" s="187"/>
      <c r="AF323" s="187"/>
      <c r="AG323" s="187"/>
      <c r="AH323" s="187"/>
      <c r="AI323" s="187"/>
    </row>
    <row r="324">
      <c r="A324" s="187"/>
      <c r="B324" s="187"/>
      <c r="C324" s="187"/>
      <c r="D324" s="187"/>
      <c r="E324" s="187"/>
      <c r="F324" s="187"/>
      <c r="G324" s="187"/>
      <c r="H324" s="187"/>
      <c r="I324" s="187"/>
      <c r="J324" s="187"/>
      <c r="K324" s="187"/>
      <c r="L324" s="187"/>
      <c r="M324" s="192"/>
      <c r="N324" s="187"/>
      <c r="O324" s="187"/>
      <c r="P324" s="187"/>
      <c r="Q324" s="187"/>
      <c r="R324" s="187"/>
      <c r="S324" s="187"/>
      <c r="T324" s="187"/>
      <c r="U324" s="187"/>
      <c r="V324" s="187"/>
      <c r="W324" s="187"/>
      <c r="X324" s="187"/>
      <c r="Y324" s="187"/>
      <c r="Z324" s="187"/>
      <c r="AA324" s="187"/>
      <c r="AB324" s="187"/>
      <c r="AC324" s="187"/>
      <c r="AD324" s="187"/>
      <c r="AE324" s="187"/>
      <c r="AF324" s="187"/>
      <c r="AG324" s="187"/>
      <c r="AH324" s="187"/>
      <c r="AI324" s="187"/>
    </row>
    <row r="325">
      <c r="A325" s="187"/>
      <c r="B325" s="187"/>
      <c r="C325" s="187"/>
      <c r="D325" s="187"/>
      <c r="E325" s="187"/>
      <c r="F325" s="187"/>
      <c r="G325" s="187"/>
      <c r="H325" s="187"/>
      <c r="I325" s="187"/>
      <c r="J325" s="187"/>
      <c r="K325" s="187"/>
      <c r="L325" s="187"/>
      <c r="M325" s="192"/>
      <c r="N325" s="187"/>
      <c r="O325" s="187"/>
      <c r="P325" s="187"/>
      <c r="Q325" s="187"/>
      <c r="R325" s="187"/>
      <c r="S325" s="187"/>
      <c r="T325" s="187"/>
      <c r="U325" s="187"/>
      <c r="V325" s="187"/>
      <c r="W325" s="187"/>
      <c r="X325" s="187"/>
      <c r="Y325" s="187"/>
      <c r="Z325" s="187"/>
      <c r="AA325" s="187"/>
      <c r="AB325" s="187"/>
      <c r="AC325" s="187"/>
      <c r="AD325" s="187"/>
      <c r="AE325" s="187"/>
      <c r="AF325" s="187"/>
      <c r="AG325" s="187"/>
      <c r="AH325" s="187"/>
      <c r="AI325" s="187"/>
    </row>
    <row r="326">
      <c r="A326" s="187"/>
      <c r="B326" s="187"/>
      <c r="C326" s="187"/>
      <c r="D326" s="187"/>
      <c r="E326" s="187"/>
      <c r="F326" s="187"/>
      <c r="G326" s="187"/>
      <c r="H326" s="187"/>
      <c r="I326" s="187"/>
      <c r="J326" s="187"/>
      <c r="K326" s="187"/>
      <c r="L326" s="187"/>
      <c r="M326" s="192"/>
      <c r="N326" s="187"/>
      <c r="O326" s="187"/>
      <c r="P326" s="187"/>
      <c r="Q326" s="187"/>
      <c r="R326" s="187"/>
      <c r="S326" s="187"/>
      <c r="T326" s="187"/>
      <c r="U326" s="187"/>
      <c r="V326" s="187"/>
      <c r="W326" s="187"/>
      <c r="X326" s="187"/>
      <c r="Y326" s="187"/>
      <c r="Z326" s="187"/>
      <c r="AA326" s="187"/>
      <c r="AB326" s="187"/>
      <c r="AC326" s="187"/>
      <c r="AD326" s="187"/>
      <c r="AE326" s="187"/>
      <c r="AF326" s="187"/>
      <c r="AG326" s="187"/>
      <c r="AH326" s="187"/>
      <c r="AI326" s="187"/>
    </row>
    <row r="327">
      <c r="A327" s="187"/>
      <c r="B327" s="187"/>
      <c r="C327" s="187"/>
      <c r="D327" s="187"/>
      <c r="E327" s="187"/>
      <c r="F327" s="187"/>
      <c r="G327" s="187"/>
      <c r="H327" s="187"/>
      <c r="I327" s="187"/>
      <c r="J327" s="187"/>
      <c r="K327" s="187"/>
      <c r="L327" s="187"/>
      <c r="M327" s="192"/>
      <c r="N327" s="187"/>
      <c r="O327" s="187"/>
      <c r="P327" s="187"/>
      <c r="Q327" s="187"/>
      <c r="R327" s="187"/>
      <c r="S327" s="187"/>
      <c r="T327" s="187"/>
      <c r="U327" s="187"/>
      <c r="V327" s="187"/>
      <c r="W327" s="187"/>
      <c r="X327" s="187"/>
      <c r="Y327" s="187"/>
      <c r="Z327" s="187"/>
      <c r="AA327" s="187"/>
      <c r="AB327" s="187"/>
      <c r="AC327" s="187"/>
      <c r="AD327" s="187"/>
      <c r="AE327" s="187"/>
      <c r="AF327" s="187"/>
      <c r="AG327" s="187"/>
      <c r="AH327" s="187"/>
      <c r="AI327" s="187"/>
    </row>
    <row r="328">
      <c r="A328" s="187"/>
      <c r="B328" s="187"/>
      <c r="C328" s="187"/>
      <c r="D328" s="187"/>
      <c r="E328" s="187"/>
      <c r="F328" s="187"/>
      <c r="G328" s="187"/>
      <c r="H328" s="187"/>
      <c r="I328" s="187"/>
      <c r="J328" s="187"/>
      <c r="K328" s="187"/>
      <c r="L328" s="187"/>
      <c r="M328" s="192"/>
      <c r="N328" s="187"/>
      <c r="O328" s="187"/>
      <c r="P328" s="187"/>
      <c r="Q328" s="187"/>
      <c r="R328" s="187"/>
      <c r="S328" s="187"/>
      <c r="T328" s="187"/>
      <c r="U328" s="187"/>
      <c r="V328" s="187"/>
      <c r="W328" s="187"/>
      <c r="X328" s="187"/>
      <c r="Y328" s="187"/>
      <c r="Z328" s="187"/>
      <c r="AA328" s="187"/>
      <c r="AB328" s="187"/>
      <c r="AC328" s="187"/>
      <c r="AD328" s="187"/>
      <c r="AE328" s="187"/>
      <c r="AF328" s="187"/>
      <c r="AG328" s="187"/>
      <c r="AH328" s="187"/>
      <c r="AI328" s="187"/>
    </row>
    <row r="329">
      <c r="A329" s="187"/>
      <c r="B329" s="187"/>
      <c r="C329" s="187"/>
      <c r="D329" s="187"/>
      <c r="E329" s="187"/>
      <c r="F329" s="187"/>
      <c r="G329" s="187"/>
      <c r="H329" s="187"/>
      <c r="I329" s="187"/>
      <c r="J329" s="187"/>
      <c r="K329" s="187"/>
      <c r="L329" s="187"/>
      <c r="M329" s="192"/>
      <c r="N329" s="187"/>
      <c r="O329" s="187"/>
      <c r="P329" s="187"/>
      <c r="Q329" s="187"/>
      <c r="R329" s="187"/>
      <c r="S329" s="187"/>
      <c r="T329" s="187"/>
      <c r="U329" s="187"/>
      <c r="V329" s="187"/>
      <c r="W329" s="187"/>
      <c r="X329" s="187"/>
      <c r="Y329" s="187"/>
      <c r="Z329" s="187"/>
      <c r="AA329" s="187"/>
      <c r="AB329" s="187"/>
      <c r="AC329" s="187"/>
      <c r="AD329" s="187"/>
      <c r="AE329" s="187"/>
      <c r="AF329" s="187"/>
      <c r="AG329" s="187"/>
      <c r="AH329" s="187"/>
      <c r="AI329" s="187"/>
    </row>
    <row r="330">
      <c r="A330" s="187"/>
      <c r="B330" s="187"/>
      <c r="C330" s="187"/>
      <c r="D330" s="187"/>
      <c r="E330" s="187"/>
      <c r="F330" s="187"/>
      <c r="G330" s="187"/>
      <c r="H330" s="187"/>
      <c r="I330" s="187"/>
      <c r="J330" s="187"/>
      <c r="K330" s="187"/>
      <c r="L330" s="187"/>
      <c r="M330" s="192"/>
      <c r="N330" s="187"/>
      <c r="O330" s="187"/>
      <c r="P330" s="187"/>
      <c r="Q330" s="187"/>
      <c r="R330" s="187"/>
      <c r="S330" s="187"/>
      <c r="T330" s="187"/>
      <c r="U330" s="187"/>
      <c r="V330" s="187"/>
      <c r="W330" s="187"/>
      <c r="X330" s="187"/>
      <c r="Y330" s="187"/>
      <c r="Z330" s="187"/>
      <c r="AA330" s="187"/>
      <c r="AB330" s="187"/>
      <c r="AC330" s="187"/>
      <c r="AD330" s="187"/>
      <c r="AE330" s="187"/>
      <c r="AF330" s="187"/>
      <c r="AG330" s="187"/>
      <c r="AH330" s="187"/>
      <c r="AI330" s="187"/>
    </row>
    <row r="331">
      <c r="A331" s="187"/>
      <c r="B331" s="187"/>
      <c r="C331" s="187"/>
      <c r="D331" s="187"/>
      <c r="E331" s="187"/>
      <c r="F331" s="187"/>
      <c r="G331" s="187"/>
      <c r="H331" s="187"/>
      <c r="I331" s="187"/>
      <c r="J331" s="187"/>
      <c r="K331" s="187"/>
      <c r="L331" s="187"/>
      <c r="M331" s="192"/>
      <c r="N331" s="187"/>
      <c r="O331" s="187"/>
      <c r="P331" s="187"/>
      <c r="Q331" s="187"/>
      <c r="R331" s="187"/>
      <c r="S331" s="187"/>
      <c r="T331" s="187"/>
      <c r="U331" s="187"/>
      <c r="V331" s="187"/>
      <c r="W331" s="187"/>
      <c r="X331" s="187"/>
      <c r="Y331" s="187"/>
      <c r="Z331" s="187"/>
      <c r="AA331" s="187"/>
      <c r="AB331" s="187"/>
      <c r="AC331" s="187"/>
      <c r="AD331" s="187"/>
      <c r="AE331" s="187"/>
      <c r="AF331" s="187"/>
      <c r="AG331" s="187"/>
      <c r="AH331" s="187"/>
      <c r="AI331" s="187"/>
    </row>
    <row r="332">
      <c r="A332" s="187"/>
      <c r="B332" s="187"/>
      <c r="C332" s="187"/>
      <c r="D332" s="187"/>
      <c r="E332" s="187"/>
      <c r="F332" s="187"/>
      <c r="G332" s="187"/>
      <c r="H332" s="187"/>
      <c r="I332" s="187"/>
      <c r="J332" s="187"/>
      <c r="K332" s="187"/>
      <c r="L332" s="187"/>
      <c r="M332" s="192"/>
      <c r="N332" s="187"/>
      <c r="O332" s="187"/>
      <c r="P332" s="187"/>
      <c r="Q332" s="187"/>
      <c r="R332" s="187"/>
      <c r="S332" s="187"/>
      <c r="T332" s="187"/>
      <c r="U332" s="187"/>
      <c r="V332" s="187"/>
      <c r="W332" s="187"/>
      <c r="X332" s="187"/>
      <c r="Y332" s="187"/>
      <c r="Z332" s="187"/>
      <c r="AA332" s="187"/>
      <c r="AB332" s="187"/>
      <c r="AC332" s="187"/>
      <c r="AD332" s="187"/>
      <c r="AE332" s="187"/>
      <c r="AF332" s="187"/>
      <c r="AG332" s="187"/>
      <c r="AH332" s="187"/>
      <c r="AI332" s="187"/>
    </row>
    <row r="333">
      <c r="A333" s="187"/>
      <c r="B333" s="187"/>
      <c r="C333" s="187"/>
      <c r="D333" s="187"/>
      <c r="E333" s="187"/>
      <c r="F333" s="187"/>
      <c r="G333" s="187"/>
      <c r="H333" s="187"/>
      <c r="I333" s="187"/>
      <c r="J333" s="187"/>
      <c r="K333" s="187"/>
      <c r="L333" s="187"/>
      <c r="M333" s="192"/>
      <c r="N333" s="187"/>
      <c r="O333" s="187"/>
      <c r="P333" s="187"/>
      <c r="Q333" s="187"/>
      <c r="R333" s="187"/>
      <c r="S333" s="187"/>
      <c r="T333" s="187"/>
      <c r="U333" s="187"/>
      <c r="V333" s="187"/>
      <c r="W333" s="187"/>
      <c r="X333" s="187"/>
      <c r="Y333" s="187"/>
      <c r="Z333" s="187"/>
      <c r="AA333" s="187"/>
      <c r="AB333" s="187"/>
      <c r="AC333" s="187"/>
      <c r="AD333" s="187"/>
      <c r="AE333" s="187"/>
      <c r="AF333" s="187"/>
      <c r="AG333" s="187"/>
      <c r="AH333" s="187"/>
      <c r="AI333" s="187"/>
    </row>
    <row r="334">
      <c r="A334" s="187"/>
      <c r="B334" s="187"/>
      <c r="C334" s="187"/>
      <c r="D334" s="187"/>
      <c r="E334" s="187"/>
      <c r="F334" s="187"/>
      <c r="G334" s="187"/>
      <c r="H334" s="187"/>
      <c r="I334" s="187"/>
      <c r="J334" s="187"/>
      <c r="K334" s="187"/>
      <c r="L334" s="187"/>
      <c r="M334" s="192"/>
      <c r="N334" s="187"/>
      <c r="O334" s="187"/>
      <c r="P334" s="187"/>
      <c r="Q334" s="187"/>
      <c r="R334" s="187"/>
      <c r="S334" s="187"/>
      <c r="T334" s="187"/>
      <c r="U334" s="187"/>
      <c r="V334" s="187"/>
      <c r="W334" s="187"/>
      <c r="X334" s="187"/>
      <c r="Y334" s="187"/>
      <c r="Z334" s="187"/>
      <c r="AA334" s="187"/>
      <c r="AB334" s="187"/>
      <c r="AC334" s="187"/>
      <c r="AD334" s="187"/>
      <c r="AE334" s="187"/>
      <c r="AF334" s="187"/>
      <c r="AG334" s="187"/>
      <c r="AH334" s="187"/>
      <c r="AI334" s="187"/>
    </row>
    <row r="335">
      <c r="A335" s="187"/>
      <c r="B335" s="187"/>
      <c r="C335" s="187"/>
      <c r="D335" s="187"/>
      <c r="E335" s="187"/>
      <c r="F335" s="187"/>
      <c r="G335" s="187"/>
      <c r="H335" s="187"/>
      <c r="I335" s="187"/>
      <c r="J335" s="187"/>
      <c r="K335" s="187"/>
      <c r="L335" s="187"/>
      <c r="M335" s="192"/>
      <c r="N335" s="187"/>
      <c r="O335" s="187"/>
      <c r="P335" s="187"/>
      <c r="Q335" s="187"/>
      <c r="R335" s="187"/>
      <c r="S335" s="187"/>
      <c r="T335" s="187"/>
      <c r="U335" s="187"/>
      <c r="V335" s="187"/>
      <c r="W335" s="187"/>
      <c r="X335" s="187"/>
      <c r="Y335" s="187"/>
      <c r="Z335" s="187"/>
      <c r="AA335" s="187"/>
      <c r="AB335" s="187"/>
      <c r="AC335" s="187"/>
      <c r="AD335" s="187"/>
      <c r="AE335" s="187"/>
      <c r="AF335" s="187"/>
      <c r="AG335" s="187"/>
      <c r="AH335" s="187"/>
      <c r="AI335" s="187"/>
    </row>
    <row r="336">
      <c r="A336" s="187"/>
      <c r="B336" s="187"/>
      <c r="C336" s="187"/>
      <c r="D336" s="187"/>
      <c r="E336" s="187"/>
      <c r="F336" s="187"/>
      <c r="G336" s="187"/>
      <c r="H336" s="187"/>
      <c r="I336" s="187"/>
      <c r="J336" s="187"/>
      <c r="K336" s="187"/>
      <c r="L336" s="187"/>
      <c r="M336" s="192"/>
      <c r="N336" s="187"/>
      <c r="O336" s="187"/>
      <c r="P336" s="187"/>
      <c r="Q336" s="187"/>
      <c r="R336" s="187"/>
      <c r="S336" s="187"/>
      <c r="T336" s="187"/>
      <c r="U336" s="187"/>
      <c r="V336" s="187"/>
      <c r="W336" s="187"/>
      <c r="X336" s="187"/>
      <c r="Y336" s="187"/>
      <c r="Z336" s="187"/>
      <c r="AA336" s="187"/>
      <c r="AB336" s="187"/>
      <c r="AC336" s="187"/>
      <c r="AD336" s="187"/>
      <c r="AE336" s="187"/>
      <c r="AF336" s="187"/>
      <c r="AG336" s="187"/>
      <c r="AH336" s="187"/>
      <c r="AI336" s="187"/>
    </row>
    <row r="337">
      <c r="A337" s="187"/>
      <c r="B337" s="187"/>
      <c r="C337" s="187"/>
      <c r="D337" s="187"/>
      <c r="E337" s="187"/>
      <c r="F337" s="187"/>
      <c r="G337" s="187"/>
      <c r="H337" s="187"/>
      <c r="I337" s="187"/>
      <c r="J337" s="187"/>
      <c r="K337" s="187"/>
      <c r="L337" s="187"/>
      <c r="M337" s="192"/>
      <c r="N337" s="187"/>
      <c r="O337" s="187"/>
      <c r="P337" s="187"/>
      <c r="Q337" s="187"/>
      <c r="R337" s="187"/>
      <c r="S337" s="187"/>
      <c r="T337" s="187"/>
      <c r="U337" s="187"/>
      <c r="V337" s="187"/>
      <c r="W337" s="187"/>
      <c r="X337" s="187"/>
      <c r="Y337" s="187"/>
      <c r="Z337" s="187"/>
      <c r="AA337" s="187"/>
      <c r="AB337" s="187"/>
      <c r="AC337" s="187"/>
      <c r="AD337" s="187"/>
      <c r="AE337" s="187"/>
      <c r="AF337" s="187"/>
      <c r="AG337" s="187"/>
      <c r="AH337" s="187"/>
      <c r="AI337" s="187"/>
    </row>
    <row r="338">
      <c r="A338" s="187"/>
      <c r="B338" s="187"/>
      <c r="C338" s="187"/>
      <c r="D338" s="187"/>
      <c r="E338" s="187"/>
      <c r="F338" s="187"/>
      <c r="G338" s="187"/>
      <c r="H338" s="187"/>
      <c r="I338" s="187"/>
      <c r="J338" s="187"/>
      <c r="K338" s="187"/>
      <c r="L338" s="187"/>
      <c r="M338" s="192"/>
      <c r="N338" s="187"/>
      <c r="O338" s="187"/>
      <c r="P338" s="187"/>
      <c r="Q338" s="187"/>
      <c r="R338" s="187"/>
      <c r="S338" s="187"/>
      <c r="T338" s="187"/>
      <c r="U338" s="187"/>
      <c r="V338" s="187"/>
      <c r="W338" s="187"/>
      <c r="X338" s="187"/>
      <c r="Y338" s="187"/>
      <c r="Z338" s="187"/>
      <c r="AA338" s="187"/>
      <c r="AB338" s="187"/>
      <c r="AC338" s="187"/>
      <c r="AD338" s="187"/>
      <c r="AE338" s="187"/>
      <c r="AF338" s="187"/>
      <c r="AG338" s="187"/>
      <c r="AH338" s="187"/>
      <c r="AI338" s="187"/>
    </row>
    <row r="339">
      <c r="A339" s="187"/>
      <c r="B339" s="187"/>
      <c r="C339" s="187"/>
      <c r="D339" s="187"/>
      <c r="E339" s="187"/>
      <c r="F339" s="187"/>
      <c r="G339" s="187"/>
      <c r="H339" s="187"/>
      <c r="I339" s="187"/>
      <c r="J339" s="187"/>
      <c r="K339" s="187"/>
      <c r="L339" s="187"/>
      <c r="M339" s="192"/>
      <c r="N339" s="187"/>
      <c r="O339" s="187"/>
      <c r="P339" s="187"/>
      <c r="Q339" s="187"/>
      <c r="R339" s="187"/>
      <c r="S339" s="187"/>
      <c r="T339" s="187"/>
      <c r="U339" s="187"/>
      <c r="V339" s="187"/>
      <c r="W339" s="187"/>
      <c r="X339" s="187"/>
      <c r="Y339" s="187"/>
      <c r="Z339" s="187"/>
      <c r="AA339" s="187"/>
      <c r="AB339" s="187"/>
      <c r="AC339" s="187"/>
      <c r="AD339" s="187"/>
      <c r="AE339" s="187"/>
      <c r="AF339" s="187"/>
      <c r="AG339" s="187"/>
      <c r="AH339" s="187"/>
      <c r="AI339" s="187"/>
    </row>
    <row r="340">
      <c r="A340" s="187"/>
      <c r="B340" s="187"/>
      <c r="C340" s="187"/>
      <c r="D340" s="187"/>
      <c r="E340" s="187"/>
      <c r="F340" s="187"/>
      <c r="G340" s="187"/>
      <c r="H340" s="187"/>
      <c r="I340" s="187"/>
      <c r="J340" s="187"/>
      <c r="K340" s="187"/>
      <c r="L340" s="187"/>
      <c r="M340" s="192"/>
      <c r="N340" s="187"/>
      <c r="O340" s="187"/>
      <c r="P340" s="187"/>
      <c r="Q340" s="187"/>
      <c r="R340" s="187"/>
      <c r="S340" s="187"/>
      <c r="T340" s="187"/>
      <c r="U340" s="187"/>
      <c r="V340" s="187"/>
      <c r="W340" s="187"/>
      <c r="X340" s="187"/>
      <c r="Y340" s="187"/>
      <c r="Z340" s="187"/>
      <c r="AA340" s="187"/>
      <c r="AB340" s="187"/>
      <c r="AC340" s="187"/>
      <c r="AD340" s="187"/>
      <c r="AE340" s="187"/>
      <c r="AF340" s="187"/>
      <c r="AG340" s="187"/>
      <c r="AH340" s="187"/>
      <c r="AI340" s="187"/>
    </row>
    <row r="341">
      <c r="A341" s="187"/>
      <c r="B341" s="187"/>
      <c r="C341" s="187"/>
      <c r="D341" s="187"/>
      <c r="E341" s="187"/>
      <c r="F341" s="187"/>
      <c r="G341" s="187"/>
      <c r="H341" s="187"/>
      <c r="I341" s="187"/>
      <c r="J341" s="187"/>
      <c r="K341" s="187"/>
      <c r="L341" s="187"/>
      <c r="M341" s="192"/>
      <c r="N341" s="187"/>
      <c r="O341" s="187"/>
      <c r="P341" s="187"/>
      <c r="Q341" s="187"/>
      <c r="R341" s="187"/>
      <c r="S341" s="187"/>
      <c r="T341" s="187"/>
      <c r="U341" s="187"/>
      <c r="V341" s="187"/>
      <c r="W341" s="187"/>
      <c r="X341" s="187"/>
      <c r="Y341" s="187"/>
      <c r="Z341" s="187"/>
      <c r="AA341" s="187"/>
      <c r="AB341" s="187"/>
      <c r="AC341" s="187"/>
      <c r="AD341" s="187"/>
      <c r="AE341" s="187"/>
      <c r="AF341" s="187"/>
      <c r="AG341" s="187"/>
      <c r="AH341" s="187"/>
      <c r="AI341" s="187"/>
    </row>
    <row r="342">
      <c r="A342" s="187"/>
      <c r="B342" s="187"/>
      <c r="C342" s="187"/>
      <c r="D342" s="187"/>
      <c r="E342" s="187"/>
      <c r="F342" s="187"/>
      <c r="G342" s="187"/>
      <c r="H342" s="187"/>
      <c r="I342" s="187"/>
      <c r="J342" s="187"/>
      <c r="K342" s="187"/>
      <c r="L342" s="187"/>
      <c r="M342" s="192"/>
      <c r="N342" s="187"/>
      <c r="O342" s="187"/>
      <c r="P342" s="187"/>
      <c r="Q342" s="187"/>
      <c r="R342" s="187"/>
      <c r="S342" s="187"/>
      <c r="T342" s="187"/>
      <c r="U342" s="187"/>
      <c r="V342" s="187"/>
      <c r="W342" s="187"/>
      <c r="X342" s="187"/>
      <c r="Y342" s="187"/>
      <c r="Z342" s="187"/>
      <c r="AA342" s="187"/>
      <c r="AB342" s="187"/>
      <c r="AC342" s="187"/>
      <c r="AD342" s="187"/>
      <c r="AE342" s="187"/>
      <c r="AF342" s="187"/>
      <c r="AG342" s="187"/>
      <c r="AH342" s="187"/>
      <c r="AI342" s="187"/>
    </row>
    <row r="343">
      <c r="A343" s="187"/>
      <c r="B343" s="187"/>
      <c r="C343" s="187"/>
      <c r="D343" s="187"/>
      <c r="E343" s="187"/>
      <c r="F343" s="187"/>
      <c r="G343" s="187"/>
      <c r="H343" s="187"/>
      <c r="I343" s="187"/>
      <c r="J343" s="187"/>
      <c r="K343" s="187"/>
      <c r="L343" s="187"/>
      <c r="M343" s="192"/>
      <c r="N343" s="187"/>
      <c r="O343" s="187"/>
      <c r="P343" s="187"/>
      <c r="Q343" s="187"/>
      <c r="R343" s="187"/>
      <c r="S343" s="187"/>
      <c r="T343" s="187"/>
      <c r="U343" s="187"/>
      <c r="V343" s="187"/>
      <c r="W343" s="187"/>
      <c r="X343" s="187"/>
      <c r="Y343" s="187"/>
      <c r="Z343" s="187"/>
      <c r="AA343" s="187"/>
      <c r="AB343" s="187"/>
      <c r="AC343" s="187"/>
      <c r="AD343" s="187"/>
      <c r="AE343" s="187"/>
      <c r="AF343" s="187"/>
      <c r="AG343" s="187"/>
      <c r="AH343" s="187"/>
      <c r="AI343" s="187"/>
    </row>
    <row r="344">
      <c r="A344" s="187"/>
      <c r="B344" s="187"/>
      <c r="C344" s="187"/>
      <c r="D344" s="187"/>
      <c r="E344" s="187"/>
      <c r="F344" s="187"/>
      <c r="G344" s="187"/>
      <c r="H344" s="187"/>
      <c r="I344" s="187"/>
      <c r="J344" s="187"/>
      <c r="K344" s="187"/>
      <c r="L344" s="187"/>
      <c r="M344" s="192"/>
      <c r="N344" s="187"/>
      <c r="O344" s="187"/>
      <c r="P344" s="187"/>
      <c r="Q344" s="187"/>
      <c r="R344" s="187"/>
      <c r="S344" s="187"/>
      <c r="T344" s="187"/>
      <c r="U344" s="187"/>
      <c r="V344" s="187"/>
      <c r="W344" s="187"/>
      <c r="X344" s="187"/>
      <c r="Y344" s="187"/>
      <c r="Z344" s="187"/>
      <c r="AA344" s="187"/>
      <c r="AB344" s="187"/>
      <c r="AC344" s="187"/>
      <c r="AD344" s="187"/>
      <c r="AE344" s="187"/>
      <c r="AF344" s="187"/>
      <c r="AG344" s="187"/>
      <c r="AH344" s="187"/>
      <c r="AI344" s="187"/>
    </row>
    <row r="345">
      <c r="A345" s="187"/>
      <c r="B345" s="187"/>
      <c r="C345" s="187"/>
      <c r="D345" s="187"/>
      <c r="E345" s="187"/>
      <c r="F345" s="187"/>
      <c r="G345" s="187"/>
      <c r="H345" s="187"/>
      <c r="I345" s="187"/>
      <c r="J345" s="187"/>
      <c r="K345" s="187"/>
      <c r="L345" s="187"/>
      <c r="M345" s="192"/>
      <c r="N345" s="187"/>
      <c r="O345" s="187"/>
      <c r="P345" s="187"/>
      <c r="Q345" s="187"/>
      <c r="R345" s="187"/>
      <c r="S345" s="187"/>
      <c r="T345" s="187"/>
      <c r="U345" s="187"/>
      <c r="V345" s="187"/>
      <c r="W345" s="187"/>
      <c r="X345" s="187"/>
      <c r="Y345" s="187"/>
      <c r="Z345" s="187"/>
      <c r="AA345" s="187"/>
      <c r="AB345" s="187"/>
      <c r="AC345" s="187"/>
      <c r="AD345" s="187"/>
      <c r="AE345" s="187"/>
      <c r="AF345" s="187"/>
      <c r="AG345" s="187"/>
      <c r="AH345" s="187"/>
      <c r="AI345" s="187"/>
    </row>
    <row r="346">
      <c r="A346" s="187"/>
      <c r="B346" s="187"/>
      <c r="C346" s="187"/>
      <c r="D346" s="187"/>
      <c r="E346" s="187"/>
      <c r="F346" s="187"/>
      <c r="G346" s="187"/>
      <c r="H346" s="187"/>
      <c r="I346" s="187"/>
      <c r="J346" s="187"/>
      <c r="K346" s="187"/>
      <c r="L346" s="187"/>
      <c r="M346" s="192"/>
      <c r="N346" s="187"/>
      <c r="O346" s="187"/>
      <c r="P346" s="187"/>
      <c r="Q346" s="187"/>
      <c r="R346" s="187"/>
      <c r="S346" s="187"/>
      <c r="T346" s="187"/>
      <c r="U346" s="187"/>
      <c r="V346" s="187"/>
      <c r="W346" s="187"/>
      <c r="X346" s="187"/>
      <c r="Y346" s="187"/>
      <c r="Z346" s="187"/>
      <c r="AA346" s="187"/>
      <c r="AB346" s="187"/>
      <c r="AC346" s="187"/>
      <c r="AD346" s="187"/>
      <c r="AE346" s="187"/>
      <c r="AF346" s="187"/>
      <c r="AG346" s="187"/>
      <c r="AH346" s="187"/>
      <c r="AI346" s="187"/>
    </row>
    <row r="347">
      <c r="A347" s="187"/>
      <c r="B347" s="187"/>
      <c r="C347" s="187"/>
      <c r="D347" s="187"/>
      <c r="E347" s="187"/>
      <c r="F347" s="187"/>
      <c r="G347" s="187"/>
      <c r="H347" s="187"/>
      <c r="I347" s="187"/>
      <c r="J347" s="187"/>
      <c r="K347" s="187"/>
      <c r="L347" s="187"/>
      <c r="M347" s="192"/>
      <c r="N347" s="187"/>
      <c r="O347" s="187"/>
      <c r="P347" s="187"/>
      <c r="Q347" s="187"/>
      <c r="R347" s="187"/>
      <c r="S347" s="187"/>
      <c r="T347" s="187"/>
      <c r="U347" s="187"/>
      <c r="V347" s="187"/>
      <c r="W347" s="187"/>
      <c r="X347" s="187"/>
      <c r="Y347" s="187"/>
      <c r="Z347" s="187"/>
      <c r="AA347" s="187"/>
      <c r="AB347" s="187"/>
      <c r="AC347" s="187"/>
      <c r="AD347" s="187"/>
      <c r="AE347" s="187"/>
      <c r="AF347" s="187"/>
      <c r="AG347" s="187"/>
      <c r="AH347" s="187"/>
      <c r="AI347" s="187"/>
    </row>
    <row r="348">
      <c r="A348" s="187"/>
      <c r="B348" s="187"/>
      <c r="C348" s="187"/>
      <c r="D348" s="187"/>
      <c r="E348" s="187"/>
      <c r="F348" s="187"/>
      <c r="G348" s="187"/>
      <c r="H348" s="187"/>
      <c r="I348" s="187"/>
      <c r="J348" s="187"/>
      <c r="K348" s="187"/>
      <c r="L348" s="187"/>
      <c r="M348" s="192"/>
      <c r="N348" s="187"/>
      <c r="O348" s="187"/>
      <c r="P348" s="187"/>
      <c r="Q348" s="187"/>
      <c r="R348" s="187"/>
      <c r="S348" s="187"/>
      <c r="T348" s="187"/>
      <c r="U348" s="187"/>
      <c r="V348" s="187"/>
      <c r="W348" s="187"/>
      <c r="X348" s="187"/>
      <c r="Y348" s="187"/>
      <c r="Z348" s="187"/>
      <c r="AA348" s="187"/>
      <c r="AB348" s="187"/>
      <c r="AC348" s="187"/>
      <c r="AD348" s="187"/>
      <c r="AE348" s="187"/>
      <c r="AF348" s="187"/>
      <c r="AG348" s="187"/>
      <c r="AH348" s="187"/>
      <c r="AI348" s="187"/>
    </row>
    <row r="349">
      <c r="A349" s="187"/>
      <c r="B349" s="187"/>
      <c r="C349" s="187"/>
      <c r="D349" s="187"/>
      <c r="E349" s="187"/>
      <c r="F349" s="187"/>
      <c r="G349" s="187"/>
      <c r="H349" s="187"/>
      <c r="I349" s="187"/>
      <c r="J349" s="187"/>
      <c r="K349" s="187"/>
      <c r="L349" s="187"/>
      <c r="M349" s="192"/>
      <c r="N349" s="187"/>
      <c r="O349" s="187"/>
      <c r="P349" s="187"/>
      <c r="Q349" s="187"/>
      <c r="R349" s="187"/>
      <c r="S349" s="187"/>
      <c r="T349" s="187"/>
      <c r="U349" s="187"/>
      <c r="V349" s="187"/>
      <c r="W349" s="187"/>
      <c r="X349" s="187"/>
      <c r="Y349" s="187"/>
      <c r="Z349" s="187"/>
      <c r="AA349" s="187"/>
      <c r="AB349" s="187"/>
      <c r="AC349" s="187"/>
      <c r="AD349" s="187"/>
      <c r="AE349" s="187"/>
      <c r="AF349" s="187"/>
      <c r="AG349" s="187"/>
      <c r="AH349" s="187"/>
      <c r="AI349" s="187"/>
    </row>
    <row r="350">
      <c r="A350" s="187"/>
      <c r="B350" s="187"/>
      <c r="C350" s="187"/>
      <c r="D350" s="187"/>
      <c r="E350" s="187"/>
      <c r="F350" s="187"/>
      <c r="G350" s="187"/>
      <c r="H350" s="187"/>
      <c r="I350" s="187"/>
      <c r="J350" s="187"/>
      <c r="K350" s="187"/>
      <c r="L350" s="187"/>
      <c r="M350" s="192"/>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row>
    <row r="351">
      <c r="A351" s="187"/>
      <c r="B351" s="187"/>
      <c r="C351" s="187"/>
      <c r="D351" s="187"/>
      <c r="E351" s="187"/>
      <c r="F351" s="187"/>
      <c r="G351" s="187"/>
      <c r="H351" s="187"/>
      <c r="I351" s="187"/>
      <c r="J351" s="187"/>
      <c r="K351" s="187"/>
      <c r="L351" s="187"/>
      <c r="M351" s="192"/>
      <c r="N351" s="187"/>
      <c r="O351" s="187"/>
      <c r="P351" s="187"/>
      <c r="Q351" s="187"/>
      <c r="R351" s="187"/>
      <c r="S351" s="187"/>
      <c r="T351" s="187"/>
      <c r="U351" s="187"/>
      <c r="V351" s="187"/>
      <c r="W351" s="187"/>
      <c r="X351" s="187"/>
      <c r="Y351" s="187"/>
      <c r="Z351" s="187"/>
      <c r="AA351" s="187"/>
      <c r="AB351" s="187"/>
      <c r="AC351" s="187"/>
      <c r="AD351" s="187"/>
      <c r="AE351" s="187"/>
      <c r="AF351" s="187"/>
      <c r="AG351" s="187"/>
      <c r="AH351" s="187"/>
      <c r="AI351" s="187"/>
    </row>
    <row r="352">
      <c r="A352" s="187"/>
      <c r="B352" s="187"/>
      <c r="C352" s="187"/>
      <c r="D352" s="187"/>
      <c r="E352" s="187"/>
      <c r="F352" s="187"/>
      <c r="G352" s="187"/>
      <c r="H352" s="187"/>
      <c r="I352" s="187"/>
      <c r="J352" s="187"/>
      <c r="K352" s="187"/>
      <c r="L352" s="187"/>
      <c r="M352" s="192"/>
      <c r="N352" s="187"/>
      <c r="O352" s="187"/>
      <c r="P352" s="187"/>
      <c r="Q352" s="187"/>
      <c r="R352" s="187"/>
      <c r="S352" s="187"/>
      <c r="T352" s="187"/>
      <c r="U352" s="187"/>
      <c r="V352" s="187"/>
      <c r="W352" s="187"/>
      <c r="X352" s="187"/>
      <c r="Y352" s="187"/>
      <c r="Z352" s="187"/>
      <c r="AA352" s="187"/>
      <c r="AB352" s="187"/>
      <c r="AC352" s="187"/>
      <c r="AD352" s="187"/>
      <c r="AE352" s="187"/>
      <c r="AF352" s="187"/>
      <c r="AG352" s="187"/>
      <c r="AH352" s="187"/>
      <c r="AI352" s="187"/>
    </row>
    <row r="353">
      <c r="A353" s="187"/>
      <c r="B353" s="187"/>
      <c r="C353" s="187"/>
      <c r="D353" s="187"/>
      <c r="E353" s="187"/>
      <c r="F353" s="187"/>
      <c r="G353" s="187"/>
      <c r="H353" s="187"/>
      <c r="I353" s="187"/>
      <c r="J353" s="187"/>
      <c r="K353" s="187"/>
      <c r="L353" s="187"/>
      <c r="M353" s="192"/>
      <c r="N353" s="187"/>
      <c r="O353" s="187"/>
      <c r="P353" s="187"/>
      <c r="Q353" s="187"/>
      <c r="R353" s="187"/>
      <c r="S353" s="187"/>
      <c r="T353" s="187"/>
      <c r="U353" s="187"/>
      <c r="V353" s="187"/>
      <c r="W353" s="187"/>
      <c r="X353" s="187"/>
      <c r="Y353" s="187"/>
      <c r="Z353" s="187"/>
      <c r="AA353" s="187"/>
      <c r="AB353" s="187"/>
      <c r="AC353" s="187"/>
      <c r="AD353" s="187"/>
      <c r="AE353" s="187"/>
      <c r="AF353" s="187"/>
      <c r="AG353" s="187"/>
      <c r="AH353" s="187"/>
      <c r="AI353" s="187"/>
    </row>
    <row r="354">
      <c r="A354" s="187"/>
      <c r="B354" s="187"/>
      <c r="C354" s="187"/>
      <c r="D354" s="187"/>
      <c r="E354" s="187"/>
      <c r="F354" s="187"/>
      <c r="G354" s="187"/>
      <c r="H354" s="187"/>
      <c r="I354" s="187"/>
      <c r="J354" s="187"/>
      <c r="K354" s="187"/>
      <c r="L354" s="187"/>
      <c r="M354" s="192"/>
      <c r="N354" s="187"/>
      <c r="O354" s="187"/>
      <c r="P354" s="187"/>
      <c r="Q354" s="187"/>
      <c r="R354" s="187"/>
      <c r="S354" s="187"/>
      <c r="T354" s="187"/>
      <c r="U354" s="187"/>
      <c r="V354" s="187"/>
      <c r="W354" s="187"/>
      <c r="X354" s="187"/>
      <c r="Y354" s="187"/>
      <c r="Z354" s="187"/>
      <c r="AA354" s="187"/>
      <c r="AB354" s="187"/>
      <c r="AC354" s="187"/>
      <c r="AD354" s="187"/>
      <c r="AE354" s="187"/>
      <c r="AF354" s="187"/>
      <c r="AG354" s="187"/>
      <c r="AH354" s="187"/>
      <c r="AI354" s="187"/>
    </row>
    <row r="355">
      <c r="A355" s="187"/>
      <c r="B355" s="187"/>
      <c r="C355" s="187"/>
      <c r="D355" s="187"/>
      <c r="E355" s="187"/>
      <c r="F355" s="187"/>
      <c r="G355" s="187"/>
      <c r="H355" s="187"/>
      <c r="I355" s="187"/>
      <c r="J355" s="187"/>
      <c r="K355" s="187"/>
      <c r="L355" s="187"/>
      <c r="M355" s="192"/>
      <c r="N355" s="187"/>
      <c r="O355" s="187"/>
      <c r="P355" s="187"/>
      <c r="Q355" s="187"/>
      <c r="R355" s="187"/>
      <c r="S355" s="187"/>
      <c r="T355" s="187"/>
      <c r="U355" s="187"/>
      <c r="V355" s="187"/>
      <c r="W355" s="187"/>
      <c r="X355" s="187"/>
      <c r="Y355" s="187"/>
      <c r="Z355" s="187"/>
      <c r="AA355" s="187"/>
      <c r="AB355" s="187"/>
      <c r="AC355" s="187"/>
      <c r="AD355" s="187"/>
      <c r="AE355" s="187"/>
      <c r="AF355" s="187"/>
      <c r="AG355" s="187"/>
      <c r="AH355" s="187"/>
      <c r="AI355" s="187"/>
    </row>
    <row r="356">
      <c r="A356" s="187"/>
      <c r="B356" s="187"/>
      <c r="C356" s="187"/>
      <c r="D356" s="187"/>
      <c r="E356" s="187"/>
      <c r="F356" s="187"/>
      <c r="G356" s="187"/>
      <c r="H356" s="187"/>
      <c r="I356" s="187"/>
      <c r="J356" s="187"/>
      <c r="K356" s="187"/>
      <c r="L356" s="187"/>
      <c r="M356" s="192"/>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7"/>
      <c r="AI356" s="187"/>
    </row>
    <row r="357">
      <c r="A357" s="187"/>
      <c r="B357" s="187"/>
      <c r="C357" s="187"/>
      <c r="D357" s="187"/>
      <c r="E357" s="187"/>
      <c r="F357" s="187"/>
      <c r="G357" s="187"/>
      <c r="H357" s="187"/>
      <c r="I357" s="187"/>
      <c r="J357" s="187"/>
      <c r="K357" s="187"/>
      <c r="L357" s="187"/>
      <c r="M357" s="192"/>
      <c r="N357" s="187"/>
      <c r="O357" s="187"/>
      <c r="P357" s="187"/>
      <c r="Q357" s="187"/>
      <c r="R357" s="187"/>
      <c r="S357" s="187"/>
      <c r="T357" s="187"/>
      <c r="U357" s="187"/>
      <c r="V357" s="187"/>
      <c r="W357" s="187"/>
      <c r="X357" s="187"/>
      <c r="Y357" s="187"/>
      <c r="Z357" s="187"/>
      <c r="AA357" s="187"/>
      <c r="AB357" s="187"/>
      <c r="AC357" s="187"/>
      <c r="AD357" s="187"/>
      <c r="AE357" s="187"/>
      <c r="AF357" s="187"/>
      <c r="AG357" s="187"/>
      <c r="AH357" s="187"/>
      <c r="AI357" s="187"/>
    </row>
    <row r="358">
      <c r="A358" s="187"/>
      <c r="B358" s="187"/>
      <c r="C358" s="187"/>
      <c r="D358" s="187"/>
      <c r="E358" s="187"/>
      <c r="F358" s="187"/>
      <c r="G358" s="187"/>
      <c r="H358" s="187"/>
      <c r="I358" s="187"/>
      <c r="J358" s="187"/>
      <c r="K358" s="187"/>
      <c r="L358" s="187"/>
      <c r="M358" s="192"/>
      <c r="N358" s="187"/>
      <c r="O358" s="187"/>
      <c r="P358" s="187"/>
      <c r="Q358" s="187"/>
      <c r="R358" s="187"/>
      <c r="S358" s="187"/>
      <c r="T358" s="187"/>
      <c r="U358" s="187"/>
      <c r="V358" s="187"/>
      <c r="W358" s="187"/>
      <c r="X358" s="187"/>
      <c r="Y358" s="187"/>
      <c r="Z358" s="187"/>
      <c r="AA358" s="187"/>
      <c r="AB358" s="187"/>
      <c r="AC358" s="187"/>
      <c r="AD358" s="187"/>
      <c r="AE358" s="187"/>
      <c r="AF358" s="187"/>
      <c r="AG358" s="187"/>
      <c r="AH358" s="187"/>
      <c r="AI358" s="187"/>
    </row>
    <row r="359">
      <c r="A359" s="187"/>
      <c r="B359" s="187"/>
      <c r="C359" s="187"/>
      <c r="D359" s="187"/>
      <c r="E359" s="187"/>
      <c r="F359" s="187"/>
      <c r="G359" s="187"/>
      <c r="H359" s="187"/>
      <c r="I359" s="187"/>
      <c r="J359" s="187"/>
      <c r="K359" s="187"/>
      <c r="L359" s="187"/>
      <c r="M359" s="192"/>
      <c r="N359" s="187"/>
      <c r="O359" s="187"/>
      <c r="P359" s="187"/>
      <c r="Q359" s="187"/>
      <c r="R359" s="187"/>
      <c r="S359" s="187"/>
      <c r="T359" s="187"/>
      <c r="U359" s="187"/>
      <c r="V359" s="187"/>
      <c r="W359" s="187"/>
      <c r="X359" s="187"/>
      <c r="Y359" s="187"/>
      <c r="Z359" s="187"/>
      <c r="AA359" s="187"/>
      <c r="AB359" s="187"/>
      <c r="AC359" s="187"/>
      <c r="AD359" s="187"/>
      <c r="AE359" s="187"/>
      <c r="AF359" s="187"/>
      <c r="AG359" s="187"/>
      <c r="AH359" s="187"/>
      <c r="AI359" s="187"/>
    </row>
    <row r="360">
      <c r="A360" s="187"/>
      <c r="B360" s="187"/>
      <c r="C360" s="187"/>
      <c r="D360" s="187"/>
      <c r="E360" s="187"/>
      <c r="F360" s="187"/>
      <c r="G360" s="187"/>
      <c r="H360" s="187"/>
      <c r="I360" s="187"/>
      <c r="J360" s="187"/>
      <c r="K360" s="187"/>
      <c r="L360" s="187"/>
      <c r="M360" s="192"/>
      <c r="N360" s="187"/>
      <c r="O360" s="187"/>
      <c r="P360" s="187"/>
      <c r="Q360" s="187"/>
      <c r="R360" s="187"/>
      <c r="S360" s="187"/>
      <c r="T360" s="187"/>
      <c r="U360" s="187"/>
      <c r="V360" s="187"/>
      <c r="W360" s="187"/>
      <c r="X360" s="187"/>
      <c r="Y360" s="187"/>
      <c r="Z360" s="187"/>
      <c r="AA360" s="187"/>
      <c r="AB360" s="187"/>
      <c r="AC360" s="187"/>
      <c r="AD360" s="187"/>
      <c r="AE360" s="187"/>
      <c r="AF360" s="187"/>
      <c r="AG360" s="187"/>
      <c r="AH360" s="187"/>
      <c r="AI360" s="187"/>
    </row>
    <row r="361">
      <c r="A361" s="187"/>
      <c r="B361" s="187"/>
      <c r="C361" s="187"/>
      <c r="D361" s="187"/>
      <c r="E361" s="187"/>
      <c r="F361" s="187"/>
      <c r="G361" s="187"/>
      <c r="H361" s="187"/>
      <c r="I361" s="187"/>
      <c r="J361" s="187"/>
      <c r="K361" s="187"/>
      <c r="L361" s="187"/>
      <c r="M361" s="192"/>
      <c r="N361" s="187"/>
      <c r="O361" s="187"/>
      <c r="P361" s="187"/>
      <c r="Q361" s="187"/>
      <c r="R361" s="187"/>
      <c r="S361" s="187"/>
      <c r="T361" s="187"/>
      <c r="U361" s="187"/>
      <c r="V361" s="187"/>
      <c r="W361" s="187"/>
      <c r="X361" s="187"/>
      <c r="Y361" s="187"/>
      <c r="Z361" s="187"/>
      <c r="AA361" s="187"/>
      <c r="AB361" s="187"/>
      <c r="AC361" s="187"/>
      <c r="AD361" s="187"/>
      <c r="AE361" s="187"/>
      <c r="AF361" s="187"/>
      <c r="AG361" s="187"/>
      <c r="AH361" s="187"/>
      <c r="AI361" s="187"/>
    </row>
    <row r="362">
      <c r="A362" s="187"/>
      <c r="B362" s="187"/>
      <c r="C362" s="187"/>
      <c r="D362" s="187"/>
      <c r="E362" s="187"/>
      <c r="F362" s="187"/>
      <c r="G362" s="187"/>
      <c r="H362" s="187"/>
      <c r="I362" s="187"/>
      <c r="J362" s="187"/>
      <c r="K362" s="187"/>
      <c r="L362" s="187"/>
      <c r="M362" s="192"/>
      <c r="N362" s="187"/>
      <c r="O362" s="187"/>
      <c r="P362" s="187"/>
      <c r="Q362" s="187"/>
      <c r="R362" s="187"/>
      <c r="S362" s="187"/>
      <c r="T362" s="187"/>
      <c r="U362" s="187"/>
      <c r="V362" s="187"/>
      <c r="W362" s="187"/>
      <c r="X362" s="187"/>
      <c r="Y362" s="187"/>
      <c r="Z362" s="187"/>
      <c r="AA362" s="187"/>
      <c r="AB362" s="187"/>
      <c r="AC362" s="187"/>
      <c r="AD362" s="187"/>
      <c r="AE362" s="187"/>
      <c r="AF362" s="187"/>
      <c r="AG362" s="187"/>
      <c r="AH362" s="187"/>
      <c r="AI362" s="187"/>
    </row>
    <row r="363">
      <c r="A363" s="187"/>
      <c r="B363" s="187"/>
      <c r="C363" s="187"/>
      <c r="D363" s="187"/>
      <c r="E363" s="187"/>
      <c r="F363" s="187"/>
      <c r="G363" s="187"/>
      <c r="H363" s="187"/>
      <c r="I363" s="187"/>
      <c r="J363" s="187"/>
      <c r="K363" s="187"/>
      <c r="L363" s="187"/>
      <c r="M363" s="192"/>
      <c r="N363" s="187"/>
      <c r="O363" s="187"/>
      <c r="P363" s="187"/>
      <c r="Q363" s="187"/>
      <c r="R363" s="187"/>
      <c r="S363" s="187"/>
      <c r="T363" s="187"/>
      <c r="U363" s="187"/>
      <c r="V363" s="187"/>
      <c r="W363" s="187"/>
      <c r="X363" s="187"/>
      <c r="Y363" s="187"/>
      <c r="Z363" s="187"/>
      <c r="AA363" s="187"/>
      <c r="AB363" s="187"/>
      <c r="AC363" s="187"/>
      <c r="AD363" s="187"/>
      <c r="AE363" s="187"/>
      <c r="AF363" s="187"/>
      <c r="AG363" s="187"/>
      <c r="AH363" s="187"/>
      <c r="AI363" s="187"/>
    </row>
    <row r="364">
      <c r="A364" s="187"/>
      <c r="B364" s="187"/>
      <c r="C364" s="187"/>
      <c r="D364" s="187"/>
      <c r="E364" s="187"/>
      <c r="F364" s="187"/>
      <c r="G364" s="187"/>
      <c r="H364" s="187"/>
      <c r="I364" s="187"/>
      <c r="J364" s="187"/>
      <c r="K364" s="187"/>
      <c r="L364" s="187"/>
      <c r="M364" s="192"/>
      <c r="N364" s="187"/>
      <c r="O364" s="187"/>
      <c r="P364" s="187"/>
      <c r="Q364" s="187"/>
      <c r="R364" s="187"/>
      <c r="S364" s="187"/>
      <c r="T364" s="187"/>
      <c r="U364" s="187"/>
      <c r="V364" s="187"/>
      <c r="W364" s="187"/>
      <c r="X364" s="187"/>
      <c r="Y364" s="187"/>
      <c r="Z364" s="187"/>
      <c r="AA364" s="187"/>
      <c r="AB364" s="187"/>
      <c r="AC364" s="187"/>
      <c r="AD364" s="187"/>
      <c r="AE364" s="187"/>
      <c r="AF364" s="187"/>
      <c r="AG364" s="187"/>
      <c r="AH364" s="187"/>
      <c r="AI364" s="187"/>
    </row>
    <row r="365">
      <c r="A365" s="187"/>
      <c r="B365" s="187"/>
      <c r="C365" s="187"/>
      <c r="D365" s="187"/>
      <c r="E365" s="187"/>
      <c r="F365" s="187"/>
      <c r="G365" s="187"/>
      <c r="H365" s="187"/>
      <c r="I365" s="187"/>
      <c r="J365" s="187"/>
      <c r="K365" s="187"/>
      <c r="L365" s="187"/>
      <c r="M365" s="192"/>
      <c r="N365" s="187"/>
      <c r="O365" s="187"/>
      <c r="P365" s="187"/>
      <c r="Q365" s="187"/>
      <c r="R365" s="187"/>
      <c r="S365" s="187"/>
      <c r="T365" s="187"/>
      <c r="U365" s="187"/>
      <c r="V365" s="187"/>
      <c r="W365" s="187"/>
      <c r="X365" s="187"/>
      <c r="Y365" s="187"/>
      <c r="Z365" s="187"/>
      <c r="AA365" s="187"/>
      <c r="AB365" s="187"/>
      <c r="AC365" s="187"/>
      <c r="AD365" s="187"/>
      <c r="AE365" s="187"/>
      <c r="AF365" s="187"/>
      <c r="AG365" s="187"/>
      <c r="AH365" s="187"/>
      <c r="AI365" s="187"/>
    </row>
    <row r="366">
      <c r="A366" s="187"/>
      <c r="B366" s="187"/>
      <c r="C366" s="187"/>
      <c r="D366" s="187"/>
      <c r="E366" s="187"/>
      <c r="F366" s="187"/>
      <c r="G366" s="187"/>
      <c r="H366" s="187"/>
      <c r="I366" s="187"/>
      <c r="J366" s="187"/>
      <c r="K366" s="187"/>
      <c r="L366" s="187"/>
      <c r="M366" s="192"/>
      <c r="N366" s="187"/>
      <c r="O366" s="187"/>
      <c r="P366" s="187"/>
      <c r="Q366" s="187"/>
      <c r="R366" s="187"/>
      <c r="S366" s="187"/>
      <c r="T366" s="187"/>
      <c r="U366" s="187"/>
      <c r="V366" s="187"/>
      <c r="W366" s="187"/>
      <c r="X366" s="187"/>
      <c r="Y366" s="187"/>
      <c r="Z366" s="187"/>
      <c r="AA366" s="187"/>
      <c r="AB366" s="187"/>
      <c r="AC366" s="187"/>
      <c r="AD366" s="187"/>
      <c r="AE366" s="187"/>
      <c r="AF366" s="187"/>
      <c r="AG366" s="187"/>
      <c r="AH366" s="187"/>
      <c r="AI366" s="187"/>
    </row>
    <row r="367">
      <c r="A367" s="187"/>
      <c r="B367" s="187"/>
      <c r="C367" s="187"/>
      <c r="D367" s="187"/>
      <c r="E367" s="187"/>
      <c r="F367" s="187"/>
      <c r="G367" s="187"/>
      <c r="H367" s="187"/>
      <c r="I367" s="187"/>
      <c r="J367" s="187"/>
      <c r="K367" s="187"/>
      <c r="L367" s="187"/>
      <c r="M367" s="192"/>
      <c r="N367" s="187"/>
      <c r="O367" s="187"/>
      <c r="P367" s="187"/>
      <c r="Q367" s="187"/>
      <c r="R367" s="187"/>
      <c r="S367" s="187"/>
      <c r="T367" s="187"/>
      <c r="U367" s="187"/>
      <c r="V367" s="187"/>
      <c r="W367" s="187"/>
      <c r="X367" s="187"/>
      <c r="Y367" s="187"/>
      <c r="Z367" s="187"/>
      <c r="AA367" s="187"/>
      <c r="AB367" s="187"/>
      <c r="AC367" s="187"/>
      <c r="AD367" s="187"/>
      <c r="AE367" s="187"/>
      <c r="AF367" s="187"/>
      <c r="AG367" s="187"/>
      <c r="AH367" s="187"/>
      <c r="AI367" s="187"/>
    </row>
    <row r="368">
      <c r="A368" s="187"/>
      <c r="B368" s="187"/>
      <c r="C368" s="187"/>
      <c r="D368" s="187"/>
      <c r="E368" s="187"/>
      <c r="F368" s="187"/>
      <c r="G368" s="187"/>
      <c r="H368" s="187"/>
      <c r="I368" s="187"/>
      <c r="J368" s="187"/>
      <c r="K368" s="187"/>
      <c r="L368" s="187"/>
      <c r="M368" s="192"/>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row>
    <row r="369">
      <c r="A369" s="187"/>
      <c r="B369" s="187"/>
      <c r="C369" s="187"/>
      <c r="D369" s="187"/>
      <c r="E369" s="187"/>
      <c r="F369" s="187"/>
      <c r="G369" s="187"/>
      <c r="H369" s="187"/>
      <c r="I369" s="187"/>
      <c r="J369" s="187"/>
      <c r="K369" s="187"/>
      <c r="L369" s="187"/>
      <c r="M369" s="192"/>
      <c r="N369" s="187"/>
      <c r="O369" s="187"/>
      <c r="P369" s="187"/>
      <c r="Q369" s="187"/>
      <c r="R369" s="187"/>
      <c r="S369" s="187"/>
      <c r="T369" s="187"/>
      <c r="U369" s="187"/>
      <c r="V369" s="187"/>
      <c r="W369" s="187"/>
      <c r="X369" s="187"/>
      <c r="Y369" s="187"/>
      <c r="Z369" s="187"/>
      <c r="AA369" s="187"/>
      <c r="AB369" s="187"/>
      <c r="AC369" s="187"/>
      <c r="AD369" s="187"/>
      <c r="AE369" s="187"/>
      <c r="AF369" s="187"/>
      <c r="AG369" s="187"/>
      <c r="AH369" s="187"/>
      <c r="AI369" s="187"/>
    </row>
    <row r="370">
      <c r="A370" s="187"/>
      <c r="B370" s="187"/>
      <c r="C370" s="187"/>
      <c r="D370" s="187"/>
      <c r="E370" s="187"/>
      <c r="F370" s="187"/>
      <c r="G370" s="187"/>
      <c r="H370" s="187"/>
      <c r="I370" s="187"/>
      <c r="J370" s="187"/>
      <c r="K370" s="187"/>
      <c r="L370" s="187"/>
      <c r="M370" s="192"/>
      <c r="N370" s="187"/>
      <c r="O370" s="187"/>
      <c r="P370" s="187"/>
      <c r="Q370" s="187"/>
      <c r="R370" s="187"/>
      <c r="S370" s="187"/>
      <c r="T370" s="187"/>
      <c r="U370" s="187"/>
      <c r="V370" s="187"/>
      <c r="W370" s="187"/>
      <c r="X370" s="187"/>
      <c r="Y370" s="187"/>
      <c r="Z370" s="187"/>
      <c r="AA370" s="187"/>
      <c r="AB370" s="187"/>
      <c r="AC370" s="187"/>
      <c r="AD370" s="187"/>
      <c r="AE370" s="187"/>
      <c r="AF370" s="187"/>
      <c r="AG370" s="187"/>
      <c r="AH370" s="187"/>
      <c r="AI370" s="187"/>
    </row>
    <row r="371">
      <c r="A371" s="187"/>
      <c r="B371" s="187"/>
      <c r="C371" s="187"/>
      <c r="D371" s="187"/>
      <c r="E371" s="187"/>
      <c r="F371" s="187"/>
      <c r="G371" s="187"/>
      <c r="H371" s="187"/>
      <c r="I371" s="187"/>
      <c r="J371" s="187"/>
      <c r="K371" s="187"/>
      <c r="L371" s="187"/>
      <c r="M371" s="192"/>
      <c r="N371" s="187"/>
      <c r="O371" s="187"/>
      <c r="P371" s="187"/>
      <c r="Q371" s="187"/>
      <c r="R371" s="187"/>
      <c r="S371" s="187"/>
      <c r="T371" s="187"/>
      <c r="U371" s="187"/>
      <c r="V371" s="187"/>
      <c r="W371" s="187"/>
      <c r="X371" s="187"/>
      <c r="Y371" s="187"/>
      <c r="Z371" s="187"/>
      <c r="AA371" s="187"/>
      <c r="AB371" s="187"/>
      <c r="AC371" s="187"/>
      <c r="AD371" s="187"/>
      <c r="AE371" s="187"/>
      <c r="AF371" s="187"/>
      <c r="AG371" s="187"/>
      <c r="AH371" s="187"/>
      <c r="AI371" s="187"/>
    </row>
    <row r="372">
      <c r="A372" s="187"/>
      <c r="B372" s="187"/>
      <c r="C372" s="187"/>
      <c r="D372" s="187"/>
      <c r="E372" s="187"/>
      <c r="F372" s="187"/>
      <c r="G372" s="187"/>
      <c r="H372" s="187"/>
      <c r="I372" s="187"/>
      <c r="J372" s="187"/>
      <c r="K372" s="187"/>
      <c r="L372" s="187"/>
      <c r="M372" s="192"/>
      <c r="N372" s="187"/>
      <c r="O372" s="187"/>
      <c r="P372" s="187"/>
      <c r="Q372" s="187"/>
      <c r="R372" s="187"/>
      <c r="S372" s="187"/>
      <c r="T372" s="187"/>
      <c r="U372" s="187"/>
      <c r="V372" s="187"/>
      <c r="W372" s="187"/>
      <c r="X372" s="187"/>
      <c r="Y372" s="187"/>
      <c r="Z372" s="187"/>
      <c r="AA372" s="187"/>
      <c r="AB372" s="187"/>
      <c r="AC372" s="187"/>
      <c r="AD372" s="187"/>
      <c r="AE372" s="187"/>
      <c r="AF372" s="187"/>
      <c r="AG372" s="187"/>
      <c r="AH372" s="187"/>
      <c r="AI372" s="187"/>
    </row>
    <row r="373">
      <c r="A373" s="187"/>
      <c r="B373" s="187"/>
      <c r="C373" s="187"/>
      <c r="D373" s="187"/>
      <c r="E373" s="187"/>
      <c r="F373" s="187"/>
      <c r="G373" s="187"/>
      <c r="H373" s="187"/>
      <c r="I373" s="187"/>
      <c r="J373" s="187"/>
      <c r="K373" s="187"/>
      <c r="L373" s="187"/>
      <c r="M373" s="192"/>
      <c r="N373" s="187"/>
      <c r="O373" s="187"/>
      <c r="P373" s="187"/>
      <c r="Q373" s="187"/>
      <c r="R373" s="187"/>
      <c r="S373" s="187"/>
      <c r="T373" s="187"/>
      <c r="U373" s="187"/>
      <c r="V373" s="187"/>
      <c r="W373" s="187"/>
      <c r="X373" s="187"/>
      <c r="Y373" s="187"/>
      <c r="Z373" s="187"/>
      <c r="AA373" s="187"/>
      <c r="AB373" s="187"/>
      <c r="AC373" s="187"/>
      <c r="AD373" s="187"/>
      <c r="AE373" s="187"/>
      <c r="AF373" s="187"/>
      <c r="AG373" s="187"/>
      <c r="AH373" s="187"/>
      <c r="AI373" s="187"/>
    </row>
    <row r="374">
      <c r="A374" s="187"/>
      <c r="B374" s="187"/>
      <c r="C374" s="187"/>
      <c r="D374" s="187"/>
      <c r="E374" s="187"/>
      <c r="F374" s="187"/>
      <c r="G374" s="187"/>
      <c r="H374" s="187"/>
      <c r="I374" s="187"/>
      <c r="J374" s="187"/>
      <c r="K374" s="187"/>
      <c r="L374" s="187"/>
      <c r="M374" s="192"/>
      <c r="N374" s="187"/>
      <c r="O374" s="187"/>
      <c r="P374" s="187"/>
      <c r="Q374" s="187"/>
      <c r="R374" s="187"/>
      <c r="S374" s="187"/>
      <c r="T374" s="187"/>
      <c r="U374" s="187"/>
      <c r="V374" s="187"/>
      <c r="W374" s="187"/>
      <c r="X374" s="187"/>
      <c r="Y374" s="187"/>
      <c r="Z374" s="187"/>
      <c r="AA374" s="187"/>
      <c r="AB374" s="187"/>
      <c r="AC374" s="187"/>
      <c r="AD374" s="187"/>
      <c r="AE374" s="187"/>
      <c r="AF374" s="187"/>
      <c r="AG374" s="187"/>
      <c r="AH374" s="187"/>
      <c r="AI374" s="187"/>
    </row>
    <row r="375">
      <c r="A375" s="187"/>
      <c r="B375" s="187"/>
      <c r="C375" s="187"/>
      <c r="D375" s="187"/>
      <c r="E375" s="187"/>
      <c r="F375" s="187"/>
      <c r="G375" s="187"/>
      <c r="H375" s="187"/>
      <c r="I375" s="187"/>
      <c r="J375" s="187"/>
      <c r="K375" s="187"/>
      <c r="L375" s="187"/>
      <c r="M375" s="192"/>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row>
    <row r="376">
      <c r="A376" s="187"/>
      <c r="B376" s="187"/>
      <c r="C376" s="187"/>
      <c r="D376" s="187"/>
      <c r="E376" s="187"/>
      <c r="F376" s="187"/>
      <c r="G376" s="187"/>
      <c r="H376" s="187"/>
      <c r="I376" s="187"/>
      <c r="J376" s="187"/>
      <c r="K376" s="187"/>
      <c r="L376" s="187"/>
      <c r="M376" s="192"/>
      <c r="N376" s="187"/>
      <c r="O376" s="187"/>
      <c r="P376" s="187"/>
      <c r="Q376" s="187"/>
      <c r="R376" s="187"/>
      <c r="S376" s="187"/>
      <c r="T376" s="187"/>
      <c r="U376" s="187"/>
      <c r="V376" s="187"/>
      <c r="W376" s="187"/>
      <c r="X376" s="187"/>
      <c r="Y376" s="187"/>
      <c r="Z376" s="187"/>
      <c r="AA376" s="187"/>
      <c r="AB376" s="187"/>
      <c r="AC376" s="187"/>
      <c r="AD376" s="187"/>
      <c r="AE376" s="187"/>
      <c r="AF376" s="187"/>
      <c r="AG376" s="187"/>
      <c r="AH376" s="187"/>
      <c r="AI376" s="187"/>
    </row>
    <row r="377">
      <c r="A377" s="187"/>
      <c r="B377" s="187"/>
      <c r="C377" s="187"/>
      <c r="D377" s="187"/>
      <c r="E377" s="187"/>
      <c r="F377" s="187"/>
      <c r="G377" s="187"/>
      <c r="H377" s="187"/>
      <c r="I377" s="187"/>
      <c r="J377" s="187"/>
      <c r="K377" s="187"/>
      <c r="L377" s="187"/>
      <c r="M377" s="192"/>
      <c r="N377" s="187"/>
      <c r="O377" s="187"/>
      <c r="P377" s="187"/>
      <c r="Q377" s="187"/>
      <c r="R377" s="187"/>
      <c r="S377" s="187"/>
      <c r="T377" s="187"/>
      <c r="U377" s="187"/>
      <c r="V377" s="187"/>
      <c r="W377" s="187"/>
      <c r="X377" s="187"/>
      <c r="Y377" s="187"/>
      <c r="Z377" s="187"/>
      <c r="AA377" s="187"/>
      <c r="AB377" s="187"/>
      <c r="AC377" s="187"/>
      <c r="AD377" s="187"/>
      <c r="AE377" s="187"/>
      <c r="AF377" s="187"/>
      <c r="AG377" s="187"/>
      <c r="AH377" s="187"/>
      <c r="AI377" s="187"/>
    </row>
    <row r="378">
      <c r="A378" s="187"/>
      <c r="B378" s="187"/>
      <c r="C378" s="187"/>
      <c r="D378" s="187"/>
      <c r="E378" s="187"/>
      <c r="F378" s="187"/>
      <c r="G378" s="187"/>
      <c r="H378" s="187"/>
      <c r="I378" s="187"/>
      <c r="J378" s="187"/>
      <c r="K378" s="187"/>
      <c r="L378" s="187"/>
      <c r="M378" s="192"/>
      <c r="N378" s="187"/>
      <c r="O378" s="187"/>
      <c r="P378" s="187"/>
      <c r="Q378" s="187"/>
      <c r="R378" s="187"/>
      <c r="S378" s="187"/>
      <c r="T378" s="187"/>
      <c r="U378" s="187"/>
      <c r="V378" s="187"/>
      <c r="W378" s="187"/>
      <c r="X378" s="187"/>
      <c r="Y378" s="187"/>
      <c r="Z378" s="187"/>
      <c r="AA378" s="187"/>
      <c r="AB378" s="187"/>
      <c r="AC378" s="187"/>
      <c r="AD378" s="187"/>
      <c r="AE378" s="187"/>
      <c r="AF378" s="187"/>
      <c r="AG378" s="187"/>
      <c r="AH378" s="187"/>
      <c r="AI378" s="187"/>
    </row>
    <row r="379">
      <c r="A379" s="187"/>
      <c r="B379" s="187"/>
      <c r="C379" s="187"/>
      <c r="D379" s="187"/>
      <c r="E379" s="187"/>
      <c r="F379" s="187"/>
      <c r="G379" s="187"/>
      <c r="H379" s="187"/>
      <c r="I379" s="187"/>
      <c r="J379" s="187"/>
      <c r="K379" s="187"/>
      <c r="L379" s="187"/>
      <c r="M379" s="192"/>
      <c r="N379" s="187"/>
      <c r="O379" s="187"/>
      <c r="P379" s="187"/>
      <c r="Q379" s="187"/>
      <c r="R379" s="187"/>
      <c r="S379" s="187"/>
      <c r="T379" s="187"/>
      <c r="U379" s="187"/>
      <c r="V379" s="187"/>
      <c r="W379" s="187"/>
      <c r="X379" s="187"/>
      <c r="Y379" s="187"/>
      <c r="Z379" s="187"/>
      <c r="AA379" s="187"/>
      <c r="AB379" s="187"/>
      <c r="AC379" s="187"/>
      <c r="AD379" s="187"/>
      <c r="AE379" s="187"/>
      <c r="AF379" s="187"/>
      <c r="AG379" s="187"/>
      <c r="AH379" s="187"/>
      <c r="AI379" s="187"/>
    </row>
    <row r="380">
      <c r="A380" s="187"/>
      <c r="B380" s="187"/>
      <c r="C380" s="187"/>
      <c r="D380" s="187"/>
      <c r="E380" s="187"/>
      <c r="F380" s="187"/>
      <c r="G380" s="187"/>
      <c r="H380" s="187"/>
      <c r="I380" s="187"/>
      <c r="J380" s="187"/>
      <c r="K380" s="187"/>
      <c r="L380" s="187"/>
      <c r="M380" s="192"/>
      <c r="N380" s="187"/>
      <c r="O380" s="187"/>
      <c r="P380" s="187"/>
      <c r="Q380" s="187"/>
      <c r="R380" s="187"/>
      <c r="S380" s="187"/>
      <c r="T380" s="187"/>
      <c r="U380" s="187"/>
      <c r="V380" s="187"/>
      <c r="W380" s="187"/>
      <c r="X380" s="187"/>
      <c r="Y380" s="187"/>
      <c r="Z380" s="187"/>
      <c r="AA380" s="187"/>
      <c r="AB380" s="187"/>
      <c r="AC380" s="187"/>
      <c r="AD380" s="187"/>
      <c r="AE380" s="187"/>
      <c r="AF380" s="187"/>
      <c r="AG380" s="187"/>
      <c r="AH380" s="187"/>
      <c r="AI380" s="187"/>
    </row>
    <row r="381">
      <c r="A381" s="187"/>
      <c r="B381" s="187"/>
      <c r="C381" s="187"/>
      <c r="D381" s="187"/>
      <c r="E381" s="187"/>
      <c r="F381" s="187"/>
      <c r="G381" s="187"/>
      <c r="H381" s="187"/>
      <c r="I381" s="187"/>
      <c r="J381" s="187"/>
      <c r="K381" s="187"/>
      <c r="L381" s="187"/>
      <c r="M381" s="192"/>
      <c r="N381" s="187"/>
      <c r="O381" s="187"/>
      <c r="P381" s="187"/>
      <c r="Q381" s="187"/>
      <c r="R381" s="187"/>
      <c r="S381" s="187"/>
      <c r="T381" s="187"/>
      <c r="U381" s="187"/>
      <c r="V381" s="187"/>
      <c r="W381" s="187"/>
      <c r="X381" s="187"/>
      <c r="Y381" s="187"/>
      <c r="Z381" s="187"/>
      <c r="AA381" s="187"/>
      <c r="AB381" s="187"/>
      <c r="AC381" s="187"/>
      <c r="AD381" s="187"/>
      <c r="AE381" s="187"/>
      <c r="AF381" s="187"/>
      <c r="AG381" s="187"/>
      <c r="AH381" s="187"/>
      <c r="AI381" s="187"/>
    </row>
    <row r="382">
      <c r="A382" s="187"/>
      <c r="B382" s="187"/>
      <c r="C382" s="187"/>
      <c r="D382" s="187"/>
      <c r="E382" s="187"/>
      <c r="F382" s="187"/>
      <c r="G382" s="187"/>
      <c r="H382" s="187"/>
      <c r="I382" s="187"/>
      <c r="J382" s="187"/>
      <c r="K382" s="187"/>
      <c r="L382" s="187"/>
      <c r="M382" s="192"/>
      <c r="N382" s="187"/>
      <c r="O382" s="187"/>
      <c r="P382" s="187"/>
      <c r="Q382" s="187"/>
      <c r="R382" s="187"/>
      <c r="S382" s="187"/>
      <c r="T382" s="187"/>
      <c r="U382" s="187"/>
      <c r="V382" s="187"/>
      <c r="W382" s="187"/>
      <c r="X382" s="187"/>
      <c r="Y382" s="187"/>
      <c r="Z382" s="187"/>
      <c r="AA382" s="187"/>
      <c r="AB382" s="187"/>
      <c r="AC382" s="187"/>
      <c r="AD382" s="187"/>
      <c r="AE382" s="187"/>
      <c r="AF382" s="187"/>
      <c r="AG382" s="187"/>
      <c r="AH382" s="187"/>
      <c r="AI382" s="187"/>
    </row>
    <row r="383">
      <c r="A383" s="187"/>
      <c r="B383" s="187"/>
      <c r="C383" s="187"/>
      <c r="D383" s="187"/>
      <c r="E383" s="187"/>
      <c r="F383" s="187"/>
      <c r="G383" s="187"/>
      <c r="H383" s="187"/>
      <c r="I383" s="187"/>
      <c r="J383" s="187"/>
      <c r="K383" s="187"/>
      <c r="L383" s="187"/>
      <c r="M383" s="192"/>
      <c r="N383" s="187"/>
      <c r="O383" s="187"/>
      <c r="P383" s="187"/>
      <c r="Q383" s="187"/>
      <c r="R383" s="187"/>
      <c r="S383" s="187"/>
      <c r="T383" s="187"/>
      <c r="U383" s="187"/>
      <c r="V383" s="187"/>
      <c r="W383" s="187"/>
      <c r="X383" s="187"/>
      <c r="Y383" s="187"/>
      <c r="Z383" s="187"/>
      <c r="AA383" s="187"/>
      <c r="AB383" s="187"/>
      <c r="AC383" s="187"/>
      <c r="AD383" s="187"/>
      <c r="AE383" s="187"/>
      <c r="AF383" s="187"/>
      <c r="AG383" s="187"/>
      <c r="AH383" s="187"/>
      <c r="AI383" s="187"/>
    </row>
    <row r="384">
      <c r="A384" s="187"/>
      <c r="B384" s="187"/>
      <c r="C384" s="187"/>
      <c r="D384" s="187"/>
      <c r="E384" s="187"/>
      <c r="F384" s="187"/>
      <c r="G384" s="187"/>
      <c r="H384" s="187"/>
      <c r="I384" s="187"/>
      <c r="J384" s="187"/>
      <c r="K384" s="187"/>
      <c r="L384" s="187"/>
      <c r="M384" s="192"/>
      <c r="N384" s="187"/>
      <c r="O384" s="187"/>
      <c r="P384" s="187"/>
      <c r="Q384" s="187"/>
      <c r="R384" s="187"/>
      <c r="S384" s="187"/>
      <c r="T384" s="187"/>
      <c r="U384" s="187"/>
      <c r="V384" s="187"/>
      <c r="W384" s="187"/>
      <c r="X384" s="187"/>
      <c r="Y384" s="187"/>
      <c r="Z384" s="187"/>
      <c r="AA384" s="187"/>
      <c r="AB384" s="187"/>
      <c r="AC384" s="187"/>
      <c r="AD384" s="187"/>
      <c r="AE384" s="187"/>
      <c r="AF384" s="187"/>
      <c r="AG384" s="187"/>
      <c r="AH384" s="187"/>
      <c r="AI384" s="187"/>
    </row>
    <row r="385">
      <c r="A385" s="187"/>
      <c r="B385" s="187"/>
      <c r="C385" s="187"/>
      <c r="D385" s="187"/>
      <c r="E385" s="187"/>
      <c r="F385" s="187"/>
      <c r="G385" s="187"/>
      <c r="H385" s="187"/>
      <c r="I385" s="187"/>
      <c r="J385" s="187"/>
      <c r="K385" s="187"/>
      <c r="L385" s="187"/>
      <c r="M385" s="192"/>
      <c r="N385" s="187"/>
      <c r="O385" s="187"/>
      <c r="P385" s="187"/>
      <c r="Q385" s="187"/>
      <c r="R385" s="187"/>
      <c r="S385" s="187"/>
      <c r="T385" s="187"/>
      <c r="U385" s="187"/>
      <c r="V385" s="187"/>
      <c r="W385" s="187"/>
      <c r="X385" s="187"/>
      <c r="Y385" s="187"/>
      <c r="Z385" s="187"/>
      <c r="AA385" s="187"/>
      <c r="AB385" s="187"/>
      <c r="AC385" s="187"/>
      <c r="AD385" s="187"/>
      <c r="AE385" s="187"/>
      <c r="AF385" s="187"/>
      <c r="AG385" s="187"/>
      <c r="AH385" s="187"/>
      <c r="AI385" s="187"/>
    </row>
    <row r="386">
      <c r="A386" s="187"/>
      <c r="B386" s="187"/>
      <c r="C386" s="187"/>
      <c r="D386" s="187"/>
      <c r="E386" s="187"/>
      <c r="F386" s="187"/>
      <c r="G386" s="187"/>
      <c r="H386" s="187"/>
      <c r="I386" s="187"/>
      <c r="J386" s="187"/>
      <c r="K386" s="187"/>
      <c r="L386" s="187"/>
      <c r="M386" s="192"/>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row>
    <row r="387">
      <c r="A387" s="187"/>
      <c r="B387" s="187"/>
      <c r="C387" s="187"/>
      <c r="D387" s="187"/>
      <c r="E387" s="187"/>
      <c r="F387" s="187"/>
      <c r="G387" s="187"/>
      <c r="H387" s="187"/>
      <c r="I387" s="187"/>
      <c r="J387" s="187"/>
      <c r="K387" s="187"/>
      <c r="L387" s="187"/>
      <c r="M387" s="192"/>
      <c r="N387" s="187"/>
      <c r="O387" s="187"/>
      <c r="P387" s="187"/>
      <c r="Q387" s="187"/>
      <c r="R387" s="187"/>
      <c r="S387" s="187"/>
      <c r="T387" s="187"/>
      <c r="U387" s="187"/>
      <c r="V387" s="187"/>
      <c r="W387" s="187"/>
      <c r="X387" s="187"/>
      <c r="Y387" s="187"/>
      <c r="Z387" s="187"/>
      <c r="AA387" s="187"/>
      <c r="AB387" s="187"/>
      <c r="AC387" s="187"/>
      <c r="AD387" s="187"/>
      <c r="AE387" s="187"/>
      <c r="AF387" s="187"/>
      <c r="AG387" s="187"/>
      <c r="AH387" s="187"/>
      <c r="AI387" s="187"/>
    </row>
    <row r="388">
      <c r="A388" s="187"/>
      <c r="B388" s="187"/>
      <c r="C388" s="187"/>
      <c r="D388" s="187"/>
      <c r="E388" s="187"/>
      <c r="F388" s="187"/>
      <c r="G388" s="187"/>
      <c r="H388" s="187"/>
      <c r="I388" s="187"/>
      <c r="J388" s="187"/>
      <c r="K388" s="187"/>
      <c r="L388" s="187"/>
      <c r="M388" s="192"/>
      <c r="N388" s="187"/>
      <c r="O388" s="187"/>
      <c r="P388" s="187"/>
      <c r="Q388" s="187"/>
      <c r="R388" s="187"/>
      <c r="S388" s="187"/>
      <c r="T388" s="187"/>
      <c r="U388" s="187"/>
      <c r="V388" s="187"/>
      <c r="W388" s="187"/>
      <c r="X388" s="187"/>
      <c r="Y388" s="187"/>
      <c r="Z388" s="187"/>
      <c r="AA388" s="187"/>
      <c r="AB388" s="187"/>
      <c r="AC388" s="187"/>
      <c r="AD388" s="187"/>
      <c r="AE388" s="187"/>
      <c r="AF388" s="187"/>
      <c r="AG388" s="187"/>
      <c r="AH388" s="187"/>
      <c r="AI388" s="187"/>
    </row>
    <row r="389">
      <c r="A389" s="187"/>
      <c r="B389" s="187"/>
      <c r="C389" s="187"/>
      <c r="D389" s="187"/>
      <c r="E389" s="187"/>
      <c r="F389" s="187"/>
      <c r="G389" s="187"/>
      <c r="H389" s="187"/>
      <c r="I389" s="187"/>
      <c r="J389" s="187"/>
      <c r="K389" s="187"/>
      <c r="L389" s="187"/>
      <c r="M389" s="192"/>
      <c r="N389" s="187"/>
      <c r="O389" s="187"/>
      <c r="P389" s="187"/>
      <c r="Q389" s="187"/>
      <c r="R389" s="187"/>
      <c r="S389" s="187"/>
      <c r="T389" s="187"/>
      <c r="U389" s="187"/>
      <c r="V389" s="187"/>
      <c r="W389" s="187"/>
      <c r="X389" s="187"/>
      <c r="Y389" s="187"/>
      <c r="Z389" s="187"/>
      <c r="AA389" s="187"/>
      <c r="AB389" s="187"/>
      <c r="AC389" s="187"/>
      <c r="AD389" s="187"/>
      <c r="AE389" s="187"/>
      <c r="AF389" s="187"/>
      <c r="AG389" s="187"/>
      <c r="AH389" s="187"/>
      <c r="AI389" s="187"/>
    </row>
    <row r="390">
      <c r="A390" s="187"/>
      <c r="B390" s="187"/>
      <c r="C390" s="187"/>
      <c r="D390" s="187"/>
      <c r="E390" s="187"/>
      <c r="F390" s="187"/>
      <c r="G390" s="187"/>
      <c r="H390" s="187"/>
      <c r="I390" s="187"/>
      <c r="J390" s="187"/>
      <c r="K390" s="187"/>
      <c r="L390" s="187"/>
      <c r="M390" s="192"/>
      <c r="N390" s="187"/>
      <c r="O390" s="187"/>
      <c r="P390" s="187"/>
      <c r="Q390" s="187"/>
      <c r="R390" s="187"/>
      <c r="S390" s="187"/>
      <c r="T390" s="187"/>
      <c r="U390" s="187"/>
      <c r="V390" s="187"/>
      <c r="W390" s="187"/>
      <c r="X390" s="187"/>
      <c r="Y390" s="187"/>
      <c r="Z390" s="187"/>
      <c r="AA390" s="187"/>
      <c r="AB390" s="187"/>
      <c r="AC390" s="187"/>
      <c r="AD390" s="187"/>
      <c r="AE390" s="187"/>
      <c r="AF390" s="187"/>
      <c r="AG390" s="187"/>
      <c r="AH390" s="187"/>
      <c r="AI390" s="187"/>
    </row>
    <row r="391">
      <c r="A391" s="187"/>
      <c r="B391" s="187"/>
      <c r="C391" s="187"/>
      <c r="D391" s="187"/>
      <c r="E391" s="187"/>
      <c r="F391" s="187"/>
      <c r="G391" s="187"/>
      <c r="H391" s="187"/>
      <c r="I391" s="187"/>
      <c r="J391" s="187"/>
      <c r="K391" s="187"/>
      <c r="L391" s="187"/>
      <c r="M391" s="192"/>
      <c r="N391" s="187"/>
      <c r="O391" s="187"/>
      <c r="P391" s="187"/>
      <c r="Q391" s="187"/>
      <c r="R391" s="187"/>
      <c r="S391" s="187"/>
      <c r="T391" s="187"/>
      <c r="U391" s="187"/>
      <c r="V391" s="187"/>
      <c r="W391" s="187"/>
      <c r="X391" s="187"/>
      <c r="Y391" s="187"/>
      <c r="Z391" s="187"/>
      <c r="AA391" s="187"/>
      <c r="AB391" s="187"/>
      <c r="AC391" s="187"/>
      <c r="AD391" s="187"/>
      <c r="AE391" s="187"/>
      <c r="AF391" s="187"/>
      <c r="AG391" s="187"/>
      <c r="AH391" s="187"/>
      <c r="AI391" s="187"/>
    </row>
    <row r="392">
      <c r="A392" s="187"/>
      <c r="B392" s="187"/>
      <c r="C392" s="187"/>
      <c r="D392" s="187"/>
      <c r="E392" s="187"/>
      <c r="F392" s="187"/>
      <c r="G392" s="187"/>
      <c r="H392" s="187"/>
      <c r="I392" s="187"/>
      <c r="J392" s="187"/>
      <c r="K392" s="187"/>
      <c r="L392" s="187"/>
      <c r="M392" s="192"/>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row>
    <row r="393">
      <c r="A393" s="187"/>
      <c r="B393" s="187"/>
      <c r="C393" s="187"/>
      <c r="D393" s="187"/>
      <c r="E393" s="187"/>
      <c r="F393" s="187"/>
      <c r="G393" s="187"/>
      <c r="H393" s="187"/>
      <c r="I393" s="187"/>
      <c r="J393" s="187"/>
      <c r="K393" s="187"/>
      <c r="L393" s="187"/>
      <c r="M393" s="192"/>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row>
    <row r="394">
      <c r="A394" s="187"/>
      <c r="B394" s="187"/>
      <c r="C394" s="187"/>
      <c r="D394" s="187"/>
      <c r="E394" s="187"/>
      <c r="F394" s="187"/>
      <c r="G394" s="187"/>
      <c r="H394" s="187"/>
      <c r="I394" s="187"/>
      <c r="J394" s="187"/>
      <c r="K394" s="187"/>
      <c r="L394" s="187"/>
      <c r="M394" s="192"/>
      <c r="N394" s="187"/>
      <c r="O394" s="187"/>
      <c r="P394" s="187"/>
      <c r="Q394" s="187"/>
      <c r="R394" s="187"/>
      <c r="S394" s="187"/>
      <c r="T394" s="187"/>
      <c r="U394" s="187"/>
      <c r="V394" s="187"/>
      <c r="W394" s="187"/>
      <c r="X394" s="187"/>
      <c r="Y394" s="187"/>
      <c r="Z394" s="187"/>
      <c r="AA394" s="187"/>
      <c r="AB394" s="187"/>
      <c r="AC394" s="187"/>
      <c r="AD394" s="187"/>
      <c r="AE394" s="187"/>
      <c r="AF394" s="187"/>
      <c r="AG394" s="187"/>
      <c r="AH394" s="187"/>
      <c r="AI394" s="187"/>
    </row>
    <row r="395">
      <c r="A395" s="187"/>
      <c r="B395" s="187"/>
      <c r="C395" s="187"/>
      <c r="D395" s="187"/>
      <c r="E395" s="187"/>
      <c r="F395" s="187"/>
      <c r="G395" s="187"/>
      <c r="H395" s="187"/>
      <c r="I395" s="187"/>
      <c r="J395" s="187"/>
      <c r="K395" s="187"/>
      <c r="L395" s="187"/>
      <c r="M395" s="192"/>
      <c r="N395" s="187"/>
      <c r="O395" s="187"/>
      <c r="P395" s="187"/>
      <c r="Q395" s="187"/>
      <c r="R395" s="187"/>
      <c r="S395" s="187"/>
      <c r="T395" s="187"/>
      <c r="U395" s="187"/>
      <c r="V395" s="187"/>
      <c r="W395" s="187"/>
      <c r="X395" s="187"/>
      <c r="Y395" s="187"/>
      <c r="Z395" s="187"/>
      <c r="AA395" s="187"/>
      <c r="AB395" s="187"/>
      <c r="AC395" s="187"/>
      <c r="AD395" s="187"/>
      <c r="AE395" s="187"/>
      <c r="AF395" s="187"/>
      <c r="AG395" s="187"/>
      <c r="AH395" s="187"/>
      <c r="AI395" s="187"/>
    </row>
    <row r="396">
      <c r="A396" s="187"/>
      <c r="B396" s="187"/>
      <c r="C396" s="187"/>
      <c r="D396" s="187"/>
      <c r="E396" s="187"/>
      <c r="F396" s="187"/>
      <c r="G396" s="187"/>
      <c r="H396" s="187"/>
      <c r="I396" s="187"/>
      <c r="J396" s="187"/>
      <c r="K396" s="187"/>
      <c r="L396" s="187"/>
      <c r="M396" s="192"/>
      <c r="N396" s="187"/>
      <c r="O396" s="187"/>
      <c r="P396" s="187"/>
      <c r="Q396" s="187"/>
      <c r="R396" s="187"/>
      <c r="S396" s="187"/>
      <c r="T396" s="187"/>
      <c r="U396" s="187"/>
      <c r="V396" s="187"/>
      <c r="W396" s="187"/>
      <c r="X396" s="187"/>
      <c r="Y396" s="187"/>
      <c r="Z396" s="187"/>
      <c r="AA396" s="187"/>
      <c r="AB396" s="187"/>
      <c r="AC396" s="187"/>
      <c r="AD396" s="187"/>
      <c r="AE396" s="187"/>
      <c r="AF396" s="187"/>
      <c r="AG396" s="187"/>
      <c r="AH396" s="187"/>
      <c r="AI396" s="187"/>
    </row>
    <row r="397">
      <c r="A397" s="187"/>
      <c r="B397" s="187"/>
      <c r="C397" s="187"/>
      <c r="D397" s="187"/>
      <c r="E397" s="187"/>
      <c r="F397" s="187"/>
      <c r="G397" s="187"/>
      <c r="H397" s="187"/>
      <c r="I397" s="187"/>
      <c r="J397" s="187"/>
      <c r="K397" s="187"/>
      <c r="L397" s="187"/>
      <c r="M397" s="192"/>
      <c r="N397" s="187"/>
      <c r="O397" s="187"/>
      <c r="P397" s="187"/>
      <c r="Q397" s="187"/>
      <c r="R397" s="187"/>
      <c r="S397" s="187"/>
      <c r="T397" s="187"/>
      <c r="U397" s="187"/>
      <c r="V397" s="187"/>
      <c r="W397" s="187"/>
      <c r="X397" s="187"/>
      <c r="Y397" s="187"/>
      <c r="Z397" s="187"/>
      <c r="AA397" s="187"/>
      <c r="AB397" s="187"/>
      <c r="AC397" s="187"/>
      <c r="AD397" s="187"/>
      <c r="AE397" s="187"/>
      <c r="AF397" s="187"/>
      <c r="AG397" s="187"/>
      <c r="AH397" s="187"/>
      <c r="AI397" s="187"/>
    </row>
    <row r="398">
      <c r="A398" s="187"/>
      <c r="B398" s="187"/>
      <c r="C398" s="187"/>
      <c r="D398" s="187"/>
      <c r="E398" s="187"/>
      <c r="F398" s="187"/>
      <c r="G398" s="187"/>
      <c r="H398" s="187"/>
      <c r="I398" s="187"/>
      <c r="J398" s="187"/>
      <c r="K398" s="187"/>
      <c r="L398" s="187"/>
      <c r="M398" s="192"/>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row>
    <row r="399">
      <c r="A399" s="187"/>
      <c r="B399" s="187"/>
      <c r="C399" s="187"/>
      <c r="D399" s="187"/>
      <c r="E399" s="187"/>
      <c r="F399" s="187"/>
      <c r="G399" s="187"/>
      <c r="H399" s="187"/>
      <c r="I399" s="187"/>
      <c r="J399" s="187"/>
      <c r="K399" s="187"/>
      <c r="L399" s="187"/>
      <c r="M399" s="192"/>
      <c r="N399" s="187"/>
      <c r="O399" s="187"/>
      <c r="P399" s="187"/>
      <c r="Q399" s="187"/>
      <c r="R399" s="187"/>
      <c r="S399" s="187"/>
      <c r="T399" s="187"/>
      <c r="U399" s="187"/>
      <c r="V399" s="187"/>
      <c r="W399" s="187"/>
      <c r="X399" s="187"/>
      <c r="Y399" s="187"/>
      <c r="Z399" s="187"/>
      <c r="AA399" s="187"/>
      <c r="AB399" s="187"/>
      <c r="AC399" s="187"/>
      <c r="AD399" s="187"/>
      <c r="AE399" s="187"/>
      <c r="AF399" s="187"/>
      <c r="AG399" s="187"/>
      <c r="AH399" s="187"/>
      <c r="AI399" s="187"/>
    </row>
    <row r="400">
      <c r="A400" s="187"/>
      <c r="B400" s="187"/>
      <c r="C400" s="187"/>
      <c r="D400" s="187"/>
      <c r="E400" s="187"/>
      <c r="F400" s="187"/>
      <c r="G400" s="187"/>
      <c r="H400" s="187"/>
      <c r="I400" s="187"/>
      <c r="J400" s="187"/>
      <c r="K400" s="187"/>
      <c r="L400" s="187"/>
      <c r="M400" s="192"/>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row>
    <row r="401">
      <c r="A401" s="187"/>
      <c r="B401" s="187"/>
      <c r="C401" s="187"/>
      <c r="D401" s="187"/>
      <c r="E401" s="187"/>
      <c r="F401" s="187"/>
      <c r="G401" s="187"/>
      <c r="H401" s="187"/>
      <c r="I401" s="187"/>
      <c r="J401" s="187"/>
      <c r="K401" s="187"/>
      <c r="L401" s="187"/>
      <c r="M401" s="192"/>
      <c r="N401" s="187"/>
      <c r="O401" s="187"/>
      <c r="P401" s="187"/>
      <c r="Q401" s="187"/>
      <c r="R401" s="187"/>
      <c r="S401" s="187"/>
      <c r="T401" s="187"/>
      <c r="U401" s="187"/>
      <c r="V401" s="187"/>
      <c r="W401" s="187"/>
      <c r="X401" s="187"/>
      <c r="Y401" s="187"/>
      <c r="Z401" s="187"/>
      <c r="AA401" s="187"/>
      <c r="AB401" s="187"/>
      <c r="AC401" s="187"/>
      <c r="AD401" s="187"/>
      <c r="AE401" s="187"/>
      <c r="AF401" s="187"/>
      <c r="AG401" s="187"/>
      <c r="AH401" s="187"/>
      <c r="AI401" s="187"/>
    </row>
    <row r="402">
      <c r="A402" s="187"/>
      <c r="B402" s="187"/>
      <c r="C402" s="187"/>
      <c r="D402" s="187"/>
      <c r="E402" s="187"/>
      <c r="F402" s="187"/>
      <c r="G402" s="187"/>
      <c r="H402" s="187"/>
      <c r="I402" s="187"/>
      <c r="J402" s="187"/>
      <c r="K402" s="187"/>
      <c r="L402" s="187"/>
      <c r="M402" s="192"/>
      <c r="N402" s="187"/>
      <c r="O402" s="187"/>
      <c r="P402" s="187"/>
      <c r="Q402" s="187"/>
      <c r="R402" s="187"/>
      <c r="S402" s="187"/>
      <c r="T402" s="187"/>
      <c r="U402" s="187"/>
      <c r="V402" s="187"/>
      <c r="W402" s="187"/>
      <c r="X402" s="187"/>
      <c r="Y402" s="187"/>
      <c r="Z402" s="187"/>
      <c r="AA402" s="187"/>
      <c r="AB402" s="187"/>
      <c r="AC402" s="187"/>
      <c r="AD402" s="187"/>
      <c r="AE402" s="187"/>
      <c r="AF402" s="187"/>
      <c r="AG402" s="187"/>
      <c r="AH402" s="187"/>
      <c r="AI402" s="187"/>
    </row>
    <row r="403">
      <c r="A403" s="187"/>
      <c r="B403" s="187"/>
      <c r="C403" s="187"/>
      <c r="D403" s="187"/>
      <c r="E403" s="187"/>
      <c r="F403" s="187"/>
      <c r="G403" s="187"/>
      <c r="H403" s="187"/>
      <c r="I403" s="187"/>
      <c r="J403" s="187"/>
      <c r="K403" s="187"/>
      <c r="L403" s="187"/>
      <c r="M403" s="192"/>
      <c r="N403" s="187"/>
      <c r="O403" s="187"/>
      <c r="P403" s="187"/>
      <c r="Q403" s="187"/>
      <c r="R403" s="187"/>
      <c r="S403" s="187"/>
      <c r="T403" s="187"/>
      <c r="U403" s="187"/>
      <c r="V403" s="187"/>
      <c r="W403" s="187"/>
      <c r="X403" s="187"/>
      <c r="Y403" s="187"/>
      <c r="Z403" s="187"/>
      <c r="AA403" s="187"/>
      <c r="AB403" s="187"/>
      <c r="AC403" s="187"/>
      <c r="AD403" s="187"/>
      <c r="AE403" s="187"/>
      <c r="AF403" s="187"/>
      <c r="AG403" s="187"/>
      <c r="AH403" s="187"/>
      <c r="AI403" s="187"/>
    </row>
    <row r="404">
      <c r="A404" s="187"/>
      <c r="B404" s="187"/>
      <c r="C404" s="187"/>
      <c r="D404" s="187"/>
      <c r="E404" s="187"/>
      <c r="F404" s="187"/>
      <c r="G404" s="187"/>
      <c r="H404" s="187"/>
      <c r="I404" s="187"/>
      <c r="J404" s="187"/>
      <c r="K404" s="187"/>
      <c r="L404" s="187"/>
      <c r="M404" s="192"/>
      <c r="N404" s="187"/>
      <c r="O404" s="187"/>
      <c r="P404" s="187"/>
      <c r="Q404" s="187"/>
      <c r="R404" s="187"/>
      <c r="S404" s="187"/>
      <c r="T404" s="187"/>
      <c r="U404" s="187"/>
      <c r="V404" s="187"/>
      <c r="W404" s="187"/>
      <c r="X404" s="187"/>
      <c r="Y404" s="187"/>
      <c r="Z404" s="187"/>
      <c r="AA404" s="187"/>
      <c r="AB404" s="187"/>
      <c r="AC404" s="187"/>
      <c r="AD404" s="187"/>
      <c r="AE404" s="187"/>
      <c r="AF404" s="187"/>
      <c r="AG404" s="187"/>
      <c r="AH404" s="187"/>
      <c r="AI404" s="187"/>
    </row>
    <row r="405">
      <c r="A405" s="187"/>
      <c r="B405" s="187"/>
      <c r="C405" s="187"/>
      <c r="D405" s="187"/>
      <c r="E405" s="187"/>
      <c r="F405" s="187"/>
      <c r="G405" s="187"/>
      <c r="H405" s="187"/>
      <c r="I405" s="187"/>
      <c r="J405" s="187"/>
      <c r="K405" s="187"/>
      <c r="L405" s="187"/>
      <c r="M405" s="192"/>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row>
    <row r="406">
      <c r="A406" s="187"/>
      <c r="B406" s="187"/>
      <c r="C406" s="187"/>
      <c r="D406" s="187"/>
      <c r="E406" s="187"/>
      <c r="F406" s="187"/>
      <c r="G406" s="187"/>
      <c r="H406" s="187"/>
      <c r="I406" s="187"/>
      <c r="J406" s="187"/>
      <c r="K406" s="187"/>
      <c r="L406" s="187"/>
      <c r="M406" s="192"/>
      <c r="N406" s="187"/>
      <c r="O406" s="187"/>
      <c r="P406" s="187"/>
      <c r="Q406" s="187"/>
      <c r="R406" s="187"/>
      <c r="S406" s="187"/>
      <c r="T406" s="187"/>
      <c r="U406" s="187"/>
      <c r="V406" s="187"/>
      <c r="W406" s="187"/>
      <c r="X406" s="187"/>
      <c r="Y406" s="187"/>
      <c r="Z406" s="187"/>
      <c r="AA406" s="187"/>
      <c r="AB406" s="187"/>
      <c r="AC406" s="187"/>
      <c r="AD406" s="187"/>
      <c r="AE406" s="187"/>
      <c r="AF406" s="187"/>
      <c r="AG406" s="187"/>
      <c r="AH406" s="187"/>
      <c r="AI406" s="187"/>
    </row>
    <row r="407">
      <c r="A407" s="187"/>
      <c r="B407" s="187"/>
      <c r="C407" s="187"/>
      <c r="D407" s="187"/>
      <c r="E407" s="187"/>
      <c r="F407" s="187"/>
      <c r="G407" s="187"/>
      <c r="H407" s="187"/>
      <c r="I407" s="187"/>
      <c r="J407" s="187"/>
      <c r="K407" s="187"/>
      <c r="L407" s="187"/>
      <c r="M407" s="192"/>
      <c r="N407" s="187"/>
      <c r="O407" s="187"/>
      <c r="P407" s="187"/>
      <c r="Q407" s="187"/>
      <c r="R407" s="187"/>
      <c r="S407" s="187"/>
      <c r="T407" s="187"/>
      <c r="U407" s="187"/>
      <c r="V407" s="187"/>
      <c r="W407" s="187"/>
      <c r="X407" s="187"/>
      <c r="Y407" s="187"/>
      <c r="Z407" s="187"/>
      <c r="AA407" s="187"/>
      <c r="AB407" s="187"/>
      <c r="AC407" s="187"/>
      <c r="AD407" s="187"/>
      <c r="AE407" s="187"/>
      <c r="AF407" s="187"/>
      <c r="AG407" s="187"/>
      <c r="AH407" s="187"/>
      <c r="AI407" s="187"/>
    </row>
    <row r="408">
      <c r="A408" s="187"/>
      <c r="B408" s="187"/>
      <c r="C408" s="187"/>
      <c r="D408" s="187"/>
      <c r="E408" s="187"/>
      <c r="F408" s="187"/>
      <c r="G408" s="187"/>
      <c r="H408" s="187"/>
      <c r="I408" s="187"/>
      <c r="J408" s="187"/>
      <c r="K408" s="187"/>
      <c r="L408" s="187"/>
      <c r="M408" s="192"/>
      <c r="N408" s="187"/>
      <c r="O408" s="187"/>
      <c r="P408" s="187"/>
      <c r="Q408" s="187"/>
      <c r="R408" s="187"/>
      <c r="S408" s="187"/>
      <c r="T408" s="187"/>
      <c r="U408" s="187"/>
      <c r="V408" s="187"/>
      <c r="W408" s="187"/>
      <c r="X408" s="187"/>
      <c r="Y408" s="187"/>
      <c r="Z408" s="187"/>
      <c r="AA408" s="187"/>
      <c r="AB408" s="187"/>
      <c r="AC408" s="187"/>
      <c r="AD408" s="187"/>
      <c r="AE408" s="187"/>
      <c r="AF408" s="187"/>
      <c r="AG408" s="187"/>
      <c r="AH408" s="187"/>
      <c r="AI408" s="187"/>
    </row>
    <row r="409">
      <c r="A409" s="187"/>
      <c r="B409" s="187"/>
      <c r="C409" s="187"/>
      <c r="D409" s="187"/>
      <c r="E409" s="187"/>
      <c r="F409" s="187"/>
      <c r="G409" s="187"/>
      <c r="H409" s="187"/>
      <c r="I409" s="187"/>
      <c r="J409" s="187"/>
      <c r="K409" s="187"/>
      <c r="L409" s="187"/>
      <c r="M409" s="192"/>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7"/>
      <c r="AI409" s="187"/>
    </row>
    <row r="410">
      <c r="A410" s="187"/>
      <c r="B410" s="187"/>
      <c r="C410" s="187"/>
      <c r="D410" s="187"/>
      <c r="E410" s="187"/>
      <c r="F410" s="187"/>
      <c r="G410" s="187"/>
      <c r="H410" s="187"/>
      <c r="I410" s="187"/>
      <c r="J410" s="187"/>
      <c r="K410" s="187"/>
      <c r="L410" s="187"/>
      <c r="M410" s="192"/>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row>
    <row r="411">
      <c r="A411" s="187"/>
      <c r="B411" s="187"/>
      <c r="C411" s="187"/>
      <c r="D411" s="187"/>
      <c r="E411" s="187"/>
      <c r="F411" s="187"/>
      <c r="G411" s="187"/>
      <c r="H411" s="187"/>
      <c r="I411" s="187"/>
      <c r="J411" s="187"/>
      <c r="K411" s="187"/>
      <c r="L411" s="187"/>
      <c r="M411" s="192"/>
      <c r="N411" s="187"/>
      <c r="O411" s="187"/>
      <c r="P411" s="187"/>
      <c r="Q411" s="187"/>
      <c r="R411" s="187"/>
      <c r="S411" s="187"/>
      <c r="T411" s="187"/>
      <c r="U411" s="187"/>
      <c r="V411" s="187"/>
      <c r="W411" s="187"/>
      <c r="X411" s="187"/>
      <c r="Y411" s="187"/>
      <c r="Z411" s="187"/>
      <c r="AA411" s="187"/>
      <c r="AB411" s="187"/>
      <c r="AC411" s="187"/>
      <c r="AD411" s="187"/>
      <c r="AE411" s="187"/>
      <c r="AF411" s="187"/>
      <c r="AG411" s="187"/>
      <c r="AH411" s="187"/>
      <c r="AI411" s="187"/>
    </row>
    <row r="412">
      <c r="A412" s="187"/>
      <c r="B412" s="187"/>
      <c r="C412" s="187"/>
      <c r="D412" s="187"/>
      <c r="E412" s="187"/>
      <c r="F412" s="187"/>
      <c r="G412" s="187"/>
      <c r="H412" s="187"/>
      <c r="I412" s="187"/>
      <c r="J412" s="187"/>
      <c r="K412" s="187"/>
      <c r="L412" s="187"/>
      <c r="M412" s="192"/>
      <c r="N412" s="187"/>
      <c r="O412" s="187"/>
      <c r="P412" s="187"/>
      <c r="Q412" s="187"/>
      <c r="R412" s="187"/>
      <c r="S412" s="187"/>
      <c r="T412" s="187"/>
      <c r="U412" s="187"/>
      <c r="V412" s="187"/>
      <c r="W412" s="187"/>
      <c r="X412" s="187"/>
      <c r="Y412" s="187"/>
      <c r="Z412" s="187"/>
      <c r="AA412" s="187"/>
      <c r="AB412" s="187"/>
      <c r="AC412" s="187"/>
      <c r="AD412" s="187"/>
      <c r="AE412" s="187"/>
      <c r="AF412" s="187"/>
      <c r="AG412" s="187"/>
      <c r="AH412" s="187"/>
      <c r="AI412" s="187"/>
    </row>
    <row r="413">
      <c r="A413" s="187"/>
      <c r="B413" s="187"/>
      <c r="C413" s="187"/>
      <c r="D413" s="187"/>
      <c r="E413" s="187"/>
      <c r="F413" s="187"/>
      <c r="G413" s="187"/>
      <c r="H413" s="187"/>
      <c r="I413" s="187"/>
      <c r="J413" s="187"/>
      <c r="K413" s="187"/>
      <c r="L413" s="187"/>
      <c r="M413" s="192"/>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row>
    <row r="414">
      <c r="A414" s="187"/>
      <c r="B414" s="187"/>
      <c r="C414" s="187"/>
      <c r="D414" s="187"/>
      <c r="E414" s="187"/>
      <c r="F414" s="187"/>
      <c r="G414" s="187"/>
      <c r="H414" s="187"/>
      <c r="I414" s="187"/>
      <c r="J414" s="187"/>
      <c r="K414" s="187"/>
      <c r="L414" s="187"/>
      <c r="M414" s="192"/>
      <c r="N414" s="187"/>
      <c r="O414" s="187"/>
      <c r="P414" s="187"/>
      <c r="Q414" s="187"/>
      <c r="R414" s="187"/>
      <c r="S414" s="187"/>
      <c r="T414" s="187"/>
      <c r="U414" s="187"/>
      <c r="V414" s="187"/>
      <c r="W414" s="187"/>
      <c r="X414" s="187"/>
      <c r="Y414" s="187"/>
      <c r="Z414" s="187"/>
      <c r="AA414" s="187"/>
      <c r="AB414" s="187"/>
      <c r="AC414" s="187"/>
      <c r="AD414" s="187"/>
      <c r="AE414" s="187"/>
      <c r="AF414" s="187"/>
      <c r="AG414" s="187"/>
      <c r="AH414" s="187"/>
      <c r="AI414" s="187"/>
    </row>
    <row r="415">
      <c r="A415" s="187"/>
      <c r="B415" s="187"/>
      <c r="C415" s="187"/>
      <c r="D415" s="187"/>
      <c r="E415" s="187"/>
      <c r="F415" s="187"/>
      <c r="G415" s="187"/>
      <c r="H415" s="187"/>
      <c r="I415" s="187"/>
      <c r="J415" s="187"/>
      <c r="K415" s="187"/>
      <c r="L415" s="187"/>
      <c r="M415" s="192"/>
      <c r="N415" s="187"/>
      <c r="O415" s="187"/>
      <c r="P415" s="187"/>
      <c r="Q415" s="187"/>
      <c r="R415" s="187"/>
      <c r="S415" s="187"/>
      <c r="T415" s="187"/>
      <c r="U415" s="187"/>
      <c r="V415" s="187"/>
      <c r="W415" s="187"/>
      <c r="X415" s="187"/>
      <c r="Y415" s="187"/>
      <c r="Z415" s="187"/>
      <c r="AA415" s="187"/>
      <c r="AB415" s="187"/>
      <c r="AC415" s="187"/>
      <c r="AD415" s="187"/>
      <c r="AE415" s="187"/>
      <c r="AF415" s="187"/>
      <c r="AG415" s="187"/>
      <c r="AH415" s="187"/>
      <c r="AI415" s="187"/>
    </row>
    <row r="416">
      <c r="A416" s="187"/>
      <c r="B416" s="187"/>
      <c r="C416" s="187"/>
      <c r="D416" s="187"/>
      <c r="E416" s="187"/>
      <c r="F416" s="187"/>
      <c r="G416" s="187"/>
      <c r="H416" s="187"/>
      <c r="I416" s="187"/>
      <c r="J416" s="187"/>
      <c r="K416" s="187"/>
      <c r="L416" s="187"/>
      <c r="M416" s="192"/>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row>
    <row r="417">
      <c r="A417" s="187"/>
      <c r="B417" s="187"/>
      <c r="C417" s="187"/>
      <c r="D417" s="187"/>
      <c r="E417" s="187"/>
      <c r="F417" s="187"/>
      <c r="G417" s="187"/>
      <c r="H417" s="187"/>
      <c r="I417" s="187"/>
      <c r="J417" s="187"/>
      <c r="K417" s="187"/>
      <c r="L417" s="187"/>
      <c r="M417" s="192"/>
      <c r="N417" s="187"/>
      <c r="O417" s="187"/>
      <c r="P417" s="187"/>
      <c r="Q417" s="187"/>
      <c r="R417" s="187"/>
      <c r="S417" s="187"/>
      <c r="T417" s="187"/>
      <c r="U417" s="187"/>
      <c r="V417" s="187"/>
      <c r="W417" s="187"/>
      <c r="X417" s="187"/>
      <c r="Y417" s="187"/>
      <c r="Z417" s="187"/>
      <c r="AA417" s="187"/>
      <c r="AB417" s="187"/>
      <c r="AC417" s="187"/>
      <c r="AD417" s="187"/>
      <c r="AE417" s="187"/>
      <c r="AF417" s="187"/>
      <c r="AG417" s="187"/>
      <c r="AH417" s="187"/>
      <c r="AI417" s="187"/>
    </row>
    <row r="418">
      <c r="A418" s="187"/>
      <c r="B418" s="187"/>
      <c r="C418" s="187"/>
      <c r="D418" s="187"/>
      <c r="E418" s="187"/>
      <c r="F418" s="187"/>
      <c r="G418" s="187"/>
      <c r="H418" s="187"/>
      <c r="I418" s="187"/>
      <c r="J418" s="187"/>
      <c r="K418" s="187"/>
      <c r="L418" s="187"/>
      <c r="M418" s="192"/>
      <c r="N418" s="187"/>
      <c r="O418" s="187"/>
      <c r="P418" s="187"/>
      <c r="Q418" s="187"/>
      <c r="R418" s="187"/>
      <c r="S418" s="187"/>
      <c r="T418" s="187"/>
      <c r="U418" s="187"/>
      <c r="V418" s="187"/>
      <c r="W418" s="187"/>
      <c r="X418" s="187"/>
      <c r="Y418" s="187"/>
      <c r="Z418" s="187"/>
      <c r="AA418" s="187"/>
      <c r="AB418" s="187"/>
      <c r="AC418" s="187"/>
      <c r="AD418" s="187"/>
      <c r="AE418" s="187"/>
      <c r="AF418" s="187"/>
      <c r="AG418" s="187"/>
      <c r="AH418" s="187"/>
      <c r="AI418" s="187"/>
    </row>
    <row r="419">
      <c r="A419" s="187"/>
      <c r="B419" s="187"/>
      <c r="C419" s="187"/>
      <c r="D419" s="187"/>
      <c r="E419" s="187"/>
      <c r="F419" s="187"/>
      <c r="G419" s="187"/>
      <c r="H419" s="187"/>
      <c r="I419" s="187"/>
      <c r="J419" s="187"/>
      <c r="K419" s="187"/>
      <c r="L419" s="187"/>
      <c r="M419" s="192"/>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row>
    <row r="420">
      <c r="A420" s="187"/>
      <c r="B420" s="187"/>
      <c r="C420" s="187"/>
      <c r="D420" s="187"/>
      <c r="E420" s="187"/>
      <c r="F420" s="187"/>
      <c r="G420" s="187"/>
      <c r="H420" s="187"/>
      <c r="I420" s="187"/>
      <c r="J420" s="187"/>
      <c r="K420" s="187"/>
      <c r="L420" s="187"/>
      <c r="M420" s="192"/>
      <c r="N420" s="187"/>
      <c r="O420" s="187"/>
      <c r="P420" s="187"/>
      <c r="Q420" s="187"/>
      <c r="R420" s="187"/>
      <c r="S420" s="187"/>
      <c r="T420" s="187"/>
      <c r="U420" s="187"/>
      <c r="V420" s="187"/>
      <c r="W420" s="187"/>
      <c r="X420" s="187"/>
      <c r="Y420" s="187"/>
      <c r="Z420" s="187"/>
      <c r="AA420" s="187"/>
      <c r="AB420" s="187"/>
      <c r="AC420" s="187"/>
      <c r="AD420" s="187"/>
      <c r="AE420" s="187"/>
      <c r="AF420" s="187"/>
      <c r="AG420" s="187"/>
      <c r="AH420" s="187"/>
      <c r="AI420" s="187"/>
    </row>
    <row r="421">
      <c r="A421" s="187"/>
      <c r="B421" s="187"/>
      <c r="C421" s="187"/>
      <c r="D421" s="187"/>
      <c r="E421" s="187"/>
      <c r="F421" s="187"/>
      <c r="G421" s="187"/>
      <c r="H421" s="187"/>
      <c r="I421" s="187"/>
      <c r="J421" s="187"/>
      <c r="K421" s="187"/>
      <c r="L421" s="187"/>
      <c r="M421" s="192"/>
      <c r="N421" s="187"/>
      <c r="O421" s="187"/>
      <c r="P421" s="187"/>
      <c r="Q421" s="187"/>
      <c r="R421" s="187"/>
      <c r="S421" s="187"/>
      <c r="T421" s="187"/>
      <c r="U421" s="187"/>
      <c r="V421" s="187"/>
      <c r="W421" s="187"/>
      <c r="X421" s="187"/>
      <c r="Y421" s="187"/>
      <c r="Z421" s="187"/>
      <c r="AA421" s="187"/>
      <c r="AB421" s="187"/>
      <c r="AC421" s="187"/>
      <c r="AD421" s="187"/>
      <c r="AE421" s="187"/>
      <c r="AF421" s="187"/>
      <c r="AG421" s="187"/>
      <c r="AH421" s="187"/>
      <c r="AI421" s="187"/>
    </row>
    <row r="422">
      <c r="A422" s="187"/>
      <c r="B422" s="187"/>
      <c r="C422" s="187"/>
      <c r="D422" s="187"/>
      <c r="E422" s="187"/>
      <c r="F422" s="187"/>
      <c r="G422" s="187"/>
      <c r="H422" s="187"/>
      <c r="I422" s="187"/>
      <c r="J422" s="187"/>
      <c r="K422" s="187"/>
      <c r="L422" s="187"/>
      <c r="M422" s="192"/>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row>
    <row r="423">
      <c r="A423" s="187"/>
      <c r="B423" s="187"/>
      <c r="C423" s="187"/>
      <c r="D423" s="187"/>
      <c r="E423" s="187"/>
      <c r="F423" s="187"/>
      <c r="G423" s="187"/>
      <c r="H423" s="187"/>
      <c r="I423" s="187"/>
      <c r="J423" s="187"/>
      <c r="K423" s="187"/>
      <c r="L423" s="187"/>
      <c r="M423" s="192"/>
      <c r="N423" s="187"/>
      <c r="O423" s="187"/>
      <c r="P423" s="187"/>
      <c r="Q423" s="187"/>
      <c r="R423" s="187"/>
      <c r="S423" s="187"/>
      <c r="T423" s="187"/>
      <c r="U423" s="187"/>
      <c r="V423" s="187"/>
      <c r="W423" s="187"/>
      <c r="X423" s="187"/>
      <c r="Y423" s="187"/>
      <c r="Z423" s="187"/>
      <c r="AA423" s="187"/>
      <c r="AB423" s="187"/>
      <c r="AC423" s="187"/>
      <c r="AD423" s="187"/>
      <c r="AE423" s="187"/>
      <c r="AF423" s="187"/>
      <c r="AG423" s="187"/>
      <c r="AH423" s="187"/>
      <c r="AI423" s="187"/>
    </row>
    <row r="424">
      <c r="A424" s="187"/>
      <c r="B424" s="187"/>
      <c r="C424" s="187"/>
      <c r="D424" s="187"/>
      <c r="E424" s="187"/>
      <c r="F424" s="187"/>
      <c r="G424" s="187"/>
      <c r="H424" s="187"/>
      <c r="I424" s="187"/>
      <c r="J424" s="187"/>
      <c r="K424" s="187"/>
      <c r="L424" s="187"/>
      <c r="M424" s="192"/>
      <c r="N424" s="187"/>
      <c r="O424" s="187"/>
      <c r="P424" s="187"/>
      <c r="Q424" s="187"/>
      <c r="R424" s="187"/>
      <c r="S424" s="187"/>
      <c r="T424" s="187"/>
      <c r="U424" s="187"/>
      <c r="V424" s="187"/>
      <c r="W424" s="187"/>
      <c r="X424" s="187"/>
      <c r="Y424" s="187"/>
      <c r="Z424" s="187"/>
      <c r="AA424" s="187"/>
      <c r="AB424" s="187"/>
      <c r="AC424" s="187"/>
      <c r="AD424" s="187"/>
      <c r="AE424" s="187"/>
      <c r="AF424" s="187"/>
      <c r="AG424" s="187"/>
      <c r="AH424" s="187"/>
      <c r="AI424" s="187"/>
    </row>
    <row r="425">
      <c r="A425" s="187"/>
      <c r="B425" s="187"/>
      <c r="C425" s="187"/>
      <c r="D425" s="187"/>
      <c r="E425" s="187"/>
      <c r="F425" s="187"/>
      <c r="G425" s="187"/>
      <c r="H425" s="187"/>
      <c r="I425" s="187"/>
      <c r="J425" s="187"/>
      <c r="K425" s="187"/>
      <c r="L425" s="187"/>
      <c r="M425" s="192"/>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row>
    <row r="426">
      <c r="A426" s="187"/>
      <c r="B426" s="187"/>
      <c r="C426" s="187"/>
      <c r="D426" s="187"/>
      <c r="E426" s="187"/>
      <c r="F426" s="187"/>
      <c r="G426" s="187"/>
      <c r="H426" s="187"/>
      <c r="I426" s="187"/>
      <c r="J426" s="187"/>
      <c r="K426" s="187"/>
      <c r="L426" s="187"/>
      <c r="M426" s="192"/>
      <c r="N426" s="187"/>
      <c r="O426" s="187"/>
      <c r="P426" s="187"/>
      <c r="Q426" s="187"/>
      <c r="R426" s="187"/>
      <c r="S426" s="187"/>
      <c r="T426" s="187"/>
      <c r="U426" s="187"/>
      <c r="V426" s="187"/>
      <c r="W426" s="187"/>
      <c r="X426" s="187"/>
      <c r="Y426" s="187"/>
      <c r="Z426" s="187"/>
      <c r="AA426" s="187"/>
      <c r="AB426" s="187"/>
      <c r="AC426" s="187"/>
      <c r="AD426" s="187"/>
      <c r="AE426" s="187"/>
      <c r="AF426" s="187"/>
      <c r="AG426" s="187"/>
      <c r="AH426" s="187"/>
      <c r="AI426" s="187"/>
    </row>
    <row r="427">
      <c r="A427" s="187"/>
      <c r="B427" s="187"/>
      <c r="C427" s="187"/>
      <c r="D427" s="187"/>
      <c r="E427" s="187"/>
      <c r="F427" s="187"/>
      <c r="G427" s="187"/>
      <c r="H427" s="187"/>
      <c r="I427" s="187"/>
      <c r="J427" s="187"/>
      <c r="K427" s="187"/>
      <c r="L427" s="187"/>
      <c r="M427" s="192"/>
      <c r="N427" s="187"/>
      <c r="O427" s="187"/>
      <c r="P427" s="187"/>
      <c r="Q427" s="187"/>
      <c r="R427" s="187"/>
      <c r="S427" s="187"/>
      <c r="T427" s="187"/>
      <c r="U427" s="187"/>
      <c r="V427" s="187"/>
      <c r="W427" s="187"/>
      <c r="X427" s="187"/>
      <c r="Y427" s="187"/>
      <c r="Z427" s="187"/>
      <c r="AA427" s="187"/>
      <c r="AB427" s="187"/>
      <c r="AC427" s="187"/>
      <c r="AD427" s="187"/>
      <c r="AE427" s="187"/>
      <c r="AF427" s="187"/>
      <c r="AG427" s="187"/>
      <c r="AH427" s="187"/>
      <c r="AI427" s="187"/>
    </row>
    <row r="428">
      <c r="A428" s="187"/>
      <c r="B428" s="187"/>
      <c r="C428" s="187"/>
      <c r="D428" s="187"/>
      <c r="E428" s="187"/>
      <c r="F428" s="187"/>
      <c r="G428" s="187"/>
      <c r="H428" s="187"/>
      <c r="I428" s="187"/>
      <c r="J428" s="187"/>
      <c r="K428" s="187"/>
      <c r="L428" s="187"/>
      <c r="M428" s="192"/>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row>
    <row r="429">
      <c r="A429" s="187"/>
      <c r="B429" s="187"/>
      <c r="C429" s="187"/>
      <c r="D429" s="187"/>
      <c r="E429" s="187"/>
      <c r="F429" s="187"/>
      <c r="G429" s="187"/>
      <c r="H429" s="187"/>
      <c r="I429" s="187"/>
      <c r="J429" s="187"/>
      <c r="K429" s="187"/>
      <c r="L429" s="187"/>
      <c r="M429" s="192"/>
      <c r="N429" s="187"/>
      <c r="O429" s="187"/>
      <c r="P429" s="187"/>
      <c r="Q429" s="187"/>
      <c r="R429" s="187"/>
      <c r="S429" s="187"/>
      <c r="T429" s="187"/>
      <c r="U429" s="187"/>
      <c r="V429" s="187"/>
      <c r="W429" s="187"/>
      <c r="X429" s="187"/>
      <c r="Y429" s="187"/>
      <c r="Z429" s="187"/>
      <c r="AA429" s="187"/>
      <c r="AB429" s="187"/>
      <c r="AC429" s="187"/>
      <c r="AD429" s="187"/>
      <c r="AE429" s="187"/>
      <c r="AF429" s="187"/>
      <c r="AG429" s="187"/>
      <c r="AH429" s="187"/>
      <c r="AI429" s="187"/>
    </row>
    <row r="430">
      <c r="A430" s="187"/>
      <c r="B430" s="187"/>
      <c r="C430" s="187"/>
      <c r="D430" s="187"/>
      <c r="E430" s="187"/>
      <c r="F430" s="187"/>
      <c r="G430" s="187"/>
      <c r="H430" s="187"/>
      <c r="I430" s="187"/>
      <c r="J430" s="187"/>
      <c r="K430" s="187"/>
      <c r="L430" s="187"/>
      <c r="M430" s="192"/>
      <c r="N430" s="187"/>
      <c r="O430" s="187"/>
      <c r="P430" s="187"/>
      <c r="Q430" s="187"/>
      <c r="R430" s="187"/>
      <c r="S430" s="187"/>
      <c r="T430" s="187"/>
      <c r="U430" s="187"/>
      <c r="V430" s="187"/>
      <c r="W430" s="187"/>
      <c r="X430" s="187"/>
      <c r="Y430" s="187"/>
      <c r="Z430" s="187"/>
      <c r="AA430" s="187"/>
      <c r="AB430" s="187"/>
      <c r="AC430" s="187"/>
      <c r="AD430" s="187"/>
      <c r="AE430" s="187"/>
      <c r="AF430" s="187"/>
      <c r="AG430" s="187"/>
      <c r="AH430" s="187"/>
      <c r="AI430" s="187"/>
    </row>
    <row r="431">
      <c r="A431" s="187"/>
      <c r="B431" s="187"/>
      <c r="C431" s="187"/>
      <c r="D431" s="187"/>
      <c r="E431" s="187"/>
      <c r="F431" s="187"/>
      <c r="G431" s="187"/>
      <c r="H431" s="187"/>
      <c r="I431" s="187"/>
      <c r="J431" s="187"/>
      <c r="K431" s="187"/>
      <c r="L431" s="187"/>
      <c r="M431" s="192"/>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row>
    <row r="432">
      <c r="A432" s="187"/>
      <c r="B432" s="187"/>
      <c r="C432" s="187"/>
      <c r="D432" s="187"/>
      <c r="E432" s="187"/>
      <c r="F432" s="187"/>
      <c r="G432" s="187"/>
      <c r="H432" s="187"/>
      <c r="I432" s="187"/>
      <c r="J432" s="187"/>
      <c r="K432" s="187"/>
      <c r="L432" s="187"/>
      <c r="M432" s="192"/>
      <c r="N432" s="187"/>
      <c r="O432" s="187"/>
      <c r="P432" s="187"/>
      <c r="Q432" s="187"/>
      <c r="R432" s="187"/>
      <c r="S432" s="187"/>
      <c r="T432" s="187"/>
      <c r="U432" s="187"/>
      <c r="V432" s="187"/>
      <c r="W432" s="187"/>
      <c r="X432" s="187"/>
      <c r="Y432" s="187"/>
      <c r="Z432" s="187"/>
      <c r="AA432" s="187"/>
      <c r="AB432" s="187"/>
      <c r="AC432" s="187"/>
      <c r="AD432" s="187"/>
      <c r="AE432" s="187"/>
      <c r="AF432" s="187"/>
      <c r="AG432" s="187"/>
      <c r="AH432" s="187"/>
      <c r="AI432" s="187"/>
    </row>
    <row r="433">
      <c r="A433" s="187"/>
      <c r="B433" s="187"/>
      <c r="C433" s="187"/>
      <c r="D433" s="187"/>
      <c r="E433" s="187"/>
      <c r="F433" s="187"/>
      <c r="G433" s="187"/>
      <c r="H433" s="187"/>
      <c r="I433" s="187"/>
      <c r="J433" s="187"/>
      <c r="K433" s="187"/>
      <c r="L433" s="187"/>
      <c r="M433" s="192"/>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row>
    <row r="434">
      <c r="A434" s="187"/>
      <c r="B434" s="187"/>
      <c r="C434" s="187"/>
      <c r="D434" s="187"/>
      <c r="E434" s="187"/>
      <c r="F434" s="187"/>
      <c r="G434" s="187"/>
      <c r="H434" s="187"/>
      <c r="I434" s="187"/>
      <c r="J434" s="187"/>
      <c r="K434" s="187"/>
      <c r="L434" s="187"/>
      <c r="M434" s="192"/>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row>
    <row r="435">
      <c r="A435" s="187"/>
      <c r="B435" s="187"/>
      <c r="C435" s="187"/>
      <c r="D435" s="187"/>
      <c r="E435" s="187"/>
      <c r="F435" s="187"/>
      <c r="G435" s="187"/>
      <c r="H435" s="187"/>
      <c r="I435" s="187"/>
      <c r="J435" s="187"/>
      <c r="K435" s="187"/>
      <c r="L435" s="187"/>
      <c r="M435" s="192"/>
      <c r="N435" s="187"/>
      <c r="O435" s="187"/>
      <c r="P435" s="187"/>
      <c r="Q435" s="187"/>
      <c r="R435" s="187"/>
      <c r="S435" s="187"/>
      <c r="T435" s="187"/>
      <c r="U435" s="187"/>
      <c r="V435" s="187"/>
      <c r="W435" s="187"/>
      <c r="X435" s="187"/>
      <c r="Y435" s="187"/>
      <c r="Z435" s="187"/>
      <c r="AA435" s="187"/>
      <c r="AB435" s="187"/>
      <c r="AC435" s="187"/>
      <c r="AD435" s="187"/>
      <c r="AE435" s="187"/>
      <c r="AF435" s="187"/>
      <c r="AG435" s="187"/>
      <c r="AH435" s="187"/>
      <c r="AI435" s="187"/>
    </row>
    <row r="436">
      <c r="A436" s="187"/>
      <c r="B436" s="187"/>
      <c r="C436" s="187"/>
      <c r="D436" s="187"/>
      <c r="E436" s="187"/>
      <c r="F436" s="187"/>
      <c r="G436" s="187"/>
      <c r="H436" s="187"/>
      <c r="I436" s="187"/>
      <c r="J436" s="187"/>
      <c r="K436" s="187"/>
      <c r="L436" s="187"/>
      <c r="M436" s="192"/>
      <c r="N436" s="187"/>
      <c r="O436" s="187"/>
      <c r="P436" s="187"/>
      <c r="Q436" s="187"/>
      <c r="R436" s="187"/>
      <c r="S436" s="187"/>
      <c r="T436" s="187"/>
      <c r="U436" s="187"/>
      <c r="V436" s="187"/>
      <c r="W436" s="187"/>
      <c r="X436" s="187"/>
      <c r="Y436" s="187"/>
      <c r="Z436" s="187"/>
      <c r="AA436" s="187"/>
      <c r="AB436" s="187"/>
      <c r="AC436" s="187"/>
      <c r="AD436" s="187"/>
      <c r="AE436" s="187"/>
      <c r="AF436" s="187"/>
      <c r="AG436" s="187"/>
      <c r="AH436" s="187"/>
      <c r="AI436" s="187"/>
    </row>
    <row r="437">
      <c r="A437" s="187"/>
      <c r="B437" s="187"/>
      <c r="C437" s="187"/>
      <c r="D437" s="187"/>
      <c r="E437" s="187"/>
      <c r="F437" s="187"/>
      <c r="G437" s="187"/>
      <c r="H437" s="187"/>
      <c r="I437" s="187"/>
      <c r="J437" s="187"/>
      <c r="K437" s="187"/>
      <c r="L437" s="187"/>
      <c r="M437" s="192"/>
      <c r="N437" s="187"/>
      <c r="O437" s="187"/>
      <c r="P437" s="187"/>
      <c r="Q437" s="187"/>
      <c r="R437" s="187"/>
      <c r="S437" s="187"/>
      <c r="T437" s="187"/>
      <c r="U437" s="187"/>
      <c r="V437" s="187"/>
      <c r="W437" s="187"/>
      <c r="X437" s="187"/>
      <c r="Y437" s="187"/>
      <c r="Z437" s="187"/>
      <c r="AA437" s="187"/>
      <c r="AB437" s="187"/>
      <c r="AC437" s="187"/>
      <c r="AD437" s="187"/>
      <c r="AE437" s="187"/>
      <c r="AF437" s="187"/>
      <c r="AG437" s="187"/>
      <c r="AH437" s="187"/>
      <c r="AI437" s="187"/>
    </row>
    <row r="438">
      <c r="A438" s="187"/>
      <c r="B438" s="187"/>
      <c r="C438" s="187"/>
      <c r="D438" s="187"/>
      <c r="E438" s="187"/>
      <c r="F438" s="187"/>
      <c r="G438" s="187"/>
      <c r="H438" s="187"/>
      <c r="I438" s="187"/>
      <c r="J438" s="187"/>
      <c r="K438" s="187"/>
      <c r="L438" s="187"/>
      <c r="M438" s="192"/>
      <c r="N438" s="187"/>
      <c r="O438" s="187"/>
      <c r="P438" s="187"/>
      <c r="Q438" s="187"/>
      <c r="R438" s="187"/>
      <c r="S438" s="187"/>
      <c r="T438" s="187"/>
      <c r="U438" s="187"/>
      <c r="V438" s="187"/>
      <c r="W438" s="187"/>
      <c r="X438" s="187"/>
      <c r="Y438" s="187"/>
      <c r="Z438" s="187"/>
      <c r="AA438" s="187"/>
      <c r="AB438" s="187"/>
      <c r="AC438" s="187"/>
      <c r="AD438" s="187"/>
      <c r="AE438" s="187"/>
      <c r="AF438" s="187"/>
      <c r="AG438" s="187"/>
      <c r="AH438" s="187"/>
      <c r="AI438" s="187"/>
    </row>
    <row r="439">
      <c r="A439" s="187"/>
      <c r="B439" s="187"/>
      <c r="C439" s="187"/>
      <c r="D439" s="187"/>
      <c r="E439" s="187"/>
      <c r="F439" s="187"/>
      <c r="G439" s="187"/>
      <c r="H439" s="187"/>
      <c r="I439" s="187"/>
      <c r="J439" s="187"/>
      <c r="K439" s="187"/>
      <c r="L439" s="187"/>
      <c r="M439" s="192"/>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row>
    <row r="440">
      <c r="A440" s="187"/>
      <c r="B440" s="187"/>
      <c r="C440" s="187"/>
      <c r="D440" s="187"/>
      <c r="E440" s="187"/>
      <c r="F440" s="187"/>
      <c r="G440" s="187"/>
      <c r="H440" s="187"/>
      <c r="I440" s="187"/>
      <c r="J440" s="187"/>
      <c r="K440" s="187"/>
      <c r="L440" s="187"/>
      <c r="M440" s="192"/>
      <c r="N440" s="187"/>
      <c r="O440" s="187"/>
      <c r="P440" s="187"/>
      <c r="Q440" s="187"/>
      <c r="R440" s="187"/>
      <c r="S440" s="187"/>
      <c r="T440" s="187"/>
      <c r="U440" s="187"/>
      <c r="V440" s="187"/>
      <c r="W440" s="187"/>
      <c r="X440" s="187"/>
      <c r="Y440" s="187"/>
      <c r="Z440" s="187"/>
      <c r="AA440" s="187"/>
      <c r="AB440" s="187"/>
      <c r="AC440" s="187"/>
      <c r="AD440" s="187"/>
      <c r="AE440" s="187"/>
      <c r="AF440" s="187"/>
      <c r="AG440" s="187"/>
      <c r="AH440" s="187"/>
      <c r="AI440" s="187"/>
    </row>
    <row r="441">
      <c r="A441" s="187"/>
      <c r="B441" s="187"/>
      <c r="C441" s="187"/>
      <c r="D441" s="187"/>
      <c r="E441" s="187"/>
      <c r="F441" s="187"/>
      <c r="G441" s="187"/>
      <c r="H441" s="187"/>
      <c r="I441" s="187"/>
      <c r="J441" s="187"/>
      <c r="K441" s="187"/>
      <c r="L441" s="187"/>
      <c r="M441" s="192"/>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row>
    <row r="442">
      <c r="A442" s="187"/>
      <c r="B442" s="187"/>
      <c r="C442" s="187"/>
      <c r="D442" s="187"/>
      <c r="E442" s="187"/>
      <c r="F442" s="187"/>
      <c r="G442" s="187"/>
      <c r="H442" s="187"/>
      <c r="I442" s="187"/>
      <c r="J442" s="187"/>
      <c r="K442" s="187"/>
      <c r="L442" s="187"/>
      <c r="M442" s="192"/>
      <c r="N442" s="187"/>
      <c r="O442" s="187"/>
      <c r="P442" s="187"/>
      <c r="Q442" s="187"/>
      <c r="R442" s="187"/>
      <c r="S442" s="187"/>
      <c r="T442" s="187"/>
      <c r="U442" s="187"/>
      <c r="V442" s="187"/>
      <c r="W442" s="187"/>
      <c r="X442" s="187"/>
      <c r="Y442" s="187"/>
      <c r="Z442" s="187"/>
      <c r="AA442" s="187"/>
      <c r="AB442" s="187"/>
      <c r="AC442" s="187"/>
      <c r="AD442" s="187"/>
      <c r="AE442" s="187"/>
      <c r="AF442" s="187"/>
      <c r="AG442" s="187"/>
      <c r="AH442" s="187"/>
      <c r="AI442" s="187"/>
    </row>
    <row r="443">
      <c r="A443" s="187"/>
      <c r="B443" s="187"/>
      <c r="C443" s="187"/>
      <c r="D443" s="187"/>
      <c r="E443" s="187"/>
      <c r="F443" s="187"/>
      <c r="G443" s="187"/>
      <c r="H443" s="187"/>
      <c r="I443" s="187"/>
      <c r="J443" s="187"/>
      <c r="K443" s="187"/>
      <c r="L443" s="187"/>
      <c r="M443" s="192"/>
      <c r="N443" s="187"/>
      <c r="O443" s="187"/>
      <c r="P443" s="187"/>
      <c r="Q443" s="187"/>
      <c r="R443" s="187"/>
      <c r="S443" s="187"/>
      <c r="T443" s="187"/>
      <c r="U443" s="187"/>
      <c r="V443" s="187"/>
      <c r="W443" s="187"/>
      <c r="X443" s="187"/>
      <c r="Y443" s="187"/>
      <c r="Z443" s="187"/>
      <c r="AA443" s="187"/>
      <c r="AB443" s="187"/>
      <c r="AC443" s="187"/>
      <c r="AD443" s="187"/>
      <c r="AE443" s="187"/>
      <c r="AF443" s="187"/>
      <c r="AG443" s="187"/>
      <c r="AH443" s="187"/>
      <c r="AI443" s="187"/>
    </row>
    <row r="444">
      <c r="A444" s="187"/>
      <c r="B444" s="187"/>
      <c r="C444" s="187"/>
      <c r="D444" s="187"/>
      <c r="E444" s="187"/>
      <c r="F444" s="187"/>
      <c r="G444" s="187"/>
      <c r="H444" s="187"/>
      <c r="I444" s="187"/>
      <c r="J444" s="187"/>
      <c r="K444" s="187"/>
      <c r="L444" s="187"/>
      <c r="M444" s="192"/>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row>
    <row r="445">
      <c r="A445" s="187"/>
      <c r="B445" s="187"/>
      <c r="C445" s="187"/>
      <c r="D445" s="187"/>
      <c r="E445" s="187"/>
      <c r="F445" s="187"/>
      <c r="G445" s="187"/>
      <c r="H445" s="187"/>
      <c r="I445" s="187"/>
      <c r="J445" s="187"/>
      <c r="K445" s="187"/>
      <c r="L445" s="187"/>
      <c r="M445" s="192"/>
      <c r="N445" s="187"/>
      <c r="O445" s="187"/>
      <c r="P445" s="187"/>
      <c r="Q445" s="187"/>
      <c r="R445" s="187"/>
      <c r="S445" s="187"/>
      <c r="T445" s="187"/>
      <c r="U445" s="187"/>
      <c r="V445" s="187"/>
      <c r="W445" s="187"/>
      <c r="X445" s="187"/>
      <c r="Y445" s="187"/>
      <c r="Z445" s="187"/>
      <c r="AA445" s="187"/>
      <c r="AB445" s="187"/>
      <c r="AC445" s="187"/>
      <c r="AD445" s="187"/>
      <c r="AE445" s="187"/>
      <c r="AF445" s="187"/>
      <c r="AG445" s="187"/>
      <c r="AH445" s="187"/>
      <c r="AI445" s="187"/>
    </row>
    <row r="446">
      <c r="A446" s="187"/>
      <c r="B446" s="187"/>
      <c r="C446" s="187"/>
      <c r="D446" s="187"/>
      <c r="E446" s="187"/>
      <c r="F446" s="187"/>
      <c r="G446" s="187"/>
      <c r="H446" s="187"/>
      <c r="I446" s="187"/>
      <c r="J446" s="187"/>
      <c r="K446" s="187"/>
      <c r="L446" s="187"/>
      <c r="M446" s="192"/>
      <c r="N446" s="187"/>
      <c r="O446" s="187"/>
      <c r="P446" s="187"/>
      <c r="Q446" s="187"/>
      <c r="R446" s="187"/>
      <c r="S446" s="187"/>
      <c r="T446" s="187"/>
      <c r="U446" s="187"/>
      <c r="V446" s="187"/>
      <c r="W446" s="187"/>
      <c r="X446" s="187"/>
      <c r="Y446" s="187"/>
      <c r="Z446" s="187"/>
      <c r="AA446" s="187"/>
      <c r="AB446" s="187"/>
      <c r="AC446" s="187"/>
      <c r="AD446" s="187"/>
      <c r="AE446" s="187"/>
      <c r="AF446" s="187"/>
      <c r="AG446" s="187"/>
      <c r="AH446" s="187"/>
      <c r="AI446" s="187"/>
    </row>
    <row r="447">
      <c r="A447" s="187"/>
      <c r="B447" s="187"/>
      <c r="C447" s="187"/>
      <c r="D447" s="187"/>
      <c r="E447" s="187"/>
      <c r="F447" s="187"/>
      <c r="G447" s="187"/>
      <c r="H447" s="187"/>
      <c r="I447" s="187"/>
      <c r="J447" s="187"/>
      <c r="K447" s="187"/>
      <c r="L447" s="187"/>
      <c r="M447" s="192"/>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row>
    <row r="448">
      <c r="A448" s="187"/>
      <c r="B448" s="187"/>
      <c r="C448" s="187"/>
      <c r="D448" s="187"/>
      <c r="E448" s="187"/>
      <c r="F448" s="187"/>
      <c r="G448" s="187"/>
      <c r="H448" s="187"/>
      <c r="I448" s="187"/>
      <c r="J448" s="187"/>
      <c r="K448" s="187"/>
      <c r="L448" s="187"/>
      <c r="M448" s="192"/>
      <c r="N448" s="187"/>
      <c r="O448" s="187"/>
      <c r="P448" s="187"/>
      <c r="Q448" s="187"/>
      <c r="R448" s="187"/>
      <c r="S448" s="187"/>
      <c r="T448" s="187"/>
      <c r="U448" s="187"/>
      <c r="V448" s="187"/>
      <c r="W448" s="187"/>
      <c r="X448" s="187"/>
      <c r="Y448" s="187"/>
      <c r="Z448" s="187"/>
      <c r="AA448" s="187"/>
      <c r="AB448" s="187"/>
      <c r="AC448" s="187"/>
      <c r="AD448" s="187"/>
      <c r="AE448" s="187"/>
      <c r="AF448" s="187"/>
      <c r="AG448" s="187"/>
      <c r="AH448" s="187"/>
      <c r="AI448" s="187"/>
    </row>
    <row r="449">
      <c r="A449" s="187"/>
      <c r="B449" s="187"/>
      <c r="C449" s="187"/>
      <c r="D449" s="187"/>
      <c r="E449" s="187"/>
      <c r="F449" s="187"/>
      <c r="G449" s="187"/>
      <c r="H449" s="187"/>
      <c r="I449" s="187"/>
      <c r="J449" s="187"/>
      <c r="K449" s="187"/>
      <c r="L449" s="187"/>
      <c r="M449" s="192"/>
      <c r="N449" s="187"/>
      <c r="O449" s="187"/>
      <c r="P449" s="187"/>
      <c r="Q449" s="187"/>
      <c r="R449" s="187"/>
      <c r="S449" s="187"/>
      <c r="T449" s="187"/>
      <c r="U449" s="187"/>
      <c r="V449" s="187"/>
      <c r="W449" s="187"/>
      <c r="X449" s="187"/>
      <c r="Y449" s="187"/>
      <c r="Z449" s="187"/>
      <c r="AA449" s="187"/>
      <c r="AB449" s="187"/>
      <c r="AC449" s="187"/>
      <c r="AD449" s="187"/>
      <c r="AE449" s="187"/>
      <c r="AF449" s="187"/>
      <c r="AG449" s="187"/>
      <c r="AH449" s="187"/>
      <c r="AI449" s="187"/>
    </row>
    <row r="450">
      <c r="A450" s="187"/>
      <c r="B450" s="187"/>
      <c r="C450" s="187"/>
      <c r="D450" s="187"/>
      <c r="E450" s="187"/>
      <c r="F450" s="187"/>
      <c r="G450" s="187"/>
      <c r="H450" s="187"/>
      <c r="I450" s="187"/>
      <c r="J450" s="187"/>
      <c r="K450" s="187"/>
      <c r="L450" s="187"/>
      <c r="M450" s="192"/>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row>
    <row r="451">
      <c r="A451" s="187"/>
      <c r="B451" s="187"/>
      <c r="C451" s="187"/>
      <c r="D451" s="187"/>
      <c r="E451" s="187"/>
      <c r="F451" s="187"/>
      <c r="G451" s="187"/>
      <c r="H451" s="187"/>
      <c r="I451" s="187"/>
      <c r="J451" s="187"/>
      <c r="K451" s="187"/>
      <c r="L451" s="187"/>
      <c r="M451" s="192"/>
      <c r="N451" s="187"/>
      <c r="O451" s="187"/>
      <c r="P451" s="187"/>
      <c r="Q451" s="187"/>
      <c r="R451" s="187"/>
      <c r="S451" s="187"/>
      <c r="T451" s="187"/>
      <c r="U451" s="187"/>
      <c r="V451" s="187"/>
      <c r="W451" s="187"/>
      <c r="X451" s="187"/>
      <c r="Y451" s="187"/>
      <c r="Z451" s="187"/>
      <c r="AA451" s="187"/>
      <c r="AB451" s="187"/>
      <c r="AC451" s="187"/>
      <c r="AD451" s="187"/>
      <c r="AE451" s="187"/>
      <c r="AF451" s="187"/>
      <c r="AG451" s="187"/>
      <c r="AH451" s="187"/>
      <c r="AI451" s="187"/>
    </row>
    <row r="452">
      <c r="A452" s="187"/>
      <c r="B452" s="187"/>
      <c r="C452" s="187"/>
      <c r="D452" s="187"/>
      <c r="E452" s="187"/>
      <c r="F452" s="187"/>
      <c r="G452" s="187"/>
      <c r="H452" s="187"/>
      <c r="I452" s="187"/>
      <c r="J452" s="187"/>
      <c r="K452" s="187"/>
      <c r="L452" s="187"/>
      <c r="M452" s="192"/>
      <c r="N452" s="187"/>
      <c r="O452" s="187"/>
      <c r="P452" s="187"/>
      <c r="Q452" s="187"/>
      <c r="R452" s="187"/>
      <c r="S452" s="187"/>
      <c r="T452" s="187"/>
      <c r="U452" s="187"/>
      <c r="V452" s="187"/>
      <c r="W452" s="187"/>
      <c r="X452" s="187"/>
      <c r="Y452" s="187"/>
      <c r="Z452" s="187"/>
      <c r="AA452" s="187"/>
      <c r="AB452" s="187"/>
      <c r="AC452" s="187"/>
      <c r="AD452" s="187"/>
      <c r="AE452" s="187"/>
      <c r="AF452" s="187"/>
      <c r="AG452" s="187"/>
      <c r="AH452" s="187"/>
      <c r="AI452" s="187"/>
    </row>
    <row r="453">
      <c r="A453" s="187"/>
      <c r="B453" s="187"/>
      <c r="C453" s="187"/>
      <c r="D453" s="187"/>
      <c r="E453" s="187"/>
      <c r="F453" s="187"/>
      <c r="G453" s="187"/>
      <c r="H453" s="187"/>
      <c r="I453" s="187"/>
      <c r="J453" s="187"/>
      <c r="K453" s="187"/>
      <c r="L453" s="187"/>
      <c r="M453" s="192"/>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row>
    <row r="454">
      <c r="A454" s="187"/>
      <c r="B454" s="187"/>
      <c r="C454" s="187"/>
      <c r="D454" s="187"/>
      <c r="E454" s="187"/>
      <c r="F454" s="187"/>
      <c r="G454" s="187"/>
      <c r="H454" s="187"/>
      <c r="I454" s="187"/>
      <c r="J454" s="187"/>
      <c r="K454" s="187"/>
      <c r="L454" s="187"/>
      <c r="M454" s="192"/>
      <c r="N454" s="187"/>
      <c r="O454" s="187"/>
      <c r="P454" s="187"/>
      <c r="Q454" s="187"/>
      <c r="R454" s="187"/>
      <c r="S454" s="187"/>
      <c r="T454" s="187"/>
      <c r="U454" s="187"/>
      <c r="V454" s="187"/>
      <c r="W454" s="187"/>
      <c r="X454" s="187"/>
      <c r="Y454" s="187"/>
      <c r="Z454" s="187"/>
      <c r="AA454" s="187"/>
      <c r="AB454" s="187"/>
      <c r="AC454" s="187"/>
      <c r="AD454" s="187"/>
      <c r="AE454" s="187"/>
      <c r="AF454" s="187"/>
      <c r="AG454" s="187"/>
      <c r="AH454" s="187"/>
      <c r="AI454" s="187"/>
    </row>
    <row r="455">
      <c r="A455" s="187"/>
      <c r="B455" s="187"/>
      <c r="C455" s="187"/>
      <c r="D455" s="187"/>
      <c r="E455" s="187"/>
      <c r="F455" s="187"/>
      <c r="G455" s="187"/>
      <c r="H455" s="187"/>
      <c r="I455" s="187"/>
      <c r="J455" s="187"/>
      <c r="K455" s="187"/>
      <c r="L455" s="187"/>
      <c r="M455" s="192"/>
      <c r="N455" s="187"/>
      <c r="O455" s="187"/>
      <c r="P455" s="187"/>
      <c r="Q455" s="187"/>
      <c r="R455" s="187"/>
      <c r="S455" s="187"/>
      <c r="T455" s="187"/>
      <c r="U455" s="187"/>
      <c r="V455" s="187"/>
      <c r="W455" s="187"/>
      <c r="X455" s="187"/>
      <c r="Y455" s="187"/>
      <c r="Z455" s="187"/>
      <c r="AA455" s="187"/>
      <c r="AB455" s="187"/>
      <c r="AC455" s="187"/>
      <c r="AD455" s="187"/>
      <c r="AE455" s="187"/>
      <c r="AF455" s="187"/>
      <c r="AG455" s="187"/>
      <c r="AH455" s="187"/>
      <c r="AI455" s="187"/>
    </row>
    <row r="456">
      <c r="A456" s="187"/>
      <c r="B456" s="187"/>
      <c r="C456" s="187"/>
      <c r="D456" s="187"/>
      <c r="E456" s="187"/>
      <c r="F456" s="187"/>
      <c r="G456" s="187"/>
      <c r="H456" s="187"/>
      <c r="I456" s="187"/>
      <c r="J456" s="187"/>
      <c r="K456" s="187"/>
      <c r="L456" s="187"/>
      <c r="M456" s="192"/>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row>
    <row r="457">
      <c r="A457" s="187"/>
      <c r="B457" s="187"/>
      <c r="C457" s="187"/>
      <c r="D457" s="187"/>
      <c r="E457" s="187"/>
      <c r="F457" s="187"/>
      <c r="G457" s="187"/>
      <c r="H457" s="187"/>
      <c r="I457" s="187"/>
      <c r="J457" s="187"/>
      <c r="K457" s="187"/>
      <c r="L457" s="187"/>
      <c r="M457" s="192"/>
      <c r="N457" s="187"/>
      <c r="O457" s="187"/>
      <c r="P457" s="187"/>
      <c r="Q457" s="187"/>
      <c r="R457" s="187"/>
      <c r="S457" s="187"/>
      <c r="T457" s="187"/>
      <c r="U457" s="187"/>
      <c r="V457" s="187"/>
      <c r="W457" s="187"/>
      <c r="X457" s="187"/>
      <c r="Y457" s="187"/>
      <c r="Z457" s="187"/>
      <c r="AA457" s="187"/>
      <c r="AB457" s="187"/>
      <c r="AC457" s="187"/>
      <c r="AD457" s="187"/>
      <c r="AE457" s="187"/>
      <c r="AF457" s="187"/>
      <c r="AG457" s="187"/>
      <c r="AH457" s="187"/>
      <c r="AI457" s="187"/>
    </row>
    <row r="458">
      <c r="A458" s="187"/>
      <c r="B458" s="187"/>
      <c r="C458" s="187"/>
      <c r="D458" s="187"/>
      <c r="E458" s="187"/>
      <c r="F458" s="187"/>
      <c r="G458" s="187"/>
      <c r="H458" s="187"/>
      <c r="I458" s="187"/>
      <c r="J458" s="187"/>
      <c r="K458" s="187"/>
      <c r="L458" s="187"/>
      <c r="M458" s="192"/>
      <c r="N458" s="187"/>
      <c r="O458" s="187"/>
      <c r="P458" s="187"/>
      <c r="Q458" s="187"/>
      <c r="R458" s="187"/>
      <c r="S458" s="187"/>
      <c r="T458" s="187"/>
      <c r="U458" s="187"/>
      <c r="V458" s="187"/>
      <c r="W458" s="187"/>
      <c r="X458" s="187"/>
      <c r="Y458" s="187"/>
      <c r="Z458" s="187"/>
      <c r="AA458" s="187"/>
      <c r="AB458" s="187"/>
      <c r="AC458" s="187"/>
      <c r="AD458" s="187"/>
      <c r="AE458" s="187"/>
      <c r="AF458" s="187"/>
      <c r="AG458" s="187"/>
      <c r="AH458" s="187"/>
      <c r="AI458" s="187"/>
    </row>
    <row r="459">
      <c r="A459" s="187"/>
      <c r="B459" s="187"/>
      <c r="C459" s="187"/>
      <c r="D459" s="187"/>
      <c r="E459" s="187"/>
      <c r="F459" s="187"/>
      <c r="G459" s="187"/>
      <c r="H459" s="187"/>
      <c r="I459" s="187"/>
      <c r="J459" s="187"/>
      <c r="K459" s="187"/>
      <c r="L459" s="187"/>
      <c r="M459" s="192"/>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row>
    <row r="460">
      <c r="A460" s="187"/>
      <c r="B460" s="187"/>
      <c r="C460" s="187"/>
      <c r="D460" s="187"/>
      <c r="E460" s="187"/>
      <c r="F460" s="187"/>
      <c r="G460" s="187"/>
      <c r="H460" s="187"/>
      <c r="I460" s="187"/>
      <c r="J460" s="187"/>
      <c r="K460" s="187"/>
      <c r="L460" s="187"/>
      <c r="M460" s="192"/>
      <c r="N460" s="187"/>
      <c r="O460" s="187"/>
      <c r="P460" s="187"/>
      <c r="Q460" s="187"/>
      <c r="R460" s="187"/>
      <c r="S460" s="187"/>
      <c r="T460" s="187"/>
      <c r="U460" s="187"/>
      <c r="V460" s="187"/>
      <c r="W460" s="187"/>
      <c r="X460" s="187"/>
      <c r="Y460" s="187"/>
      <c r="Z460" s="187"/>
      <c r="AA460" s="187"/>
      <c r="AB460" s="187"/>
      <c r="AC460" s="187"/>
      <c r="AD460" s="187"/>
      <c r="AE460" s="187"/>
      <c r="AF460" s="187"/>
      <c r="AG460" s="187"/>
      <c r="AH460" s="187"/>
      <c r="AI460" s="187"/>
    </row>
    <row r="461">
      <c r="A461" s="187"/>
      <c r="B461" s="187"/>
      <c r="C461" s="187"/>
      <c r="D461" s="187"/>
      <c r="E461" s="187"/>
      <c r="F461" s="187"/>
      <c r="G461" s="187"/>
      <c r="H461" s="187"/>
      <c r="I461" s="187"/>
      <c r="J461" s="187"/>
      <c r="K461" s="187"/>
      <c r="L461" s="187"/>
      <c r="M461" s="192"/>
      <c r="N461" s="187"/>
      <c r="O461" s="187"/>
      <c r="P461" s="187"/>
      <c r="Q461" s="187"/>
      <c r="R461" s="187"/>
      <c r="S461" s="187"/>
      <c r="T461" s="187"/>
      <c r="U461" s="187"/>
      <c r="V461" s="187"/>
      <c r="W461" s="187"/>
      <c r="X461" s="187"/>
      <c r="Y461" s="187"/>
      <c r="Z461" s="187"/>
      <c r="AA461" s="187"/>
      <c r="AB461" s="187"/>
      <c r="AC461" s="187"/>
      <c r="AD461" s="187"/>
      <c r="AE461" s="187"/>
      <c r="AF461" s="187"/>
      <c r="AG461" s="187"/>
      <c r="AH461" s="187"/>
      <c r="AI461" s="187"/>
    </row>
    <row r="462">
      <c r="A462" s="187"/>
      <c r="B462" s="187"/>
      <c r="C462" s="187"/>
      <c r="D462" s="187"/>
      <c r="E462" s="187"/>
      <c r="F462" s="187"/>
      <c r="G462" s="187"/>
      <c r="H462" s="187"/>
      <c r="I462" s="187"/>
      <c r="J462" s="187"/>
      <c r="K462" s="187"/>
      <c r="L462" s="187"/>
      <c r="M462" s="192"/>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row>
    <row r="463">
      <c r="A463" s="187"/>
      <c r="B463" s="187"/>
      <c r="C463" s="187"/>
      <c r="D463" s="187"/>
      <c r="E463" s="187"/>
      <c r="F463" s="187"/>
      <c r="G463" s="187"/>
      <c r="H463" s="187"/>
      <c r="I463" s="187"/>
      <c r="J463" s="187"/>
      <c r="K463" s="187"/>
      <c r="L463" s="187"/>
      <c r="M463" s="192"/>
      <c r="N463" s="187"/>
      <c r="O463" s="187"/>
      <c r="P463" s="187"/>
      <c r="Q463" s="187"/>
      <c r="R463" s="187"/>
      <c r="S463" s="187"/>
      <c r="T463" s="187"/>
      <c r="U463" s="187"/>
      <c r="V463" s="187"/>
      <c r="W463" s="187"/>
      <c r="X463" s="187"/>
      <c r="Y463" s="187"/>
      <c r="Z463" s="187"/>
      <c r="AA463" s="187"/>
      <c r="AB463" s="187"/>
      <c r="AC463" s="187"/>
      <c r="AD463" s="187"/>
      <c r="AE463" s="187"/>
      <c r="AF463" s="187"/>
      <c r="AG463" s="187"/>
      <c r="AH463" s="187"/>
      <c r="AI463" s="187"/>
    </row>
    <row r="464">
      <c r="A464" s="187"/>
      <c r="B464" s="187"/>
      <c r="C464" s="187"/>
      <c r="D464" s="187"/>
      <c r="E464" s="187"/>
      <c r="F464" s="187"/>
      <c r="G464" s="187"/>
      <c r="H464" s="187"/>
      <c r="I464" s="187"/>
      <c r="J464" s="187"/>
      <c r="K464" s="187"/>
      <c r="L464" s="187"/>
      <c r="M464" s="192"/>
      <c r="N464" s="187"/>
      <c r="O464" s="187"/>
      <c r="P464" s="187"/>
      <c r="Q464" s="187"/>
      <c r="R464" s="187"/>
      <c r="S464" s="187"/>
      <c r="T464" s="187"/>
      <c r="U464" s="187"/>
      <c r="V464" s="187"/>
      <c r="W464" s="187"/>
      <c r="X464" s="187"/>
      <c r="Y464" s="187"/>
      <c r="Z464" s="187"/>
      <c r="AA464" s="187"/>
      <c r="AB464" s="187"/>
      <c r="AC464" s="187"/>
      <c r="AD464" s="187"/>
      <c r="AE464" s="187"/>
      <c r="AF464" s="187"/>
      <c r="AG464" s="187"/>
      <c r="AH464" s="187"/>
      <c r="AI464" s="187"/>
    </row>
    <row r="465">
      <c r="A465" s="187"/>
      <c r="B465" s="187"/>
      <c r="C465" s="187"/>
      <c r="D465" s="187"/>
      <c r="E465" s="187"/>
      <c r="F465" s="187"/>
      <c r="G465" s="187"/>
      <c r="H465" s="187"/>
      <c r="I465" s="187"/>
      <c r="J465" s="187"/>
      <c r="K465" s="187"/>
      <c r="L465" s="187"/>
      <c r="M465" s="192"/>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row>
    <row r="466">
      <c r="A466" s="187"/>
      <c r="B466" s="187"/>
      <c r="C466" s="187"/>
      <c r="D466" s="187"/>
      <c r="E466" s="187"/>
      <c r="F466" s="187"/>
      <c r="G466" s="187"/>
      <c r="H466" s="187"/>
      <c r="I466" s="187"/>
      <c r="J466" s="187"/>
      <c r="K466" s="187"/>
      <c r="L466" s="187"/>
      <c r="M466" s="192"/>
      <c r="N466" s="187"/>
      <c r="O466" s="187"/>
      <c r="P466" s="187"/>
      <c r="Q466" s="187"/>
      <c r="R466" s="187"/>
      <c r="S466" s="187"/>
      <c r="T466" s="187"/>
      <c r="U466" s="187"/>
      <c r="V466" s="187"/>
      <c r="W466" s="187"/>
      <c r="X466" s="187"/>
      <c r="Y466" s="187"/>
      <c r="Z466" s="187"/>
      <c r="AA466" s="187"/>
      <c r="AB466" s="187"/>
      <c r="AC466" s="187"/>
      <c r="AD466" s="187"/>
      <c r="AE466" s="187"/>
      <c r="AF466" s="187"/>
      <c r="AG466" s="187"/>
      <c r="AH466" s="187"/>
      <c r="AI466" s="187"/>
    </row>
    <row r="467">
      <c r="A467" s="187"/>
      <c r="B467" s="187"/>
      <c r="C467" s="187"/>
      <c r="D467" s="187"/>
      <c r="E467" s="187"/>
      <c r="F467" s="187"/>
      <c r="G467" s="187"/>
      <c r="H467" s="187"/>
      <c r="I467" s="187"/>
      <c r="J467" s="187"/>
      <c r="K467" s="187"/>
      <c r="L467" s="187"/>
      <c r="M467" s="192"/>
      <c r="N467" s="187"/>
      <c r="O467" s="187"/>
      <c r="P467" s="187"/>
      <c r="Q467" s="187"/>
      <c r="R467" s="187"/>
      <c r="S467" s="187"/>
      <c r="T467" s="187"/>
      <c r="U467" s="187"/>
      <c r="V467" s="187"/>
      <c r="W467" s="187"/>
      <c r="X467" s="187"/>
      <c r="Y467" s="187"/>
      <c r="Z467" s="187"/>
      <c r="AA467" s="187"/>
      <c r="AB467" s="187"/>
      <c r="AC467" s="187"/>
      <c r="AD467" s="187"/>
      <c r="AE467" s="187"/>
      <c r="AF467" s="187"/>
      <c r="AG467" s="187"/>
      <c r="AH467" s="187"/>
      <c r="AI467" s="187"/>
    </row>
    <row r="468">
      <c r="A468" s="187"/>
      <c r="B468" s="187"/>
      <c r="C468" s="187"/>
      <c r="D468" s="187"/>
      <c r="E468" s="187"/>
      <c r="F468" s="187"/>
      <c r="G468" s="187"/>
      <c r="H468" s="187"/>
      <c r="I468" s="187"/>
      <c r="J468" s="187"/>
      <c r="K468" s="187"/>
      <c r="L468" s="187"/>
      <c r="M468" s="192"/>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row>
    <row r="469">
      <c r="A469" s="187"/>
      <c r="B469" s="187"/>
      <c r="C469" s="187"/>
      <c r="D469" s="187"/>
      <c r="E469" s="187"/>
      <c r="F469" s="187"/>
      <c r="G469" s="187"/>
      <c r="H469" s="187"/>
      <c r="I469" s="187"/>
      <c r="J469" s="187"/>
      <c r="K469" s="187"/>
      <c r="L469" s="187"/>
      <c r="M469" s="192"/>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row>
    <row r="470">
      <c r="A470" s="187"/>
      <c r="B470" s="187"/>
      <c r="C470" s="187"/>
      <c r="D470" s="187"/>
      <c r="E470" s="187"/>
      <c r="F470" s="187"/>
      <c r="G470" s="187"/>
      <c r="H470" s="187"/>
      <c r="I470" s="187"/>
      <c r="J470" s="187"/>
      <c r="K470" s="187"/>
      <c r="L470" s="187"/>
      <c r="M470" s="192"/>
      <c r="N470" s="187"/>
      <c r="O470" s="187"/>
      <c r="P470" s="187"/>
      <c r="Q470" s="187"/>
      <c r="R470" s="187"/>
      <c r="S470" s="187"/>
      <c r="T470" s="187"/>
      <c r="U470" s="187"/>
      <c r="V470" s="187"/>
      <c r="W470" s="187"/>
      <c r="X470" s="187"/>
      <c r="Y470" s="187"/>
      <c r="Z470" s="187"/>
      <c r="AA470" s="187"/>
      <c r="AB470" s="187"/>
      <c r="AC470" s="187"/>
      <c r="AD470" s="187"/>
      <c r="AE470" s="187"/>
      <c r="AF470" s="187"/>
      <c r="AG470" s="187"/>
      <c r="AH470" s="187"/>
      <c r="AI470" s="187"/>
    </row>
    <row r="471">
      <c r="A471" s="187"/>
      <c r="B471" s="187"/>
      <c r="C471" s="187"/>
      <c r="D471" s="187"/>
      <c r="E471" s="187"/>
      <c r="F471" s="187"/>
      <c r="G471" s="187"/>
      <c r="H471" s="187"/>
      <c r="I471" s="187"/>
      <c r="J471" s="187"/>
      <c r="K471" s="187"/>
      <c r="L471" s="187"/>
      <c r="M471" s="192"/>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row>
    <row r="472">
      <c r="A472" s="187"/>
      <c r="B472" s="187"/>
      <c r="C472" s="187"/>
      <c r="D472" s="187"/>
      <c r="E472" s="187"/>
      <c r="F472" s="187"/>
      <c r="G472" s="187"/>
      <c r="H472" s="187"/>
      <c r="I472" s="187"/>
      <c r="J472" s="187"/>
      <c r="K472" s="187"/>
      <c r="L472" s="187"/>
      <c r="M472" s="192"/>
      <c r="N472" s="187"/>
      <c r="O472" s="187"/>
      <c r="P472" s="187"/>
      <c r="Q472" s="187"/>
      <c r="R472" s="187"/>
      <c r="S472" s="187"/>
      <c r="T472" s="187"/>
      <c r="U472" s="187"/>
      <c r="V472" s="187"/>
      <c r="W472" s="187"/>
      <c r="X472" s="187"/>
      <c r="Y472" s="187"/>
      <c r="Z472" s="187"/>
      <c r="AA472" s="187"/>
      <c r="AB472" s="187"/>
      <c r="AC472" s="187"/>
      <c r="AD472" s="187"/>
      <c r="AE472" s="187"/>
      <c r="AF472" s="187"/>
      <c r="AG472" s="187"/>
      <c r="AH472" s="187"/>
      <c r="AI472" s="187"/>
    </row>
    <row r="473">
      <c r="A473" s="187"/>
      <c r="B473" s="187"/>
      <c r="C473" s="187"/>
      <c r="D473" s="187"/>
      <c r="E473" s="187"/>
      <c r="F473" s="187"/>
      <c r="G473" s="187"/>
      <c r="H473" s="187"/>
      <c r="I473" s="187"/>
      <c r="J473" s="187"/>
      <c r="K473" s="187"/>
      <c r="L473" s="187"/>
      <c r="M473" s="192"/>
      <c r="N473" s="187"/>
      <c r="O473" s="187"/>
      <c r="P473" s="187"/>
      <c r="Q473" s="187"/>
      <c r="R473" s="187"/>
      <c r="S473" s="187"/>
      <c r="T473" s="187"/>
      <c r="U473" s="187"/>
      <c r="V473" s="187"/>
      <c r="W473" s="187"/>
      <c r="X473" s="187"/>
      <c r="Y473" s="187"/>
      <c r="Z473" s="187"/>
      <c r="AA473" s="187"/>
      <c r="AB473" s="187"/>
      <c r="AC473" s="187"/>
      <c r="AD473" s="187"/>
      <c r="AE473" s="187"/>
      <c r="AF473" s="187"/>
      <c r="AG473" s="187"/>
      <c r="AH473" s="187"/>
      <c r="AI473" s="187"/>
    </row>
    <row r="474">
      <c r="A474" s="187"/>
      <c r="B474" s="187"/>
      <c r="C474" s="187"/>
      <c r="D474" s="187"/>
      <c r="E474" s="187"/>
      <c r="F474" s="187"/>
      <c r="G474" s="187"/>
      <c r="H474" s="187"/>
      <c r="I474" s="187"/>
      <c r="J474" s="187"/>
      <c r="K474" s="187"/>
      <c r="L474" s="187"/>
      <c r="M474" s="192"/>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row>
    <row r="475">
      <c r="A475" s="187"/>
      <c r="B475" s="187"/>
      <c r="C475" s="187"/>
      <c r="D475" s="187"/>
      <c r="E475" s="187"/>
      <c r="F475" s="187"/>
      <c r="G475" s="187"/>
      <c r="H475" s="187"/>
      <c r="I475" s="187"/>
      <c r="J475" s="187"/>
      <c r="K475" s="187"/>
      <c r="L475" s="187"/>
      <c r="M475" s="192"/>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row>
    <row r="476">
      <c r="A476" s="187"/>
      <c r="B476" s="187"/>
      <c r="C476" s="187"/>
      <c r="D476" s="187"/>
      <c r="E476" s="187"/>
      <c r="F476" s="187"/>
      <c r="G476" s="187"/>
      <c r="H476" s="187"/>
      <c r="I476" s="187"/>
      <c r="J476" s="187"/>
      <c r="K476" s="187"/>
      <c r="L476" s="187"/>
      <c r="M476" s="192"/>
      <c r="N476" s="187"/>
      <c r="O476" s="187"/>
      <c r="P476" s="187"/>
      <c r="Q476" s="187"/>
      <c r="R476" s="187"/>
      <c r="S476" s="187"/>
      <c r="T476" s="187"/>
      <c r="U476" s="187"/>
      <c r="V476" s="187"/>
      <c r="W476" s="187"/>
      <c r="X476" s="187"/>
      <c r="Y476" s="187"/>
      <c r="Z476" s="187"/>
      <c r="AA476" s="187"/>
      <c r="AB476" s="187"/>
      <c r="AC476" s="187"/>
      <c r="AD476" s="187"/>
      <c r="AE476" s="187"/>
      <c r="AF476" s="187"/>
      <c r="AG476" s="187"/>
      <c r="AH476" s="187"/>
      <c r="AI476" s="187"/>
    </row>
    <row r="477">
      <c r="A477" s="187"/>
      <c r="B477" s="187"/>
      <c r="C477" s="187"/>
      <c r="D477" s="187"/>
      <c r="E477" s="187"/>
      <c r="F477" s="187"/>
      <c r="G477" s="187"/>
      <c r="H477" s="187"/>
      <c r="I477" s="187"/>
      <c r="J477" s="187"/>
      <c r="K477" s="187"/>
      <c r="L477" s="187"/>
      <c r="M477" s="192"/>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row>
    <row r="478">
      <c r="A478" s="187"/>
      <c r="B478" s="187"/>
      <c r="C478" s="187"/>
      <c r="D478" s="187"/>
      <c r="E478" s="187"/>
      <c r="F478" s="187"/>
      <c r="G478" s="187"/>
      <c r="H478" s="187"/>
      <c r="I478" s="187"/>
      <c r="J478" s="187"/>
      <c r="K478" s="187"/>
      <c r="L478" s="187"/>
      <c r="M478" s="192"/>
      <c r="N478" s="187"/>
      <c r="O478" s="187"/>
      <c r="P478" s="187"/>
      <c r="Q478" s="187"/>
      <c r="R478" s="187"/>
      <c r="S478" s="187"/>
      <c r="T478" s="187"/>
      <c r="U478" s="187"/>
      <c r="V478" s="187"/>
      <c r="W478" s="187"/>
      <c r="X478" s="187"/>
      <c r="Y478" s="187"/>
      <c r="Z478" s="187"/>
      <c r="AA478" s="187"/>
      <c r="AB478" s="187"/>
      <c r="AC478" s="187"/>
      <c r="AD478" s="187"/>
      <c r="AE478" s="187"/>
      <c r="AF478" s="187"/>
      <c r="AG478" s="187"/>
      <c r="AH478" s="187"/>
      <c r="AI478" s="187"/>
    </row>
    <row r="479">
      <c r="A479" s="187"/>
      <c r="B479" s="187"/>
      <c r="C479" s="187"/>
      <c r="D479" s="187"/>
      <c r="E479" s="187"/>
      <c r="F479" s="187"/>
      <c r="G479" s="187"/>
      <c r="H479" s="187"/>
      <c r="I479" s="187"/>
      <c r="J479" s="187"/>
      <c r="K479" s="187"/>
      <c r="L479" s="187"/>
      <c r="M479" s="192"/>
      <c r="N479" s="187"/>
      <c r="O479" s="187"/>
      <c r="P479" s="187"/>
      <c r="Q479" s="187"/>
      <c r="R479" s="187"/>
      <c r="S479" s="187"/>
      <c r="T479" s="187"/>
      <c r="U479" s="187"/>
      <c r="V479" s="187"/>
      <c r="W479" s="187"/>
      <c r="X479" s="187"/>
      <c r="Y479" s="187"/>
      <c r="Z479" s="187"/>
      <c r="AA479" s="187"/>
      <c r="AB479" s="187"/>
      <c r="AC479" s="187"/>
      <c r="AD479" s="187"/>
      <c r="AE479" s="187"/>
      <c r="AF479" s="187"/>
      <c r="AG479" s="187"/>
      <c r="AH479" s="187"/>
      <c r="AI479" s="187"/>
    </row>
    <row r="480">
      <c r="A480" s="187"/>
      <c r="B480" s="187"/>
      <c r="C480" s="187"/>
      <c r="D480" s="187"/>
      <c r="E480" s="187"/>
      <c r="F480" s="187"/>
      <c r="G480" s="187"/>
      <c r="H480" s="187"/>
      <c r="I480" s="187"/>
      <c r="J480" s="187"/>
      <c r="K480" s="187"/>
      <c r="L480" s="187"/>
      <c r="M480" s="192"/>
      <c r="N480" s="187"/>
      <c r="O480" s="187"/>
      <c r="P480" s="187"/>
      <c r="Q480" s="187"/>
      <c r="R480" s="187"/>
      <c r="S480" s="187"/>
      <c r="T480" s="187"/>
      <c r="U480" s="187"/>
      <c r="V480" s="187"/>
      <c r="W480" s="187"/>
      <c r="X480" s="187"/>
      <c r="Y480" s="187"/>
      <c r="Z480" s="187"/>
      <c r="AA480" s="187"/>
      <c r="AB480" s="187"/>
      <c r="AC480" s="187"/>
      <c r="AD480" s="187"/>
      <c r="AE480" s="187"/>
      <c r="AF480" s="187"/>
      <c r="AG480" s="187"/>
      <c r="AH480" s="187"/>
      <c r="AI480" s="187"/>
    </row>
    <row r="481">
      <c r="A481" s="187"/>
      <c r="B481" s="187"/>
      <c r="C481" s="187"/>
      <c r="D481" s="187"/>
      <c r="E481" s="187"/>
      <c r="F481" s="187"/>
      <c r="G481" s="187"/>
      <c r="H481" s="187"/>
      <c r="I481" s="187"/>
      <c r="J481" s="187"/>
      <c r="K481" s="187"/>
      <c r="L481" s="187"/>
      <c r="M481" s="192"/>
      <c r="N481" s="187"/>
      <c r="O481" s="187"/>
      <c r="P481" s="187"/>
      <c r="Q481" s="187"/>
      <c r="R481" s="187"/>
      <c r="S481" s="187"/>
      <c r="T481" s="187"/>
      <c r="U481" s="187"/>
      <c r="V481" s="187"/>
      <c r="W481" s="187"/>
      <c r="X481" s="187"/>
      <c r="Y481" s="187"/>
      <c r="Z481" s="187"/>
      <c r="AA481" s="187"/>
      <c r="AB481" s="187"/>
      <c r="AC481" s="187"/>
      <c r="AD481" s="187"/>
      <c r="AE481" s="187"/>
      <c r="AF481" s="187"/>
      <c r="AG481" s="187"/>
      <c r="AH481" s="187"/>
      <c r="AI481" s="187"/>
    </row>
    <row r="482">
      <c r="A482" s="187"/>
      <c r="B482" s="187"/>
      <c r="C482" s="187"/>
      <c r="D482" s="187"/>
      <c r="E482" s="187"/>
      <c r="F482" s="187"/>
      <c r="G482" s="187"/>
      <c r="H482" s="187"/>
      <c r="I482" s="187"/>
      <c r="J482" s="187"/>
      <c r="K482" s="187"/>
      <c r="L482" s="187"/>
      <c r="M482" s="192"/>
      <c r="N482" s="187"/>
      <c r="O482" s="187"/>
      <c r="P482" s="187"/>
      <c r="Q482" s="187"/>
      <c r="R482" s="187"/>
      <c r="S482" s="187"/>
      <c r="T482" s="187"/>
      <c r="U482" s="187"/>
      <c r="V482" s="187"/>
      <c r="W482" s="187"/>
      <c r="X482" s="187"/>
      <c r="Y482" s="187"/>
      <c r="Z482" s="187"/>
      <c r="AA482" s="187"/>
      <c r="AB482" s="187"/>
      <c r="AC482" s="187"/>
      <c r="AD482" s="187"/>
      <c r="AE482" s="187"/>
      <c r="AF482" s="187"/>
      <c r="AG482" s="187"/>
      <c r="AH482" s="187"/>
      <c r="AI482" s="187"/>
    </row>
    <row r="483">
      <c r="A483" s="187"/>
      <c r="B483" s="187"/>
      <c r="C483" s="187"/>
      <c r="D483" s="187"/>
      <c r="E483" s="187"/>
      <c r="F483" s="187"/>
      <c r="G483" s="187"/>
      <c r="H483" s="187"/>
      <c r="I483" s="187"/>
      <c r="J483" s="187"/>
      <c r="K483" s="187"/>
      <c r="L483" s="187"/>
      <c r="M483" s="192"/>
      <c r="N483" s="187"/>
      <c r="O483" s="187"/>
      <c r="P483" s="187"/>
      <c r="Q483" s="187"/>
      <c r="R483" s="187"/>
      <c r="S483" s="187"/>
      <c r="T483" s="187"/>
      <c r="U483" s="187"/>
      <c r="V483" s="187"/>
      <c r="W483" s="187"/>
      <c r="X483" s="187"/>
      <c r="Y483" s="187"/>
      <c r="Z483" s="187"/>
      <c r="AA483" s="187"/>
      <c r="AB483" s="187"/>
      <c r="AC483" s="187"/>
      <c r="AD483" s="187"/>
      <c r="AE483" s="187"/>
      <c r="AF483" s="187"/>
      <c r="AG483" s="187"/>
      <c r="AH483" s="187"/>
      <c r="AI483" s="187"/>
    </row>
    <row r="484">
      <c r="A484" s="187"/>
      <c r="B484" s="187"/>
      <c r="C484" s="187"/>
      <c r="D484" s="187"/>
      <c r="E484" s="187"/>
      <c r="F484" s="187"/>
      <c r="G484" s="187"/>
      <c r="H484" s="187"/>
      <c r="I484" s="187"/>
      <c r="J484" s="187"/>
      <c r="K484" s="187"/>
      <c r="L484" s="187"/>
      <c r="M484" s="192"/>
      <c r="N484" s="187"/>
      <c r="O484" s="187"/>
      <c r="P484" s="187"/>
      <c r="Q484" s="187"/>
      <c r="R484" s="187"/>
      <c r="S484" s="187"/>
      <c r="T484" s="187"/>
      <c r="U484" s="187"/>
      <c r="V484" s="187"/>
      <c r="W484" s="187"/>
      <c r="X484" s="187"/>
      <c r="Y484" s="187"/>
      <c r="Z484" s="187"/>
      <c r="AA484" s="187"/>
      <c r="AB484" s="187"/>
      <c r="AC484" s="187"/>
      <c r="AD484" s="187"/>
      <c r="AE484" s="187"/>
      <c r="AF484" s="187"/>
      <c r="AG484" s="187"/>
      <c r="AH484" s="187"/>
      <c r="AI484" s="187"/>
    </row>
    <row r="485">
      <c r="A485" s="187"/>
      <c r="B485" s="187"/>
      <c r="C485" s="187"/>
      <c r="D485" s="187"/>
      <c r="E485" s="187"/>
      <c r="F485" s="187"/>
      <c r="G485" s="187"/>
      <c r="H485" s="187"/>
      <c r="I485" s="187"/>
      <c r="J485" s="187"/>
      <c r="K485" s="187"/>
      <c r="L485" s="187"/>
      <c r="M485" s="192"/>
      <c r="N485" s="187"/>
      <c r="O485" s="187"/>
      <c r="P485" s="187"/>
      <c r="Q485" s="187"/>
      <c r="R485" s="187"/>
      <c r="S485" s="187"/>
      <c r="T485" s="187"/>
      <c r="U485" s="187"/>
      <c r="V485" s="187"/>
      <c r="W485" s="187"/>
      <c r="X485" s="187"/>
      <c r="Y485" s="187"/>
      <c r="Z485" s="187"/>
      <c r="AA485" s="187"/>
      <c r="AB485" s="187"/>
      <c r="AC485" s="187"/>
      <c r="AD485" s="187"/>
      <c r="AE485" s="187"/>
      <c r="AF485" s="187"/>
      <c r="AG485" s="187"/>
      <c r="AH485" s="187"/>
      <c r="AI485" s="187"/>
    </row>
    <row r="486">
      <c r="A486" s="187"/>
      <c r="B486" s="187"/>
      <c r="C486" s="187"/>
      <c r="D486" s="187"/>
      <c r="E486" s="187"/>
      <c r="F486" s="187"/>
      <c r="G486" s="187"/>
      <c r="H486" s="187"/>
      <c r="I486" s="187"/>
      <c r="J486" s="187"/>
      <c r="K486" s="187"/>
      <c r="L486" s="187"/>
      <c r="M486" s="192"/>
      <c r="N486" s="187"/>
      <c r="O486" s="187"/>
      <c r="P486" s="187"/>
      <c r="Q486" s="187"/>
      <c r="R486" s="187"/>
      <c r="S486" s="187"/>
      <c r="T486" s="187"/>
      <c r="U486" s="187"/>
      <c r="V486" s="187"/>
      <c r="W486" s="187"/>
      <c r="X486" s="187"/>
      <c r="Y486" s="187"/>
      <c r="Z486" s="187"/>
      <c r="AA486" s="187"/>
      <c r="AB486" s="187"/>
      <c r="AC486" s="187"/>
      <c r="AD486" s="187"/>
      <c r="AE486" s="187"/>
      <c r="AF486" s="187"/>
      <c r="AG486" s="187"/>
      <c r="AH486" s="187"/>
      <c r="AI486" s="187"/>
    </row>
    <row r="487">
      <c r="A487" s="187"/>
      <c r="B487" s="187"/>
      <c r="C487" s="187"/>
      <c r="D487" s="187"/>
      <c r="E487" s="187"/>
      <c r="F487" s="187"/>
      <c r="G487" s="187"/>
      <c r="H487" s="187"/>
      <c r="I487" s="187"/>
      <c r="J487" s="187"/>
      <c r="K487" s="187"/>
      <c r="L487" s="187"/>
      <c r="M487" s="192"/>
      <c r="N487" s="187"/>
      <c r="O487" s="187"/>
      <c r="P487" s="187"/>
      <c r="Q487" s="187"/>
      <c r="R487" s="187"/>
      <c r="S487" s="187"/>
      <c r="T487" s="187"/>
      <c r="U487" s="187"/>
      <c r="V487" s="187"/>
      <c r="W487" s="187"/>
      <c r="X487" s="187"/>
      <c r="Y487" s="187"/>
      <c r="Z487" s="187"/>
      <c r="AA487" s="187"/>
      <c r="AB487" s="187"/>
      <c r="AC487" s="187"/>
      <c r="AD487" s="187"/>
      <c r="AE487" s="187"/>
      <c r="AF487" s="187"/>
      <c r="AG487" s="187"/>
      <c r="AH487" s="187"/>
      <c r="AI487" s="187"/>
    </row>
    <row r="488">
      <c r="A488" s="187"/>
      <c r="B488" s="187"/>
      <c r="C488" s="187"/>
      <c r="D488" s="187"/>
      <c r="E488" s="187"/>
      <c r="F488" s="187"/>
      <c r="G488" s="187"/>
      <c r="H488" s="187"/>
      <c r="I488" s="187"/>
      <c r="J488" s="187"/>
      <c r="K488" s="187"/>
      <c r="L488" s="187"/>
      <c r="M488" s="192"/>
      <c r="N488" s="187"/>
      <c r="O488" s="187"/>
      <c r="P488" s="187"/>
      <c r="Q488" s="187"/>
      <c r="R488" s="187"/>
      <c r="S488" s="187"/>
      <c r="T488" s="187"/>
      <c r="U488" s="187"/>
      <c r="V488" s="187"/>
      <c r="W488" s="187"/>
      <c r="X488" s="187"/>
      <c r="Y488" s="187"/>
      <c r="Z488" s="187"/>
      <c r="AA488" s="187"/>
      <c r="AB488" s="187"/>
      <c r="AC488" s="187"/>
      <c r="AD488" s="187"/>
      <c r="AE488" s="187"/>
      <c r="AF488" s="187"/>
      <c r="AG488" s="187"/>
      <c r="AH488" s="187"/>
      <c r="AI488" s="187"/>
    </row>
    <row r="489">
      <c r="A489" s="187"/>
      <c r="B489" s="187"/>
      <c r="C489" s="187"/>
      <c r="D489" s="187"/>
      <c r="E489" s="187"/>
      <c r="F489" s="187"/>
      <c r="G489" s="187"/>
      <c r="H489" s="187"/>
      <c r="I489" s="187"/>
      <c r="J489" s="187"/>
      <c r="K489" s="187"/>
      <c r="L489" s="187"/>
      <c r="M489" s="192"/>
      <c r="N489" s="187"/>
      <c r="O489" s="187"/>
      <c r="P489" s="187"/>
      <c r="Q489" s="187"/>
      <c r="R489" s="187"/>
      <c r="S489" s="187"/>
      <c r="T489" s="187"/>
      <c r="U489" s="187"/>
      <c r="V489" s="187"/>
      <c r="W489" s="187"/>
      <c r="X489" s="187"/>
      <c r="Y489" s="187"/>
      <c r="Z489" s="187"/>
      <c r="AA489" s="187"/>
      <c r="AB489" s="187"/>
      <c r="AC489" s="187"/>
      <c r="AD489" s="187"/>
      <c r="AE489" s="187"/>
      <c r="AF489" s="187"/>
      <c r="AG489" s="187"/>
      <c r="AH489" s="187"/>
      <c r="AI489" s="187"/>
    </row>
    <row r="490">
      <c r="A490" s="187"/>
      <c r="B490" s="187"/>
      <c r="C490" s="187"/>
      <c r="D490" s="187"/>
      <c r="E490" s="187"/>
      <c r="F490" s="187"/>
      <c r="G490" s="187"/>
      <c r="H490" s="187"/>
      <c r="I490" s="187"/>
      <c r="J490" s="187"/>
      <c r="K490" s="187"/>
      <c r="L490" s="187"/>
      <c r="M490" s="192"/>
      <c r="N490" s="187"/>
      <c r="O490" s="187"/>
      <c r="P490" s="187"/>
      <c r="Q490" s="187"/>
      <c r="R490" s="187"/>
      <c r="S490" s="187"/>
      <c r="T490" s="187"/>
      <c r="U490" s="187"/>
      <c r="V490" s="187"/>
      <c r="W490" s="187"/>
      <c r="X490" s="187"/>
      <c r="Y490" s="187"/>
      <c r="Z490" s="187"/>
      <c r="AA490" s="187"/>
      <c r="AB490" s="187"/>
      <c r="AC490" s="187"/>
      <c r="AD490" s="187"/>
      <c r="AE490" s="187"/>
      <c r="AF490" s="187"/>
      <c r="AG490" s="187"/>
      <c r="AH490" s="187"/>
      <c r="AI490" s="187"/>
    </row>
    <row r="491">
      <c r="A491" s="187"/>
      <c r="B491" s="187"/>
      <c r="C491" s="187"/>
      <c r="D491" s="187"/>
      <c r="E491" s="187"/>
      <c r="F491" s="187"/>
      <c r="G491" s="187"/>
      <c r="H491" s="187"/>
      <c r="I491" s="187"/>
      <c r="J491" s="187"/>
      <c r="K491" s="187"/>
      <c r="L491" s="187"/>
      <c r="M491" s="192"/>
      <c r="N491" s="187"/>
      <c r="O491" s="187"/>
      <c r="P491" s="187"/>
      <c r="Q491" s="187"/>
      <c r="R491" s="187"/>
      <c r="S491" s="187"/>
      <c r="T491" s="187"/>
      <c r="U491" s="187"/>
      <c r="V491" s="187"/>
      <c r="W491" s="187"/>
      <c r="X491" s="187"/>
      <c r="Y491" s="187"/>
      <c r="Z491" s="187"/>
      <c r="AA491" s="187"/>
      <c r="AB491" s="187"/>
      <c r="AC491" s="187"/>
      <c r="AD491" s="187"/>
      <c r="AE491" s="187"/>
      <c r="AF491" s="187"/>
      <c r="AG491" s="187"/>
      <c r="AH491" s="187"/>
      <c r="AI491" s="187"/>
    </row>
    <row r="492">
      <c r="A492" s="187"/>
      <c r="B492" s="187"/>
      <c r="C492" s="187"/>
      <c r="D492" s="187"/>
      <c r="E492" s="187"/>
      <c r="F492" s="187"/>
      <c r="G492" s="187"/>
      <c r="H492" s="187"/>
      <c r="I492" s="187"/>
      <c r="J492" s="187"/>
      <c r="K492" s="187"/>
      <c r="L492" s="187"/>
      <c r="M492" s="192"/>
      <c r="N492" s="187"/>
      <c r="O492" s="187"/>
      <c r="P492" s="187"/>
      <c r="Q492" s="187"/>
      <c r="R492" s="187"/>
      <c r="S492" s="187"/>
      <c r="T492" s="187"/>
      <c r="U492" s="187"/>
      <c r="V492" s="187"/>
      <c r="W492" s="187"/>
      <c r="X492" s="187"/>
      <c r="Y492" s="187"/>
      <c r="Z492" s="187"/>
      <c r="AA492" s="187"/>
      <c r="AB492" s="187"/>
      <c r="AC492" s="187"/>
      <c r="AD492" s="187"/>
      <c r="AE492" s="187"/>
      <c r="AF492" s="187"/>
      <c r="AG492" s="187"/>
      <c r="AH492" s="187"/>
      <c r="AI492" s="187"/>
    </row>
    <row r="493">
      <c r="A493" s="187"/>
      <c r="B493" s="187"/>
      <c r="C493" s="187"/>
      <c r="D493" s="187"/>
      <c r="E493" s="187"/>
      <c r="F493" s="187"/>
      <c r="G493" s="187"/>
      <c r="H493" s="187"/>
      <c r="I493" s="187"/>
      <c r="J493" s="187"/>
      <c r="K493" s="187"/>
      <c r="L493" s="187"/>
      <c r="M493" s="192"/>
      <c r="N493" s="187"/>
      <c r="O493" s="187"/>
      <c r="P493" s="187"/>
      <c r="Q493" s="187"/>
      <c r="R493" s="187"/>
      <c r="S493" s="187"/>
      <c r="T493" s="187"/>
      <c r="U493" s="187"/>
      <c r="V493" s="187"/>
      <c r="W493" s="187"/>
      <c r="X493" s="187"/>
      <c r="Y493" s="187"/>
      <c r="Z493" s="187"/>
      <c r="AA493" s="187"/>
      <c r="AB493" s="187"/>
      <c r="AC493" s="187"/>
      <c r="AD493" s="187"/>
      <c r="AE493" s="187"/>
      <c r="AF493" s="187"/>
      <c r="AG493" s="187"/>
      <c r="AH493" s="187"/>
      <c r="AI493" s="187"/>
    </row>
    <row r="494">
      <c r="A494" s="187"/>
      <c r="B494" s="187"/>
      <c r="C494" s="187"/>
      <c r="D494" s="187"/>
      <c r="E494" s="187"/>
      <c r="F494" s="187"/>
      <c r="G494" s="187"/>
      <c r="H494" s="187"/>
      <c r="I494" s="187"/>
      <c r="J494" s="187"/>
      <c r="K494" s="187"/>
      <c r="L494" s="187"/>
      <c r="M494" s="192"/>
      <c r="N494" s="187"/>
      <c r="O494" s="187"/>
      <c r="P494" s="187"/>
      <c r="Q494" s="187"/>
      <c r="R494" s="187"/>
      <c r="S494" s="187"/>
      <c r="T494" s="187"/>
      <c r="U494" s="187"/>
      <c r="V494" s="187"/>
      <c r="W494" s="187"/>
      <c r="X494" s="187"/>
      <c r="Y494" s="187"/>
      <c r="Z494" s="187"/>
      <c r="AA494" s="187"/>
      <c r="AB494" s="187"/>
      <c r="AC494" s="187"/>
      <c r="AD494" s="187"/>
      <c r="AE494" s="187"/>
      <c r="AF494" s="187"/>
      <c r="AG494" s="187"/>
      <c r="AH494" s="187"/>
      <c r="AI494" s="187"/>
    </row>
    <row r="495">
      <c r="A495" s="187"/>
      <c r="B495" s="187"/>
      <c r="C495" s="187"/>
      <c r="D495" s="187"/>
      <c r="E495" s="187"/>
      <c r="F495" s="187"/>
      <c r="G495" s="187"/>
      <c r="H495" s="187"/>
      <c r="I495" s="187"/>
      <c r="J495" s="187"/>
      <c r="K495" s="187"/>
      <c r="L495" s="187"/>
      <c r="M495" s="192"/>
      <c r="N495" s="187"/>
      <c r="O495" s="187"/>
      <c r="P495" s="187"/>
      <c r="Q495" s="187"/>
      <c r="R495" s="187"/>
      <c r="S495" s="187"/>
      <c r="T495" s="187"/>
      <c r="U495" s="187"/>
      <c r="V495" s="187"/>
      <c r="W495" s="187"/>
      <c r="X495" s="187"/>
      <c r="Y495" s="187"/>
      <c r="Z495" s="187"/>
      <c r="AA495" s="187"/>
      <c r="AB495" s="187"/>
      <c r="AC495" s="187"/>
      <c r="AD495" s="187"/>
      <c r="AE495" s="187"/>
      <c r="AF495" s="187"/>
      <c r="AG495" s="187"/>
      <c r="AH495" s="187"/>
      <c r="AI495" s="187"/>
    </row>
    <row r="496">
      <c r="A496" s="187"/>
      <c r="B496" s="187"/>
      <c r="C496" s="187"/>
      <c r="D496" s="187"/>
      <c r="E496" s="187"/>
      <c r="F496" s="187"/>
      <c r="G496" s="187"/>
      <c r="H496" s="187"/>
      <c r="I496" s="187"/>
      <c r="J496" s="187"/>
      <c r="K496" s="187"/>
      <c r="L496" s="187"/>
      <c r="M496" s="192"/>
      <c r="N496" s="187"/>
      <c r="O496" s="187"/>
      <c r="P496" s="187"/>
      <c r="Q496" s="187"/>
      <c r="R496" s="187"/>
      <c r="S496" s="187"/>
      <c r="T496" s="187"/>
      <c r="U496" s="187"/>
      <c r="V496" s="187"/>
      <c r="W496" s="187"/>
      <c r="X496" s="187"/>
      <c r="Y496" s="187"/>
      <c r="Z496" s="187"/>
      <c r="AA496" s="187"/>
      <c r="AB496" s="187"/>
      <c r="AC496" s="187"/>
      <c r="AD496" s="187"/>
      <c r="AE496" s="187"/>
      <c r="AF496" s="187"/>
      <c r="AG496" s="187"/>
      <c r="AH496" s="187"/>
      <c r="AI496" s="187"/>
    </row>
    <row r="497">
      <c r="A497" s="187"/>
      <c r="B497" s="187"/>
      <c r="C497" s="187"/>
      <c r="D497" s="187"/>
      <c r="E497" s="187"/>
      <c r="F497" s="187"/>
      <c r="G497" s="187"/>
      <c r="H497" s="187"/>
      <c r="I497" s="187"/>
      <c r="J497" s="187"/>
      <c r="K497" s="187"/>
      <c r="L497" s="187"/>
      <c r="M497" s="192"/>
      <c r="N497" s="187"/>
      <c r="O497" s="187"/>
      <c r="P497" s="187"/>
      <c r="Q497" s="187"/>
      <c r="R497" s="187"/>
      <c r="S497" s="187"/>
      <c r="T497" s="187"/>
      <c r="U497" s="187"/>
      <c r="V497" s="187"/>
      <c r="W497" s="187"/>
      <c r="X497" s="187"/>
      <c r="Y497" s="187"/>
      <c r="Z497" s="187"/>
      <c r="AA497" s="187"/>
      <c r="AB497" s="187"/>
      <c r="AC497" s="187"/>
      <c r="AD497" s="187"/>
      <c r="AE497" s="187"/>
      <c r="AF497" s="187"/>
      <c r="AG497" s="187"/>
      <c r="AH497" s="187"/>
      <c r="AI497" s="187"/>
    </row>
    <row r="498">
      <c r="A498" s="187"/>
      <c r="B498" s="187"/>
      <c r="C498" s="187"/>
      <c r="D498" s="187"/>
      <c r="E498" s="187"/>
      <c r="F498" s="187"/>
      <c r="G498" s="187"/>
      <c r="H498" s="187"/>
      <c r="I498" s="187"/>
      <c r="J498" s="187"/>
      <c r="K498" s="187"/>
      <c r="L498" s="187"/>
      <c r="M498" s="192"/>
      <c r="N498" s="187"/>
      <c r="O498" s="187"/>
      <c r="P498" s="187"/>
      <c r="Q498" s="187"/>
      <c r="R498" s="187"/>
      <c r="S498" s="187"/>
      <c r="T498" s="187"/>
      <c r="U498" s="187"/>
      <c r="V498" s="187"/>
      <c r="W498" s="187"/>
      <c r="X498" s="187"/>
      <c r="Y498" s="187"/>
      <c r="Z498" s="187"/>
      <c r="AA498" s="187"/>
      <c r="AB498" s="187"/>
      <c r="AC498" s="187"/>
      <c r="AD498" s="187"/>
      <c r="AE498" s="187"/>
      <c r="AF498" s="187"/>
      <c r="AG498" s="187"/>
      <c r="AH498" s="187"/>
      <c r="AI498" s="187"/>
    </row>
    <row r="499">
      <c r="A499" s="187"/>
      <c r="B499" s="187"/>
      <c r="C499" s="187"/>
      <c r="D499" s="187"/>
      <c r="E499" s="187"/>
      <c r="F499" s="187"/>
      <c r="G499" s="187"/>
      <c r="H499" s="187"/>
      <c r="I499" s="187"/>
      <c r="J499" s="187"/>
      <c r="K499" s="187"/>
      <c r="L499" s="187"/>
      <c r="M499" s="192"/>
      <c r="N499" s="187"/>
      <c r="O499" s="187"/>
      <c r="P499" s="187"/>
      <c r="Q499" s="187"/>
      <c r="R499" s="187"/>
      <c r="S499" s="187"/>
      <c r="T499" s="187"/>
      <c r="U499" s="187"/>
      <c r="V499" s="187"/>
      <c r="W499" s="187"/>
      <c r="X499" s="187"/>
      <c r="Y499" s="187"/>
      <c r="Z499" s="187"/>
      <c r="AA499" s="187"/>
      <c r="AB499" s="187"/>
      <c r="AC499" s="187"/>
      <c r="AD499" s="187"/>
      <c r="AE499" s="187"/>
      <c r="AF499" s="187"/>
      <c r="AG499" s="187"/>
      <c r="AH499" s="187"/>
      <c r="AI499" s="187"/>
    </row>
    <row r="500">
      <c r="A500" s="187"/>
      <c r="B500" s="187"/>
      <c r="C500" s="187"/>
      <c r="D500" s="187"/>
      <c r="E500" s="187"/>
      <c r="F500" s="187"/>
      <c r="G500" s="187"/>
      <c r="H500" s="187"/>
      <c r="I500" s="187"/>
      <c r="J500" s="187"/>
      <c r="K500" s="187"/>
      <c r="L500" s="187"/>
      <c r="M500" s="192"/>
      <c r="N500" s="187"/>
      <c r="O500" s="187"/>
      <c r="P500" s="187"/>
      <c r="Q500" s="187"/>
      <c r="R500" s="187"/>
      <c r="S500" s="187"/>
      <c r="T500" s="187"/>
      <c r="U500" s="187"/>
      <c r="V500" s="187"/>
      <c r="W500" s="187"/>
      <c r="X500" s="187"/>
      <c r="Y500" s="187"/>
      <c r="Z500" s="187"/>
      <c r="AA500" s="187"/>
      <c r="AB500" s="187"/>
      <c r="AC500" s="187"/>
      <c r="AD500" s="187"/>
      <c r="AE500" s="187"/>
      <c r="AF500" s="187"/>
      <c r="AG500" s="187"/>
      <c r="AH500" s="187"/>
      <c r="AI500" s="187"/>
    </row>
    <row r="501">
      <c r="A501" s="187"/>
      <c r="B501" s="187"/>
      <c r="C501" s="187"/>
      <c r="D501" s="187"/>
      <c r="E501" s="187"/>
      <c r="F501" s="187"/>
      <c r="G501" s="187"/>
      <c r="H501" s="187"/>
      <c r="I501" s="187"/>
      <c r="J501" s="187"/>
      <c r="K501" s="187"/>
      <c r="L501" s="187"/>
      <c r="M501" s="192"/>
      <c r="N501" s="187"/>
      <c r="O501" s="187"/>
      <c r="P501" s="187"/>
      <c r="Q501" s="187"/>
      <c r="R501" s="187"/>
      <c r="S501" s="187"/>
      <c r="T501" s="187"/>
      <c r="U501" s="187"/>
      <c r="V501" s="187"/>
      <c r="W501" s="187"/>
      <c r="X501" s="187"/>
      <c r="Y501" s="187"/>
      <c r="Z501" s="187"/>
      <c r="AA501" s="187"/>
      <c r="AB501" s="187"/>
      <c r="AC501" s="187"/>
      <c r="AD501" s="187"/>
      <c r="AE501" s="187"/>
      <c r="AF501" s="187"/>
      <c r="AG501" s="187"/>
      <c r="AH501" s="187"/>
      <c r="AI501" s="187"/>
    </row>
    <row r="502">
      <c r="A502" s="187"/>
      <c r="B502" s="187"/>
      <c r="C502" s="187"/>
      <c r="D502" s="187"/>
      <c r="E502" s="187"/>
      <c r="F502" s="187"/>
      <c r="G502" s="187"/>
      <c r="H502" s="187"/>
      <c r="I502" s="187"/>
      <c r="J502" s="187"/>
      <c r="K502" s="187"/>
      <c r="L502" s="187"/>
      <c r="M502" s="192"/>
      <c r="N502" s="187"/>
      <c r="O502" s="187"/>
      <c r="P502" s="187"/>
      <c r="Q502" s="187"/>
      <c r="R502" s="187"/>
      <c r="S502" s="187"/>
      <c r="T502" s="187"/>
      <c r="U502" s="187"/>
      <c r="V502" s="187"/>
      <c r="W502" s="187"/>
      <c r="X502" s="187"/>
      <c r="Y502" s="187"/>
      <c r="Z502" s="187"/>
      <c r="AA502" s="187"/>
      <c r="AB502" s="187"/>
      <c r="AC502" s="187"/>
      <c r="AD502" s="187"/>
      <c r="AE502" s="187"/>
      <c r="AF502" s="187"/>
      <c r="AG502" s="187"/>
      <c r="AH502" s="187"/>
      <c r="AI502" s="187"/>
    </row>
    <row r="503">
      <c r="A503" s="187"/>
      <c r="B503" s="187"/>
      <c r="C503" s="187"/>
      <c r="D503" s="187"/>
      <c r="E503" s="187"/>
      <c r="F503" s="187"/>
      <c r="G503" s="187"/>
      <c r="H503" s="187"/>
      <c r="I503" s="187"/>
      <c r="J503" s="187"/>
      <c r="K503" s="187"/>
      <c r="L503" s="187"/>
      <c r="M503" s="192"/>
      <c r="N503" s="187"/>
      <c r="O503" s="187"/>
      <c r="P503" s="187"/>
      <c r="Q503" s="187"/>
      <c r="R503" s="187"/>
      <c r="S503" s="187"/>
      <c r="T503" s="187"/>
      <c r="U503" s="187"/>
      <c r="V503" s="187"/>
      <c r="W503" s="187"/>
      <c r="X503" s="187"/>
      <c r="Y503" s="187"/>
      <c r="Z503" s="187"/>
      <c r="AA503" s="187"/>
      <c r="AB503" s="187"/>
      <c r="AC503" s="187"/>
      <c r="AD503" s="187"/>
      <c r="AE503" s="187"/>
      <c r="AF503" s="187"/>
      <c r="AG503" s="187"/>
      <c r="AH503" s="187"/>
      <c r="AI503" s="187"/>
    </row>
    <row r="504">
      <c r="A504" s="187"/>
      <c r="B504" s="187"/>
      <c r="C504" s="187"/>
      <c r="D504" s="187"/>
      <c r="E504" s="187"/>
      <c r="F504" s="187"/>
      <c r="G504" s="187"/>
      <c r="H504" s="187"/>
      <c r="I504" s="187"/>
      <c r="J504" s="187"/>
      <c r="K504" s="187"/>
      <c r="L504" s="187"/>
      <c r="M504" s="192"/>
      <c r="N504" s="187"/>
      <c r="O504" s="187"/>
      <c r="P504" s="187"/>
      <c r="Q504" s="187"/>
      <c r="R504" s="187"/>
      <c r="S504" s="187"/>
      <c r="T504" s="187"/>
      <c r="U504" s="187"/>
      <c r="V504" s="187"/>
      <c r="W504" s="187"/>
      <c r="X504" s="187"/>
      <c r="Y504" s="187"/>
      <c r="Z504" s="187"/>
      <c r="AA504" s="187"/>
      <c r="AB504" s="187"/>
      <c r="AC504" s="187"/>
      <c r="AD504" s="187"/>
      <c r="AE504" s="187"/>
      <c r="AF504" s="187"/>
      <c r="AG504" s="187"/>
      <c r="AH504" s="187"/>
      <c r="AI504" s="187"/>
    </row>
    <row r="505">
      <c r="A505" s="187"/>
      <c r="B505" s="187"/>
      <c r="C505" s="187"/>
      <c r="D505" s="187"/>
      <c r="E505" s="187"/>
      <c r="F505" s="187"/>
      <c r="G505" s="187"/>
      <c r="H505" s="187"/>
      <c r="I505" s="187"/>
      <c r="J505" s="187"/>
      <c r="K505" s="187"/>
      <c r="L505" s="187"/>
      <c r="M505" s="192"/>
      <c r="N505" s="187"/>
      <c r="O505" s="187"/>
      <c r="P505" s="187"/>
      <c r="Q505" s="187"/>
      <c r="R505" s="187"/>
      <c r="S505" s="187"/>
      <c r="T505" s="187"/>
      <c r="U505" s="187"/>
      <c r="V505" s="187"/>
      <c r="W505" s="187"/>
      <c r="X505" s="187"/>
      <c r="Y505" s="187"/>
      <c r="Z505" s="187"/>
      <c r="AA505" s="187"/>
      <c r="AB505" s="187"/>
      <c r="AC505" s="187"/>
      <c r="AD505" s="187"/>
      <c r="AE505" s="187"/>
      <c r="AF505" s="187"/>
      <c r="AG505" s="187"/>
      <c r="AH505" s="187"/>
      <c r="AI505" s="187"/>
    </row>
    <row r="506">
      <c r="A506" s="187"/>
      <c r="B506" s="187"/>
      <c r="C506" s="187"/>
      <c r="D506" s="187"/>
      <c r="E506" s="187"/>
      <c r="F506" s="187"/>
      <c r="G506" s="187"/>
      <c r="H506" s="187"/>
      <c r="I506" s="187"/>
      <c r="J506" s="187"/>
      <c r="K506" s="187"/>
      <c r="L506" s="187"/>
      <c r="M506" s="192"/>
      <c r="N506" s="187"/>
      <c r="O506" s="187"/>
      <c r="P506" s="187"/>
      <c r="Q506" s="187"/>
      <c r="R506" s="187"/>
      <c r="S506" s="187"/>
      <c r="T506" s="187"/>
      <c r="U506" s="187"/>
      <c r="V506" s="187"/>
      <c r="W506" s="187"/>
      <c r="X506" s="187"/>
      <c r="Y506" s="187"/>
      <c r="Z506" s="187"/>
      <c r="AA506" s="187"/>
      <c r="AB506" s="187"/>
      <c r="AC506" s="187"/>
      <c r="AD506" s="187"/>
      <c r="AE506" s="187"/>
      <c r="AF506" s="187"/>
      <c r="AG506" s="187"/>
      <c r="AH506" s="187"/>
      <c r="AI506" s="187"/>
    </row>
    <row r="507">
      <c r="A507" s="187"/>
      <c r="B507" s="187"/>
      <c r="C507" s="187"/>
      <c r="D507" s="187"/>
      <c r="E507" s="187"/>
      <c r="F507" s="187"/>
      <c r="G507" s="187"/>
      <c r="H507" s="187"/>
      <c r="I507" s="187"/>
      <c r="J507" s="187"/>
      <c r="K507" s="187"/>
      <c r="L507" s="187"/>
      <c r="M507" s="192"/>
      <c r="N507" s="187"/>
      <c r="O507" s="187"/>
      <c r="P507" s="187"/>
      <c r="Q507" s="187"/>
      <c r="R507" s="187"/>
      <c r="S507" s="187"/>
      <c r="T507" s="187"/>
      <c r="U507" s="187"/>
      <c r="V507" s="187"/>
      <c r="W507" s="187"/>
      <c r="X507" s="187"/>
      <c r="Y507" s="187"/>
      <c r="Z507" s="187"/>
      <c r="AA507" s="187"/>
      <c r="AB507" s="187"/>
      <c r="AC507" s="187"/>
      <c r="AD507" s="187"/>
      <c r="AE507" s="187"/>
      <c r="AF507" s="187"/>
      <c r="AG507" s="187"/>
      <c r="AH507" s="187"/>
      <c r="AI507" s="187"/>
    </row>
    <row r="508">
      <c r="A508" s="187"/>
      <c r="B508" s="187"/>
      <c r="C508" s="187"/>
      <c r="D508" s="187"/>
      <c r="E508" s="187"/>
      <c r="F508" s="187"/>
      <c r="G508" s="187"/>
      <c r="H508" s="187"/>
      <c r="I508" s="187"/>
      <c r="J508" s="187"/>
      <c r="K508" s="187"/>
      <c r="L508" s="187"/>
      <c r="M508" s="192"/>
      <c r="N508" s="187"/>
      <c r="O508" s="187"/>
      <c r="P508" s="187"/>
      <c r="Q508" s="187"/>
      <c r="R508" s="187"/>
      <c r="S508" s="187"/>
      <c r="T508" s="187"/>
      <c r="U508" s="187"/>
      <c r="V508" s="187"/>
      <c r="W508" s="187"/>
      <c r="X508" s="187"/>
      <c r="Y508" s="187"/>
      <c r="Z508" s="187"/>
      <c r="AA508" s="187"/>
      <c r="AB508" s="187"/>
      <c r="AC508" s="187"/>
      <c r="AD508" s="187"/>
      <c r="AE508" s="187"/>
      <c r="AF508" s="187"/>
      <c r="AG508" s="187"/>
      <c r="AH508" s="187"/>
      <c r="AI508" s="187"/>
    </row>
    <row r="509">
      <c r="A509" s="187"/>
      <c r="B509" s="187"/>
      <c r="C509" s="187"/>
      <c r="D509" s="187"/>
      <c r="E509" s="187"/>
      <c r="F509" s="187"/>
      <c r="G509" s="187"/>
      <c r="H509" s="187"/>
      <c r="I509" s="187"/>
      <c r="J509" s="187"/>
      <c r="K509" s="187"/>
      <c r="L509" s="187"/>
      <c r="M509" s="192"/>
      <c r="N509" s="187"/>
      <c r="O509" s="187"/>
      <c r="P509" s="187"/>
      <c r="Q509" s="187"/>
      <c r="R509" s="187"/>
      <c r="S509" s="187"/>
      <c r="T509" s="187"/>
      <c r="U509" s="187"/>
      <c r="V509" s="187"/>
      <c r="W509" s="187"/>
      <c r="X509" s="187"/>
      <c r="Y509" s="187"/>
      <c r="Z509" s="187"/>
      <c r="AA509" s="187"/>
      <c r="AB509" s="187"/>
      <c r="AC509" s="187"/>
      <c r="AD509" s="187"/>
      <c r="AE509" s="187"/>
      <c r="AF509" s="187"/>
      <c r="AG509" s="187"/>
      <c r="AH509" s="187"/>
      <c r="AI509" s="187"/>
    </row>
    <row r="510">
      <c r="A510" s="187"/>
      <c r="B510" s="187"/>
      <c r="C510" s="187"/>
      <c r="D510" s="187"/>
      <c r="E510" s="187"/>
      <c r="F510" s="187"/>
      <c r="G510" s="187"/>
      <c r="H510" s="187"/>
      <c r="I510" s="187"/>
      <c r="J510" s="187"/>
      <c r="K510" s="187"/>
      <c r="L510" s="187"/>
      <c r="M510" s="192"/>
      <c r="N510" s="187"/>
      <c r="O510" s="187"/>
      <c r="P510" s="187"/>
      <c r="Q510" s="187"/>
      <c r="R510" s="187"/>
      <c r="S510" s="187"/>
      <c r="T510" s="187"/>
      <c r="U510" s="187"/>
      <c r="V510" s="187"/>
      <c r="W510" s="187"/>
      <c r="X510" s="187"/>
      <c r="Y510" s="187"/>
      <c r="Z510" s="187"/>
      <c r="AA510" s="187"/>
      <c r="AB510" s="187"/>
      <c r="AC510" s="187"/>
      <c r="AD510" s="187"/>
      <c r="AE510" s="187"/>
      <c r="AF510" s="187"/>
      <c r="AG510" s="187"/>
      <c r="AH510" s="187"/>
      <c r="AI510" s="187"/>
    </row>
    <row r="511">
      <c r="A511" s="187"/>
      <c r="B511" s="187"/>
      <c r="C511" s="187"/>
      <c r="D511" s="187"/>
      <c r="E511" s="187"/>
      <c r="F511" s="187"/>
      <c r="G511" s="187"/>
      <c r="H511" s="187"/>
      <c r="I511" s="187"/>
      <c r="J511" s="187"/>
      <c r="K511" s="187"/>
      <c r="L511" s="187"/>
      <c r="M511" s="192"/>
      <c r="N511" s="187"/>
      <c r="O511" s="187"/>
      <c r="P511" s="187"/>
      <c r="Q511" s="187"/>
      <c r="R511" s="187"/>
      <c r="S511" s="187"/>
      <c r="T511" s="187"/>
      <c r="U511" s="187"/>
      <c r="V511" s="187"/>
      <c r="W511" s="187"/>
      <c r="X511" s="187"/>
      <c r="Y511" s="187"/>
      <c r="Z511" s="187"/>
      <c r="AA511" s="187"/>
      <c r="AB511" s="187"/>
      <c r="AC511" s="187"/>
      <c r="AD511" s="187"/>
      <c r="AE511" s="187"/>
      <c r="AF511" s="187"/>
      <c r="AG511" s="187"/>
      <c r="AH511" s="187"/>
      <c r="AI511" s="187"/>
    </row>
    <row r="512">
      <c r="A512" s="187"/>
      <c r="B512" s="187"/>
      <c r="C512" s="187"/>
      <c r="D512" s="187"/>
      <c r="E512" s="187"/>
      <c r="F512" s="187"/>
      <c r="G512" s="187"/>
      <c r="H512" s="187"/>
      <c r="I512" s="187"/>
      <c r="J512" s="187"/>
      <c r="K512" s="187"/>
      <c r="L512" s="187"/>
      <c r="M512" s="192"/>
      <c r="N512" s="187"/>
      <c r="O512" s="187"/>
      <c r="P512" s="187"/>
      <c r="Q512" s="187"/>
      <c r="R512" s="187"/>
      <c r="S512" s="187"/>
      <c r="T512" s="187"/>
      <c r="U512" s="187"/>
      <c r="V512" s="187"/>
      <c r="W512" s="187"/>
      <c r="X512" s="187"/>
      <c r="Y512" s="187"/>
      <c r="Z512" s="187"/>
      <c r="AA512" s="187"/>
      <c r="AB512" s="187"/>
      <c r="AC512" s="187"/>
      <c r="AD512" s="187"/>
      <c r="AE512" s="187"/>
      <c r="AF512" s="187"/>
      <c r="AG512" s="187"/>
      <c r="AH512" s="187"/>
      <c r="AI512" s="187"/>
    </row>
    <row r="513">
      <c r="A513" s="187"/>
      <c r="B513" s="187"/>
      <c r="C513" s="187"/>
      <c r="D513" s="187"/>
      <c r="E513" s="187"/>
      <c r="F513" s="187"/>
      <c r="G513" s="187"/>
      <c r="H513" s="187"/>
      <c r="I513" s="187"/>
      <c r="J513" s="187"/>
      <c r="K513" s="187"/>
      <c r="L513" s="187"/>
      <c r="M513" s="192"/>
      <c r="N513" s="187"/>
      <c r="O513" s="187"/>
      <c r="P513" s="187"/>
      <c r="Q513" s="187"/>
      <c r="R513" s="187"/>
      <c r="S513" s="187"/>
      <c r="T513" s="187"/>
      <c r="U513" s="187"/>
      <c r="V513" s="187"/>
      <c r="W513" s="187"/>
      <c r="X513" s="187"/>
      <c r="Y513" s="187"/>
      <c r="Z513" s="187"/>
      <c r="AA513" s="187"/>
      <c r="AB513" s="187"/>
      <c r="AC513" s="187"/>
      <c r="AD513" s="187"/>
      <c r="AE513" s="187"/>
      <c r="AF513" s="187"/>
      <c r="AG513" s="187"/>
      <c r="AH513" s="187"/>
      <c r="AI513" s="187"/>
    </row>
    <row r="514">
      <c r="A514" s="187"/>
      <c r="B514" s="187"/>
      <c r="C514" s="187"/>
      <c r="D514" s="187"/>
      <c r="E514" s="187"/>
      <c r="F514" s="187"/>
      <c r="G514" s="187"/>
      <c r="H514" s="187"/>
      <c r="I514" s="187"/>
      <c r="J514" s="187"/>
      <c r="K514" s="187"/>
      <c r="L514" s="187"/>
      <c r="M514" s="192"/>
      <c r="N514" s="187"/>
      <c r="O514" s="187"/>
      <c r="P514" s="187"/>
      <c r="Q514" s="187"/>
      <c r="R514" s="187"/>
      <c r="S514" s="187"/>
      <c r="T514" s="187"/>
      <c r="U514" s="187"/>
      <c r="V514" s="187"/>
      <c r="W514" s="187"/>
      <c r="X514" s="187"/>
      <c r="Y514" s="187"/>
      <c r="Z514" s="187"/>
      <c r="AA514" s="187"/>
      <c r="AB514" s="187"/>
      <c r="AC514" s="187"/>
      <c r="AD514" s="187"/>
      <c r="AE514" s="187"/>
      <c r="AF514" s="187"/>
      <c r="AG514" s="187"/>
      <c r="AH514" s="187"/>
      <c r="AI514" s="187"/>
    </row>
    <row r="515">
      <c r="A515" s="187"/>
      <c r="B515" s="187"/>
      <c r="C515" s="187"/>
      <c r="D515" s="187"/>
      <c r="E515" s="187"/>
      <c r="F515" s="187"/>
      <c r="G515" s="187"/>
      <c r="H515" s="187"/>
      <c r="I515" s="187"/>
      <c r="J515" s="187"/>
      <c r="K515" s="187"/>
      <c r="L515" s="187"/>
      <c r="M515" s="192"/>
      <c r="N515" s="187"/>
      <c r="O515" s="187"/>
      <c r="P515" s="187"/>
      <c r="Q515" s="187"/>
      <c r="R515" s="187"/>
      <c r="S515" s="187"/>
      <c r="T515" s="187"/>
      <c r="U515" s="187"/>
      <c r="V515" s="187"/>
      <c r="W515" s="187"/>
      <c r="X515" s="187"/>
      <c r="Y515" s="187"/>
      <c r="Z515" s="187"/>
      <c r="AA515" s="187"/>
      <c r="AB515" s="187"/>
      <c r="AC515" s="187"/>
      <c r="AD515" s="187"/>
      <c r="AE515" s="187"/>
      <c r="AF515" s="187"/>
      <c r="AG515" s="187"/>
      <c r="AH515" s="187"/>
      <c r="AI515" s="187"/>
    </row>
    <row r="516">
      <c r="A516" s="187"/>
      <c r="B516" s="187"/>
      <c r="C516" s="187"/>
      <c r="D516" s="187"/>
      <c r="E516" s="187"/>
      <c r="F516" s="187"/>
      <c r="G516" s="187"/>
      <c r="H516" s="187"/>
      <c r="I516" s="187"/>
      <c r="J516" s="187"/>
      <c r="K516" s="187"/>
      <c r="L516" s="187"/>
      <c r="M516" s="192"/>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row>
    <row r="517">
      <c r="A517" s="187"/>
      <c r="B517" s="187"/>
      <c r="C517" s="187"/>
      <c r="D517" s="187"/>
      <c r="E517" s="187"/>
      <c r="F517" s="187"/>
      <c r="G517" s="187"/>
      <c r="H517" s="187"/>
      <c r="I517" s="187"/>
      <c r="J517" s="187"/>
      <c r="K517" s="187"/>
      <c r="L517" s="187"/>
      <c r="M517" s="192"/>
      <c r="N517" s="187"/>
      <c r="O517" s="187"/>
      <c r="P517" s="187"/>
      <c r="Q517" s="187"/>
      <c r="R517" s="187"/>
      <c r="S517" s="187"/>
      <c r="T517" s="187"/>
      <c r="U517" s="187"/>
      <c r="V517" s="187"/>
      <c r="W517" s="187"/>
      <c r="X517" s="187"/>
      <c r="Y517" s="187"/>
      <c r="Z517" s="187"/>
      <c r="AA517" s="187"/>
      <c r="AB517" s="187"/>
      <c r="AC517" s="187"/>
      <c r="AD517" s="187"/>
      <c r="AE517" s="187"/>
      <c r="AF517" s="187"/>
      <c r="AG517" s="187"/>
      <c r="AH517" s="187"/>
      <c r="AI517" s="187"/>
    </row>
    <row r="518">
      <c r="A518" s="187"/>
      <c r="B518" s="187"/>
      <c r="C518" s="187"/>
      <c r="D518" s="187"/>
      <c r="E518" s="187"/>
      <c r="F518" s="187"/>
      <c r="G518" s="187"/>
      <c r="H518" s="187"/>
      <c r="I518" s="187"/>
      <c r="J518" s="187"/>
      <c r="K518" s="187"/>
      <c r="L518" s="187"/>
      <c r="M518" s="192"/>
      <c r="N518" s="187"/>
      <c r="O518" s="187"/>
      <c r="P518" s="187"/>
      <c r="Q518" s="187"/>
      <c r="R518" s="187"/>
      <c r="S518" s="187"/>
      <c r="T518" s="187"/>
      <c r="U518" s="187"/>
      <c r="V518" s="187"/>
      <c r="W518" s="187"/>
      <c r="X518" s="187"/>
      <c r="Y518" s="187"/>
      <c r="Z518" s="187"/>
      <c r="AA518" s="187"/>
      <c r="AB518" s="187"/>
      <c r="AC518" s="187"/>
      <c r="AD518" s="187"/>
      <c r="AE518" s="187"/>
      <c r="AF518" s="187"/>
      <c r="AG518" s="187"/>
      <c r="AH518" s="187"/>
      <c r="AI518" s="187"/>
    </row>
    <row r="519">
      <c r="A519" s="187"/>
      <c r="B519" s="187"/>
      <c r="C519" s="187"/>
      <c r="D519" s="187"/>
      <c r="E519" s="187"/>
      <c r="F519" s="187"/>
      <c r="G519" s="187"/>
      <c r="H519" s="187"/>
      <c r="I519" s="187"/>
      <c r="J519" s="187"/>
      <c r="K519" s="187"/>
      <c r="L519" s="187"/>
      <c r="M519" s="192"/>
      <c r="N519" s="187"/>
      <c r="O519" s="187"/>
      <c r="P519" s="187"/>
      <c r="Q519" s="187"/>
      <c r="R519" s="187"/>
      <c r="S519" s="187"/>
      <c r="T519" s="187"/>
      <c r="U519" s="187"/>
      <c r="V519" s="187"/>
      <c r="W519" s="187"/>
      <c r="X519" s="187"/>
      <c r="Y519" s="187"/>
      <c r="Z519" s="187"/>
      <c r="AA519" s="187"/>
      <c r="AB519" s="187"/>
      <c r="AC519" s="187"/>
      <c r="AD519" s="187"/>
      <c r="AE519" s="187"/>
      <c r="AF519" s="187"/>
      <c r="AG519" s="187"/>
      <c r="AH519" s="187"/>
      <c r="AI519" s="187"/>
    </row>
    <row r="520">
      <c r="A520" s="187"/>
      <c r="B520" s="187"/>
      <c r="C520" s="187"/>
      <c r="D520" s="187"/>
      <c r="E520" s="187"/>
      <c r="F520" s="187"/>
      <c r="G520" s="187"/>
      <c r="H520" s="187"/>
      <c r="I520" s="187"/>
      <c r="J520" s="187"/>
      <c r="K520" s="187"/>
      <c r="L520" s="187"/>
      <c r="M520" s="192"/>
      <c r="N520" s="187"/>
      <c r="O520" s="187"/>
      <c r="P520" s="187"/>
      <c r="Q520" s="187"/>
      <c r="R520" s="187"/>
      <c r="S520" s="187"/>
      <c r="T520" s="187"/>
      <c r="U520" s="187"/>
      <c r="V520" s="187"/>
      <c r="W520" s="187"/>
      <c r="X520" s="187"/>
      <c r="Y520" s="187"/>
      <c r="Z520" s="187"/>
      <c r="AA520" s="187"/>
      <c r="AB520" s="187"/>
      <c r="AC520" s="187"/>
      <c r="AD520" s="187"/>
      <c r="AE520" s="187"/>
      <c r="AF520" s="187"/>
      <c r="AG520" s="187"/>
      <c r="AH520" s="187"/>
      <c r="AI520" s="187"/>
    </row>
    <row r="521">
      <c r="A521" s="187"/>
      <c r="B521" s="187"/>
      <c r="C521" s="187"/>
      <c r="D521" s="187"/>
      <c r="E521" s="187"/>
      <c r="F521" s="187"/>
      <c r="G521" s="187"/>
      <c r="H521" s="187"/>
      <c r="I521" s="187"/>
      <c r="J521" s="187"/>
      <c r="K521" s="187"/>
      <c r="L521" s="187"/>
      <c r="M521" s="192"/>
      <c r="N521" s="187"/>
      <c r="O521" s="187"/>
      <c r="P521" s="187"/>
      <c r="Q521" s="187"/>
      <c r="R521" s="187"/>
      <c r="S521" s="187"/>
      <c r="T521" s="187"/>
      <c r="U521" s="187"/>
      <c r="V521" s="187"/>
      <c r="W521" s="187"/>
      <c r="X521" s="187"/>
      <c r="Y521" s="187"/>
      <c r="Z521" s="187"/>
      <c r="AA521" s="187"/>
      <c r="AB521" s="187"/>
      <c r="AC521" s="187"/>
      <c r="AD521" s="187"/>
      <c r="AE521" s="187"/>
      <c r="AF521" s="187"/>
      <c r="AG521" s="187"/>
      <c r="AH521" s="187"/>
      <c r="AI521" s="187"/>
    </row>
    <row r="522">
      <c r="A522" s="187"/>
      <c r="B522" s="187"/>
      <c r="C522" s="187"/>
      <c r="D522" s="187"/>
      <c r="E522" s="187"/>
      <c r="F522" s="187"/>
      <c r="G522" s="187"/>
      <c r="H522" s="187"/>
      <c r="I522" s="187"/>
      <c r="J522" s="187"/>
      <c r="K522" s="187"/>
      <c r="L522" s="187"/>
      <c r="M522" s="192"/>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row>
    <row r="523">
      <c r="A523" s="187"/>
      <c r="B523" s="187"/>
      <c r="C523" s="187"/>
      <c r="D523" s="187"/>
      <c r="E523" s="187"/>
      <c r="F523" s="187"/>
      <c r="G523" s="187"/>
      <c r="H523" s="187"/>
      <c r="I523" s="187"/>
      <c r="J523" s="187"/>
      <c r="K523" s="187"/>
      <c r="L523" s="187"/>
      <c r="M523" s="192"/>
      <c r="N523" s="187"/>
      <c r="O523" s="187"/>
      <c r="P523" s="187"/>
      <c r="Q523" s="187"/>
      <c r="R523" s="187"/>
      <c r="S523" s="187"/>
      <c r="T523" s="187"/>
      <c r="U523" s="187"/>
      <c r="V523" s="187"/>
      <c r="W523" s="187"/>
      <c r="X523" s="187"/>
      <c r="Y523" s="187"/>
      <c r="Z523" s="187"/>
      <c r="AA523" s="187"/>
      <c r="AB523" s="187"/>
      <c r="AC523" s="187"/>
      <c r="AD523" s="187"/>
      <c r="AE523" s="187"/>
      <c r="AF523" s="187"/>
      <c r="AG523" s="187"/>
      <c r="AH523" s="187"/>
      <c r="AI523" s="187"/>
    </row>
    <row r="524">
      <c r="A524" s="187"/>
      <c r="B524" s="187"/>
      <c r="C524" s="187"/>
      <c r="D524" s="187"/>
      <c r="E524" s="187"/>
      <c r="F524" s="187"/>
      <c r="G524" s="187"/>
      <c r="H524" s="187"/>
      <c r="I524" s="187"/>
      <c r="J524" s="187"/>
      <c r="K524" s="187"/>
      <c r="L524" s="187"/>
      <c r="M524" s="192"/>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row>
    <row r="525">
      <c r="A525" s="187"/>
      <c r="B525" s="187"/>
      <c r="C525" s="187"/>
      <c r="D525" s="187"/>
      <c r="E525" s="187"/>
      <c r="F525" s="187"/>
      <c r="G525" s="187"/>
      <c r="H525" s="187"/>
      <c r="I525" s="187"/>
      <c r="J525" s="187"/>
      <c r="K525" s="187"/>
      <c r="L525" s="187"/>
      <c r="M525" s="192"/>
      <c r="N525" s="187"/>
      <c r="O525" s="187"/>
      <c r="P525" s="187"/>
      <c r="Q525" s="187"/>
      <c r="R525" s="187"/>
      <c r="S525" s="187"/>
      <c r="T525" s="187"/>
      <c r="U525" s="187"/>
      <c r="V525" s="187"/>
      <c r="W525" s="187"/>
      <c r="X525" s="187"/>
      <c r="Y525" s="187"/>
      <c r="Z525" s="187"/>
      <c r="AA525" s="187"/>
      <c r="AB525" s="187"/>
      <c r="AC525" s="187"/>
      <c r="AD525" s="187"/>
      <c r="AE525" s="187"/>
      <c r="AF525" s="187"/>
      <c r="AG525" s="187"/>
      <c r="AH525" s="187"/>
      <c r="AI525" s="187"/>
    </row>
    <row r="526">
      <c r="A526" s="187"/>
      <c r="B526" s="187"/>
      <c r="C526" s="187"/>
      <c r="D526" s="187"/>
      <c r="E526" s="187"/>
      <c r="F526" s="187"/>
      <c r="G526" s="187"/>
      <c r="H526" s="187"/>
      <c r="I526" s="187"/>
      <c r="J526" s="187"/>
      <c r="K526" s="187"/>
      <c r="L526" s="187"/>
      <c r="M526" s="192"/>
      <c r="N526" s="187"/>
      <c r="O526" s="187"/>
      <c r="P526" s="187"/>
      <c r="Q526" s="187"/>
      <c r="R526" s="187"/>
      <c r="S526" s="187"/>
      <c r="T526" s="187"/>
      <c r="U526" s="187"/>
      <c r="V526" s="187"/>
      <c r="W526" s="187"/>
      <c r="X526" s="187"/>
      <c r="Y526" s="187"/>
      <c r="Z526" s="187"/>
      <c r="AA526" s="187"/>
      <c r="AB526" s="187"/>
      <c r="AC526" s="187"/>
      <c r="AD526" s="187"/>
      <c r="AE526" s="187"/>
      <c r="AF526" s="187"/>
      <c r="AG526" s="187"/>
      <c r="AH526" s="187"/>
      <c r="AI526" s="187"/>
    </row>
    <row r="527">
      <c r="A527" s="187"/>
      <c r="B527" s="187"/>
      <c r="C527" s="187"/>
      <c r="D527" s="187"/>
      <c r="E527" s="187"/>
      <c r="F527" s="187"/>
      <c r="G527" s="187"/>
      <c r="H527" s="187"/>
      <c r="I527" s="187"/>
      <c r="J527" s="187"/>
      <c r="K527" s="187"/>
      <c r="L527" s="187"/>
      <c r="M527" s="192"/>
      <c r="N527" s="187"/>
      <c r="O527" s="187"/>
      <c r="P527" s="187"/>
      <c r="Q527" s="187"/>
      <c r="R527" s="187"/>
      <c r="S527" s="187"/>
      <c r="T527" s="187"/>
      <c r="U527" s="187"/>
      <c r="V527" s="187"/>
      <c r="W527" s="187"/>
      <c r="X527" s="187"/>
      <c r="Y527" s="187"/>
      <c r="Z527" s="187"/>
      <c r="AA527" s="187"/>
      <c r="AB527" s="187"/>
      <c r="AC527" s="187"/>
      <c r="AD527" s="187"/>
      <c r="AE527" s="187"/>
      <c r="AF527" s="187"/>
      <c r="AG527" s="187"/>
      <c r="AH527" s="187"/>
      <c r="AI527" s="187"/>
    </row>
    <row r="528">
      <c r="A528" s="187"/>
      <c r="B528" s="187"/>
      <c r="C528" s="187"/>
      <c r="D528" s="187"/>
      <c r="E528" s="187"/>
      <c r="F528" s="187"/>
      <c r="G528" s="187"/>
      <c r="H528" s="187"/>
      <c r="I528" s="187"/>
      <c r="J528" s="187"/>
      <c r="K528" s="187"/>
      <c r="L528" s="187"/>
      <c r="M528" s="192"/>
      <c r="N528" s="187"/>
      <c r="O528" s="187"/>
      <c r="P528" s="187"/>
      <c r="Q528" s="187"/>
      <c r="R528" s="187"/>
      <c r="S528" s="187"/>
      <c r="T528" s="187"/>
      <c r="U528" s="187"/>
      <c r="V528" s="187"/>
      <c r="W528" s="187"/>
      <c r="X528" s="187"/>
      <c r="Y528" s="187"/>
      <c r="Z528" s="187"/>
      <c r="AA528" s="187"/>
      <c r="AB528" s="187"/>
      <c r="AC528" s="187"/>
      <c r="AD528" s="187"/>
      <c r="AE528" s="187"/>
      <c r="AF528" s="187"/>
      <c r="AG528" s="187"/>
      <c r="AH528" s="187"/>
      <c r="AI528" s="187"/>
    </row>
    <row r="529">
      <c r="A529" s="187"/>
      <c r="B529" s="187"/>
      <c r="C529" s="187"/>
      <c r="D529" s="187"/>
      <c r="E529" s="187"/>
      <c r="F529" s="187"/>
      <c r="G529" s="187"/>
      <c r="H529" s="187"/>
      <c r="I529" s="187"/>
      <c r="J529" s="187"/>
      <c r="K529" s="187"/>
      <c r="L529" s="187"/>
      <c r="M529" s="192"/>
      <c r="N529" s="187"/>
      <c r="O529" s="187"/>
      <c r="P529" s="187"/>
      <c r="Q529" s="187"/>
      <c r="R529" s="187"/>
      <c r="S529" s="187"/>
      <c r="T529" s="187"/>
      <c r="U529" s="187"/>
      <c r="V529" s="187"/>
      <c r="W529" s="187"/>
      <c r="X529" s="187"/>
      <c r="Y529" s="187"/>
      <c r="Z529" s="187"/>
      <c r="AA529" s="187"/>
      <c r="AB529" s="187"/>
      <c r="AC529" s="187"/>
      <c r="AD529" s="187"/>
      <c r="AE529" s="187"/>
      <c r="AF529" s="187"/>
      <c r="AG529" s="187"/>
      <c r="AH529" s="187"/>
      <c r="AI529" s="187"/>
    </row>
    <row r="530">
      <c r="A530" s="187"/>
      <c r="B530" s="187"/>
      <c r="C530" s="187"/>
      <c r="D530" s="187"/>
      <c r="E530" s="187"/>
      <c r="F530" s="187"/>
      <c r="G530" s="187"/>
      <c r="H530" s="187"/>
      <c r="I530" s="187"/>
      <c r="J530" s="187"/>
      <c r="K530" s="187"/>
      <c r="L530" s="187"/>
      <c r="M530" s="192"/>
      <c r="N530" s="187"/>
      <c r="O530" s="187"/>
      <c r="P530" s="187"/>
      <c r="Q530" s="187"/>
      <c r="R530" s="187"/>
      <c r="S530" s="187"/>
      <c r="T530" s="187"/>
      <c r="U530" s="187"/>
      <c r="V530" s="187"/>
      <c r="W530" s="187"/>
      <c r="X530" s="187"/>
      <c r="Y530" s="187"/>
      <c r="Z530" s="187"/>
      <c r="AA530" s="187"/>
      <c r="AB530" s="187"/>
      <c r="AC530" s="187"/>
      <c r="AD530" s="187"/>
      <c r="AE530" s="187"/>
      <c r="AF530" s="187"/>
      <c r="AG530" s="187"/>
      <c r="AH530" s="187"/>
      <c r="AI530" s="187"/>
    </row>
    <row r="531">
      <c r="A531" s="187"/>
      <c r="B531" s="187"/>
      <c r="C531" s="187"/>
      <c r="D531" s="187"/>
      <c r="E531" s="187"/>
      <c r="F531" s="187"/>
      <c r="G531" s="187"/>
      <c r="H531" s="187"/>
      <c r="I531" s="187"/>
      <c r="J531" s="187"/>
      <c r="K531" s="187"/>
      <c r="L531" s="187"/>
      <c r="M531" s="192"/>
      <c r="N531" s="187"/>
      <c r="O531" s="187"/>
      <c r="P531" s="187"/>
      <c r="Q531" s="187"/>
      <c r="R531" s="187"/>
      <c r="S531" s="187"/>
      <c r="T531" s="187"/>
      <c r="U531" s="187"/>
      <c r="V531" s="187"/>
      <c r="W531" s="187"/>
      <c r="X531" s="187"/>
      <c r="Y531" s="187"/>
      <c r="Z531" s="187"/>
      <c r="AA531" s="187"/>
      <c r="AB531" s="187"/>
      <c r="AC531" s="187"/>
      <c r="AD531" s="187"/>
      <c r="AE531" s="187"/>
      <c r="AF531" s="187"/>
      <c r="AG531" s="187"/>
      <c r="AH531" s="187"/>
      <c r="AI531" s="187"/>
    </row>
    <row r="532">
      <c r="A532" s="187"/>
      <c r="B532" s="187"/>
      <c r="C532" s="187"/>
      <c r="D532" s="187"/>
      <c r="E532" s="187"/>
      <c r="F532" s="187"/>
      <c r="G532" s="187"/>
      <c r="H532" s="187"/>
      <c r="I532" s="187"/>
      <c r="J532" s="187"/>
      <c r="K532" s="187"/>
      <c r="L532" s="187"/>
      <c r="M532" s="192"/>
      <c r="N532" s="187"/>
      <c r="O532" s="187"/>
      <c r="P532" s="187"/>
      <c r="Q532" s="187"/>
      <c r="R532" s="187"/>
      <c r="S532" s="187"/>
      <c r="T532" s="187"/>
      <c r="U532" s="187"/>
      <c r="V532" s="187"/>
      <c r="W532" s="187"/>
      <c r="X532" s="187"/>
      <c r="Y532" s="187"/>
      <c r="Z532" s="187"/>
      <c r="AA532" s="187"/>
      <c r="AB532" s="187"/>
      <c r="AC532" s="187"/>
      <c r="AD532" s="187"/>
      <c r="AE532" s="187"/>
      <c r="AF532" s="187"/>
      <c r="AG532" s="187"/>
      <c r="AH532" s="187"/>
      <c r="AI532" s="187"/>
    </row>
    <row r="533">
      <c r="A533" s="187"/>
      <c r="B533" s="187"/>
      <c r="C533" s="187"/>
      <c r="D533" s="187"/>
      <c r="E533" s="187"/>
      <c r="F533" s="187"/>
      <c r="G533" s="187"/>
      <c r="H533" s="187"/>
      <c r="I533" s="187"/>
      <c r="J533" s="187"/>
      <c r="K533" s="187"/>
      <c r="L533" s="187"/>
      <c r="M533" s="192"/>
      <c r="N533" s="187"/>
      <c r="O533" s="187"/>
      <c r="P533" s="187"/>
      <c r="Q533" s="187"/>
      <c r="R533" s="187"/>
      <c r="S533" s="187"/>
      <c r="T533" s="187"/>
      <c r="U533" s="187"/>
      <c r="V533" s="187"/>
      <c r="W533" s="187"/>
      <c r="X533" s="187"/>
      <c r="Y533" s="187"/>
      <c r="Z533" s="187"/>
      <c r="AA533" s="187"/>
      <c r="AB533" s="187"/>
      <c r="AC533" s="187"/>
      <c r="AD533" s="187"/>
      <c r="AE533" s="187"/>
      <c r="AF533" s="187"/>
      <c r="AG533" s="187"/>
      <c r="AH533" s="187"/>
      <c r="AI533" s="187"/>
    </row>
    <row r="534">
      <c r="A534" s="187"/>
      <c r="B534" s="187"/>
      <c r="C534" s="187"/>
      <c r="D534" s="187"/>
      <c r="E534" s="187"/>
      <c r="F534" s="187"/>
      <c r="G534" s="187"/>
      <c r="H534" s="187"/>
      <c r="I534" s="187"/>
      <c r="J534" s="187"/>
      <c r="K534" s="187"/>
      <c r="L534" s="187"/>
      <c r="M534" s="192"/>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row>
    <row r="535">
      <c r="A535" s="187"/>
      <c r="B535" s="187"/>
      <c r="C535" s="187"/>
      <c r="D535" s="187"/>
      <c r="E535" s="187"/>
      <c r="F535" s="187"/>
      <c r="G535" s="187"/>
      <c r="H535" s="187"/>
      <c r="I535" s="187"/>
      <c r="J535" s="187"/>
      <c r="K535" s="187"/>
      <c r="L535" s="187"/>
      <c r="M535" s="192"/>
      <c r="N535" s="187"/>
      <c r="O535" s="187"/>
      <c r="P535" s="187"/>
      <c r="Q535" s="187"/>
      <c r="R535" s="187"/>
      <c r="S535" s="187"/>
      <c r="T535" s="187"/>
      <c r="U535" s="187"/>
      <c r="V535" s="187"/>
      <c r="W535" s="187"/>
      <c r="X535" s="187"/>
      <c r="Y535" s="187"/>
      <c r="Z535" s="187"/>
      <c r="AA535" s="187"/>
      <c r="AB535" s="187"/>
      <c r="AC535" s="187"/>
      <c r="AD535" s="187"/>
      <c r="AE535" s="187"/>
      <c r="AF535" s="187"/>
      <c r="AG535" s="187"/>
      <c r="AH535" s="187"/>
      <c r="AI535" s="187"/>
    </row>
    <row r="536">
      <c r="A536" s="187"/>
      <c r="B536" s="187"/>
      <c r="C536" s="187"/>
      <c r="D536" s="187"/>
      <c r="E536" s="187"/>
      <c r="F536" s="187"/>
      <c r="G536" s="187"/>
      <c r="H536" s="187"/>
      <c r="I536" s="187"/>
      <c r="J536" s="187"/>
      <c r="K536" s="187"/>
      <c r="L536" s="187"/>
      <c r="M536" s="192"/>
      <c r="N536" s="187"/>
      <c r="O536" s="187"/>
      <c r="P536" s="187"/>
      <c r="Q536" s="187"/>
      <c r="R536" s="187"/>
      <c r="S536" s="187"/>
      <c r="T536" s="187"/>
      <c r="U536" s="187"/>
      <c r="V536" s="187"/>
      <c r="W536" s="187"/>
      <c r="X536" s="187"/>
      <c r="Y536" s="187"/>
      <c r="Z536" s="187"/>
      <c r="AA536" s="187"/>
      <c r="AB536" s="187"/>
      <c r="AC536" s="187"/>
      <c r="AD536" s="187"/>
      <c r="AE536" s="187"/>
      <c r="AF536" s="187"/>
      <c r="AG536" s="187"/>
      <c r="AH536" s="187"/>
      <c r="AI536" s="187"/>
    </row>
    <row r="537">
      <c r="A537" s="187"/>
      <c r="B537" s="187"/>
      <c r="C537" s="187"/>
      <c r="D537" s="187"/>
      <c r="E537" s="187"/>
      <c r="F537" s="187"/>
      <c r="G537" s="187"/>
      <c r="H537" s="187"/>
      <c r="I537" s="187"/>
      <c r="J537" s="187"/>
      <c r="K537" s="187"/>
      <c r="L537" s="187"/>
      <c r="M537" s="192"/>
      <c r="N537" s="187"/>
      <c r="O537" s="187"/>
      <c r="P537" s="187"/>
      <c r="Q537" s="187"/>
      <c r="R537" s="187"/>
      <c r="S537" s="187"/>
      <c r="T537" s="187"/>
      <c r="U537" s="187"/>
      <c r="V537" s="187"/>
      <c r="W537" s="187"/>
      <c r="X537" s="187"/>
      <c r="Y537" s="187"/>
      <c r="Z537" s="187"/>
      <c r="AA537" s="187"/>
      <c r="AB537" s="187"/>
      <c r="AC537" s="187"/>
      <c r="AD537" s="187"/>
      <c r="AE537" s="187"/>
      <c r="AF537" s="187"/>
      <c r="AG537" s="187"/>
      <c r="AH537" s="187"/>
      <c r="AI537" s="187"/>
    </row>
    <row r="538">
      <c r="A538" s="187"/>
      <c r="B538" s="187"/>
      <c r="C538" s="187"/>
      <c r="D538" s="187"/>
      <c r="E538" s="187"/>
      <c r="F538" s="187"/>
      <c r="G538" s="187"/>
      <c r="H538" s="187"/>
      <c r="I538" s="187"/>
      <c r="J538" s="187"/>
      <c r="K538" s="187"/>
      <c r="L538" s="187"/>
      <c r="M538" s="192"/>
      <c r="N538" s="187"/>
      <c r="O538" s="187"/>
      <c r="P538" s="187"/>
      <c r="Q538" s="187"/>
      <c r="R538" s="187"/>
      <c r="S538" s="187"/>
      <c r="T538" s="187"/>
      <c r="U538" s="187"/>
      <c r="V538" s="187"/>
      <c r="W538" s="187"/>
      <c r="X538" s="187"/>
      <c r="Y538" s="187"/>
      <c r="Z538" s="187"/>
      <c r="AA538" s="187"/>
      <c r="AB538" s="187"/>
      <c r="AC538" s="187"/>
      <c r="AD538" s="187"/>
      <c r="AE538" s="187"/>
      <c r="AF538" s="187"/>
      <c r="AG538" s="187"/>
      <c r="AH538" s="187"/>
      <c r="AI538" s="187"/>
    </row>
    <row r="539">
      <c r="A539" s="187"/>
      <c r="B539" s="187"/>
      <c r="C539" s="187"/>
      <c r="D539" s="187"/>
      <c r="E539" s="187"/>
      <c r="F539" s="187"/>
      <c r="G539" s="187"/>
      <c r="H539" s="187"/>
      <c r="I539" s="187"/>
      <c r="J539" s="187"/>
      <c r="K539" s="187"/>
      <c r="L539" s="187"/>
      <c r="M539" s="192"/>
      <c r="N539" s="187"/>
      <c r="O539" s="187"/>
      <c r="P539" s="187"/>
      <c r="Q539" s="187"/>
      <c r="R539" s="187"/>
      <c r="S539" s="187"/>
      <c r="T539" s="187"/>
      <c r="U539" s="187"/>
      <c r="V539" s="187"/>
      <c r="W539" s="187"/>
      <c r="X539" s="187"/>
      <c r="Y539" s="187"/>
      <c r="Z539" s="187"/>
      <c r="AA539" s="187"/>
      <c r="AB539" s="187"/>
      <c r="AC539" s="187"/>
      <c r="AD539" s="187"/>
      <c r="AE539" s="187"/>
      <c r="AF539" s="187"/>
      <c r="AG539" s="187"/>
      <c r="AH539" s="187"/>
      <c r="AI539" s="187"/>
    </row>
    <row r="540">
      <c r="A540" s="187"/>
      <c r="B540" s="187"/>
      <c r="C540" s="187"/>
      <c r="D540" s="187"/>
      <c r="E540" s="187"/>
      <c r="F540" s="187"/>
      <c r="G540" s="187"/>
      <c r="H540" s="187"/>
      <c r="I540" s="187"/>
      <c r="J540" s="187"/>
      <c r="K540" s="187"/>
      <c r="L540" s="187"/>
      <c r="M540" s="192"/>
      <c r="N540" s="187"/>
      <c r="O540" s="187"/>
      <c r="P540" s="187"/>
      <c r="Q540" s="187"/>
      <c r="R540" s="187"/>
      <c r="S540" s="187"/>
      <c r="T540" s="187"/>
      <c r="U540" s="187"/>
      <c r="V540" s="187"/>
      <c r="W540" s="187"/>
      <c r="X540" s="187"/>
      <c r="Y540" s="187"/>
      <c r="Z540" s="187"/>
      <c r="AA540" s="187"/>
      <c r="AB540" s="187"/>
      <c r="AC540" s="187"/>
      <c r="AD540" s="187"/>
      <c r="AE540" s="187"/>
      <c r="AF540" s="187"/>
      <c r="AG540" s="187"/>
      <c r="AH540" s="187"/>
      <c r="AI540" s="187"/>
    </row>
    <row r="541">
      <c r="A541" s="187"/>
      <c r="B541" s="187"/>
      <c r="C541" s="187"/>
      <c r="D541" s="187"/>
      <c r="E541" s="187"/>
      <c r="F541" s="187"/>
      <c r="G541" s="187"/>
      <c r="H541" s="187"/>
      <c r="I541" s="187"/>
      <c r="J541" s="187"/>
      <c r="K541" s="187"/>
      <c r="L541" s="187"/>
      <c r="M541" s="192"/>
      <c r="N541" s="187"/>
      <c r="O541" s="187"/>
      <c r="P541" s="187"/>
      <c r="Q541" s="187"/>
      <c r="R541" s="187"/>
      <c r="S541" s="187"/>
      <c r="T541" s="187"/>
      <c r="U541" s="187"/>
      <c r="V541" s="187"/>
      <c r="W541" s="187"/>
      <c r="X541" s="187"/>
      <c r="Y541" s="187"/>
      <c r="Z541" s="187"/>
      <c r="AA541" s="187"/>
      <c r="AB541" s="187"/>
      <c r="AC541" s="187"/>
      <c r="AD541" s="187"/>
      <c r="AE541" s="187"/>
      <c r="AF541" s="187"/>
      <c r="AG541" s="187"/>
      <c r="AH541" s="187"/>
      <c r="AI541" s="187"/>
    </row>
    <row r="542">
      <c r="A542" s="187"/>
      <c r="B542" s="187"/>
      <c r="C542" s="187"/>
      <c r="D542" s="187"/>
      <c r="E542" s="187"/>
      <c r="F542" s="187"/>
      <c r="G542" s="187"/>
      <c r="H542" s="187"/>
      <c r="I542" s="187"/>
      <c r="J542" s="187"/>
      <c r="K542" s="187"/>
      <c r="L542" s="187"/>
      <c r="M542" s="192"/>
      <c r="N542" s="187"/>
      <c r="O542" s="187"/>
      <c r="P542" s="187"/>
      <c r="Q542" s="187"/>
      <c r="R542" s="187"/>
      <c r="S542" s="187"/>
      <c r="T542" s="187"/>
      <c r="U542" s="187"/>
      <c r="V542" s="187"/>
      <c r="W542" s="187"/>
      <c r="X542" s="187"/>
      <c r="Y542" s="187"/>
      <c r="Z542" s="187"/>
      <c r="AA542" s="187"/>
      <c r="AB542" s="187"/>
      <c r="AC542" s="187"/>
      <c r="AD542" s="187"/>
      <c r="AE542" s="187"/>
      <c r="AF542" s="187"/>
      <c r="AG542" s="187"/>
      <c r="AH542" s="187"/>
      <c r="AI542" s="187"/>
    </row>
    <row r="543">
      <c r="A543" s="187"/>
      <c r="B543" s="187"/>
      <c r="C543" s="187"/>
      <c r="D543" s="187"/>
      <c r="E543" s="187"/>
      <c r="F543" s="187"/>
      <c r="G543" s="187"/>
      <c r="H543" s="187"/>
      <c r="I543" s="187"/>
      <c r="J543" s="187"/>
      <c r="K543" s="187"/>
      <c r="L543" s="187"/>
      <c r="M543" s="192"/>
      <c r="N543" s="187"/>
      <c r="O543" s="187"/>
      <c r="P543" s="187"/>
      <c r="Q543" s="187"/>
      <c r="R543" s="187"/>
      <c r="S543" s="187"/>
      <c r="T543" s="187"/>
      <c r="U543" s="187"/>
      <c r="V543" s="187"/>
      <c r="W543" s="187"/>
      <c r="X543" s="187"/>
      <c r="Y543" s="187"/>
      <c r="Z543" s="187"/>
      <c r="AA543" s="187"/>
      <c r="AB543" s="187"/>
      <c r="AC543" s="187"/>
      <c r="AD543" s="187"/>
      <c r="AE543" s="187"/>
      <c r="AF543" s="187"/>
      <c r="AG543" s="187"/>
      <c r="AH543" s="187"/>
      <c r="AI543" s="187"/>
    </row>
    <row r="544">
      <c r="A544" s="187"/>
      <c r="B544" s="187"/>
      <c r="C544" s="187"/>
      <c r="D544" s="187"/>
      <c r="E544" s="187"/>
      <c r="F544" s="187"/>
      <c r="G544" s="187"/>
      <c r="H544" s="187"/>
      <c r="I544" s="187"/>
      <c r="J544" s="187"/>
      <c r="K544" s="187"/>
      <c r="L544" s="187"/>
      <c r="M544" s="192"/>
      <c r="N544" s="187"/>
      <c r="O544" s="187"/>
      <c r="P544" s="187"/>
      <c r="Q544" s="187"/>
      <c r="R544" s="187"/>
      <c r="S544" s="187"/>
      <c r="T544" s="187"/>
      <c r="U544" s="187"/>
      <c r="V544" s="187"/>
      <c r="W544" s="187"/>
      <c r="X544" s="187"/>
      <c r="Y544" s="187"/>
      <c r="Z544" s="187"/>
      <c r="AA544" s="187"/>
      <c r="AB544" s="187"/>
      <c r="AC544" s="187"/>
      <c r="AD544" s="187"/>
      <c r="AE544" s="187"/>
      <c r="AF544" s="187"/>
      <c r="AG544" s="187"/>
      <c r="AH544" s="187"/>
      <c r="AI544" s="187"/>
    </row>
    <row r="545">
      <c r="A545" s="187"/>
      <c r="B545" s="187"/>
      <c r="C545" s="187"/>
      <c r="D545" s="187"/>
      <c r="E545" s="187"/>
      <c r="F545" s="187"/>
      <c r="G545" s="187"/>
      <c r="H545" s="187"/>
      <c r="I545" s="187"/>
      <c r="J545" s="187"/>
      <c r="K545" s="187"/>
      <c r="L545" s="187"/>
      <c r="M545" s="192"/>
      <c r="N545" s="187"/>
      <c r="O545" s="187"/>
      <c r="P545" s="187"/>
      <c r="Q545" s="187"/>
      <c r="R545" s="187"/>
      <c r="S545" s="187"/>
      <c r="T545" s="187"/>
      <c r="U545" s="187"/>
      <c r="V545" s="187"/>
      <c r="W545" s="187"/>
      <c r="X545" s="187"/>
      <c r="Y545" s="187"/>
      <c r="Z545" s="187"/>
      <c r="AA545" s="187"/>
      <c r="AB545" s="187"/>
      <c r="AC545" s="187"/>
      <c r="AD545" s="187"/>
      <c r="AE545" s="187"/>
      <c r="AF545" s="187"/>
      <c r="AG545" s="187"/>
      <c r="AH545" s="187"/>
      <c r="AI545" s="187"/>
    </row>
    <row r="546">
      <c r="A546" s="187"/>
      <c r="B546" s="187"/>
      <c r="C546" s="187"/>
      <c r="D546" s="187"/>
      <c r="E546" s="187"/>
      <c r="F546" s="187"/>
      <c r="G546" s="187"/>
      <c r="H546" s="187"/>
      <c r="I546" s="187"/>
      <c r="J546" s="187"/>
      <c r="K546" s="187"/>
      <c r="L546" s="187"/>
      <c r="M546" s="192"/>
      <c r="N546" s="187"/>
      <c r="O546" s="187"/>
      <c r="P546" s="187"/>
      <c r="Q546" s="187"/>
      <c r="R546" s="187"/>
      <c r="S546" s="187"/>
      <c r="T546" s="187"/>
      <c r="U546" s="187"/>
      <c r="V546" s="187"/>
      <c r="W546" s="187"/>
      <c r="X546" s="187"/>
      <c r="Y546" s="187"/>
      <c r="Z546" s="187"/>
      <c r="AA546" s="187"/>
      <c r="AB546" s="187"/>
      <c r="AC546" s="187"/>
      <c r="AD546" s="187"/>
      <c r="AE546" s="187"/>
      <c r="AF546" s="187"/>
      <c r="AG546" s="187"/>
      <c r="AH546" s="187"/>
      <c r="AI546" s="187"/>
    </row>
    <row r="547">
      <c r="A547" s="187"/>
      <c r="B547" s="187"/>
      <c r="C547" s="187"/>
      <c r="D547" s="187"/>
      <c r="E547" s="187"/>
      <c r="F547" s="187"/>
      <c r="G547" s="187"/>
      <c r="H547" s="187"/>
      <c r="I547" s="187"/>
      <c r="J547" s="187"/>
      <c r="K547" s="187"/>
      <c r="L547" s="187"/>
      <c r="M547" s="192"/>
      <c r="N547" s="187"/>
      <c r="O547" s="187"/>
      <c r="P547" s="187"/>
      <c r="Q547" s="187"/>
      <c r="R547" s="187"/>
      <c r="S547" s="187"/>
      <c r="T547" s="187"/>
      <c r="U547" s="187"/>
      <c r="V547" s="187"/>
      <c r="W547" s="187"/>
      <c r="X547" s="187"/>
      <c r="Y547" s="187"/>
      <c r="Z547" s="187"/>
      <c r="AA547" s="187"/>
      <c r="AB547" s="187"/>
      <c r="AC547" s="187"/>
      <c r="AD547" s="187"/>
      <c r="AE547" s="187"/>
      <c r="AF547" s="187"/>
      <c r="AG547" s="187"/>
      <c r="AH547" s="187"/>
      <c r="AI547" s="187"/>
    </row>
    <row r="548">
      <c r="A548" s="187"/>
      <c r="B548" s="187"/>
      <c r="C548" s="187"/>
      <c r="D548" s="187"/>
      <c r="E548" s="187"/>
      <c r="F548" s="187"/>
      <c r="G548" s="187"/>
      <c r="H548" s="187"/>
      <c r="I548" s="187"/>
      <c r="J548" s="187"/>
      <c r="K548" s="187"/>
      <c r="L548" s="187"/>
      <c r="M548" s="192"/>
      <c r="N548" s="187"/>
      <c r="O548" s="187"/>
      <c r="P548" s="187"/>
      <c r="Q548" s="187"/>
      <c r="R548" s="187"/>
      <c r="S548" s="187"/>
      <c r="T548" s="187"/>
      <c r="U548" s="187"/>
      <c r="V548" s="187"/>
      <c r="W548" s="187"/>
      <c r="X548" s="187"/>
      <c r="Y548" s="187"/>
      <c r="Z548" s="187"/>
      <c r="AA548" s="187"/>
      <c r="AB548" s="187"/>
      <c r="AC548" s="187"/>
      <c r="AD548" s="187"/>
      <c r="AE548" s="187"/>
      <c r="AF548" s="187"/>
      <c r="AG548" s="187"/>
      <c r="AH548" s="187"/>
      <c r="AI548" s="187"/>
    </row>
    <row r="549">
      <c r="A549" s="187"/>
      <c r="B549" s="187"/>
      <c r="C549" s="187"/>
      <c r="D549" s="187"/>
      <c r="E549" s="187"/>
      <c r="F549" s="187"/>
      <c r="G549" s="187"/>
      <c r="H549" s="187"/>
      <c r="I549" s="187"/>
      <c r="J549" s="187"/>
      <c r="K549" s="187"/>
      <c r="L549" s="187"/>
      <c r="M549" s="192"/>
      <c r="N549" s="187"/>
      <c r="O549" s="187"/>
      <c r="P549" s="187"/>
      <c r="Q549" s="187"/>
      <c r="R549" s="187"/>
      <c r="S549" s="187"/>
      <c r="T549" s="187"/>
      <c r="U549" s="187"/>
      <c r="V549" s="187"/>
      <c r="W549" s="187"/>
      <c r="X549" s="187"/>
      <c r="Y549" s="187"/>
      <c r="Z549" s="187"/>
      <c r="AA549" s="187"/>
      <c r="AB549" s="187"/>
      <c r="AC549" s="187"/>
      <c r="AD549" s="187"/>
      <c r="AE549" s="187"/>
      <c r="AF549" s="187"/>
      <c r="AG549" s="187"/>
      <c r="AH549" s="187"/>
      <c r="AI549" s="187"/>
    </row>
    <row r="550">
      <c r="A550" s="187"/>
      <c r="B550" s="187"/>
      <c r="C550" s="187"/>
      <c r="D550" s="187"/>
      <c r="E550" s="187"/>
      <c r="F550" s="187"/>
      <c r="G550" s="187"/>
      <c r="H550" s="187"/>
      <c r="I550" s="187"/>
      <c r="J550" s="187"/>
      <c r="K550" s="187"/>
      <c r="L550" s="187"/>
      <c r="M550" s="192"/>
      <c r="N550" s="187"/>
      <c r="O550" s="187"/>
      <c r="P550" s="187"/>
      <c r="Q550" s="187"/>
      <c r="R550" s="187"/>
      <c r="S550" s="187"/>
      <c r="T550" s="187"/>
      <c r="U550" s="187"/>
      <c r="V550" s="187"/>
      <c r="W550" s="187"/>
      <c r="X550" s="187"/>
      <c r="Y550" s="187"/>
      <c r="Z550" s="187"/>
      <c r="AA550" s="187"/>
      <c r="AB550" s="187"/>
      <c r="AC550" s="187"/>
      <c r="AD550" s="187"/>
      <c r="AE550" s="187"/>
      <c r="AF550" s="187"/>
      <c r="AG550" s="187"/>
      <c r="AH550" s="187"/>
      <c r="AI550" s="187"/>
    </row>
    <row r="551">
      <c r="A551" s="187"/>
      <c r="B551" s="187"/>
      <c r="C551" s="187"/>
      <c r="D551" s="187"/>
      <c r="E551" s="187"/>
      <c r="F551" s="187"/>
      <c r="G551" s="187"/>
      <c r="H551" s="187"/>
      <c r="I551" s="187"/>
      <c r="J551" s="187"/>
      <c r="K551" s="187"/>
      <c r="L551" s="187"/>
      <c r="M551" s="192"/>
      <c r="N551" s="187"/>
      <c r="O551" s="187"/>
      <c r="P551" s="187"/>
      <c r="Q551" s="187"/>
      <c r="R551" s="187"/>
      <c r="S551" s="187"/>
      <c r="T551" s="187"/>
      <c r="U551" s="187"/>
      <c r="V551" s="187"/>
      <c r="W551" s="187"/>
      <c r="X551" s="187"/>
      <c r="Y551" s="187"/>
      <c r="Z551" s="187"/>
      <c r="AA551" s="187"/>
      <c r="AB551" s="187"/>
      <c r="AC551" s="187"/>
      <c r="AD551" s="187"/>
      <c r="AE551" s="187"/>
      <c r="AF551" s="187"/>
      <c r="AG551" s="187"/>
      <c r="AH551" s="187"/>
      <c r="AI551" s="187"/>
    </row>
    <row r="552">
      <c r="A552" s="187"/>
      <c r="B552" s="187"/>
      <c r="C552" s="187"/>
      <c r="D552" s="187"/>
      <c r="E552" s="187"/>
      <c r="F552" s="187"/>
      <c r="G552" s="187"/>
      <c r="H552" s="187"/>
      <c r="I552" s="187"/>
      <c r="J552" s="187"/>
      <c r="K552" s="187"/>
      <c r="L552" s="187"/>
      <c r="M552" s="192"/>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row>
    <row r="553">
      <c r="A553" s="187"/>
      <c r="B553" s="187"/>
      <c r="C553" s="187"/>
      <c r="D553" s="187"/>
      <c r="E553" s="187"/>
      <c r="F553" s="187"/>
      <c r="G553" s="187"/>
      <c r="H553" s="187"/>
      <c r="I553" s="187"/>
      <c r="J553" s="187"/>
      <c r="K553" s="187"/>
      <c r="L553" s="187"/>
      <c r="M553" s="192"/>
      <c r="N553" s="187"/>
      <c r="O553" s="187"/>
      <c r="P553" s="187"/>
      <c r="Q553" s="187"/>
      <c r="R553" s="187"/>
      <c r="S553" s="187"/>
      <c r="T553" s="187"/>
      <c r="U553" s="187"/>
      <c r="V553" s="187"/>
      <c r="W553" s="187"/>
      <c r="X553" s="187"/>
      <c r="Y553" s="187"/>
      <c r="Z553" s="187"/>
      <c r="AA553" s="187"/>
      <c r="AB553" s="187"/>
      <c r="AC553" s="187"/>
      <c r="AD553" s="187"/>
      <c r="AE553" s="187"/>
      <c r="AF553" s="187"/>
      <c r="AG553" s="187"/>
      <c r="AH553" s="187"/>
      <c r="AI553" s="187"/>
    </row>
    <row r="554">
      <c r="A554" s="187"/>
      <c r="B554" s="187"/>
      <c r="C554" s="187"/>
      <c r="D554" s="187"/>
      <c r="E554" s="187"/>
      <c r="F554" s="187"/>
      <c r="G554" s="187"/>
      <c r="H554" s="187"/>
      <c r="I554" s="187"/>
      <c r="J554" s="187"/>
      <c r="K554" s="187"/>
      <c r="L554" s="187"/>
      <c r="M554" s="192"/>
      <c r="N554" s="187"/>
      <c r="O554" s="187"/>
      <c r="P554" s="187"/>
      <c r="Q554" s="187"/>
      <c r="R554" s="187"/>
      <c r="S554" s="187"/>
      <c r="T554" s="187"/>
      <c r="U554" s="187"/>
      <c r="V554" s="187"/>
      <c r="W554" s="187"/>
      <c r="X554" s="187"/>
      <c r="Y554" s="187"/>
      <c r="Z554" s="187"/>
      <c r="AA554" s="187"/>
      <c r="AB554" s="187"/>
      <c r="AC554" s="187"/>
      <c r="AD554" s="187"/>
      <c r="AE554" s="187"/>
      <c r="AF554" s="187"/>
      <c r="AG554" s="187"/>
      <c r="AH554" s="187"/>
      <c r="AI554" s="187"/>
    </row>
    <row r="555">
      <c r="A555" s="187"/>
      <c r="B555" s="187"/>
      <c r="C555" s="187"/>
      <c r="D555" s="187"/>
      <c r="E555" s="187"/>
      <c r="F555" s="187"/>
      <c r="G555" s="187"/>
      <c r="H555" s="187"/>
      <c r="I555" s="187"/>
      <c r="J555" s="187"/>
      <c r="K555" s="187"/>
      <c r="L555" s="187"/>
      <c r="M555" s="192"/>
      <c r="N555" s="187"/>
      <c r="O555" s="187"/>
      <c r="P555" s="187"/>
      <c r="Q555" s="187"/>
      <c r="R555" s="187"/>
      <c r="S555" s="187"/>
      <c r="T555" s="187"/>
      <c r="U555" s="187"/>
      <c r="V555" s="187"/>
      <c r="W555" s="187"/>
      <c r="X555" s="187"/>
      <c r="Y555" s="187"/>
      <c r="Z555" s="187"/>
      <c r="AA555" s="187"/>
      <c r="AB555" s="187"/>
      <c r="AC555" s="187"/>
      <c r="AD555" s="187"/>
      <c r="AE555" s="187"/>
      <c r="AF555" s="187"/>
      <c r="AG555" s="187"/>
      <c r="AH555" s="187"/>
      <c r="AI555" s="187"/>
    </row>
    <row r="556">
      <c r="A556" s="187"/>
      <c r="B556" s="187"/>
      <c r="C556" s="187"/>
      <c r="D556" s="187"/>
      <c r="E556" s="187"/>
      <c r="F556" s="187"/>
      <c r="G556" s="187"/>
      <c r="H556" s="187"/>
      <c r="I556" s="187"/>
      <c r="J556" s="187"/>
      <c r="K556" s="187"/>
      <c r="L556" s="187"/>
      <c r="M556" s="192"/>
      <c r="N556" s="187"/>
      <c r="O556" s="187"/>
      <c r="P556" s="187"/>
      <c r="Q556" s="187"/>
      <c r="R556" s="187"/>
      <c r="S556" s="187"/>
      <c r="T556" s="187"/>
      <c r="U556" s="187"/>
      <c r="V556" s="187"/>
      <c r="W556" s="187"/>
      <c r="X556" s="187"/>
      <c r="Y556" s="187"/>
      <c r="Z556" s="187"/>
      <c r="AA556" s="187"/>
      <c r="AB556" s="187"/>
      <c r="AC556" s="187"/>
      <c r="AD556" s="187"/>
      <c r="AE556" s="187"/>
      <c r="AF556" s="187"/>
      <c r="AG556" s="187"/>
      <c r="AH556" s="187"/>
      <c r="AI556" s="187"/>
    </row>
    <row r="557">
      <c r="A557" s="187"/>
      <c r="B557" s="187"/>
      <c r="C557" s="187"/>
      <c r="D557" s="187"/>
      <c r="E557" s="187"/>
      <c r="F557" s="187"/>
      <c r="G557" s="187"/>
      <c r="H557" s="187"/>
      <c r="I557" s="187"/>
      <c r="J557" s="187"/>
      <c r="K557" s="187"/>
      <c r="L557" s="187"/>
      <c r="M557" s="192"/>
      <c r="N557" s="187"/>
      <c r="O557" s="187"/>
      <c r="P557" s="187"/>
      <c r="Q557" s="187"/>
      <c r="R557" s="187"/>
      <c r="S557" s="187"/>
      <c r="T557" s="187"/>
      <c r="U557" s="187"/>
      <c r="V557" s="187"/>
      <c r="W557" s="187"/>
      <c r="X557" s="187"/>
      <c r="Y557" s="187"/>
      <c r="Z557" s="187"/>
      <c r="AA557" s="187"/>
      <c r="AB557" s="187"/>
      <c r="AC557" s="187"/>
      <c r="AD557" s="187"/>
      <c r="AE557" s="187"/>
      <c r="AF557" s="187"/>
      <c r="AG557" s="187"/>
      <c r="AH557" s="187"/>
      <c r="AI557" s="187"/>
    </row>
    <row r="558">
      <c r="A558" s="187"/>
      <c r="B558" s="187"/>
      <c r="C558" s="187"/>
      <c r="D558" s="187"/>
      <c r="E558" s="187"/>
      <c r="F558" s="187"/>
      <c r="G558" s="187"/>
      <c r="H558" s="187"/>
      <c r="I558" s="187"/>
      <c r="J558" s="187"/>
      <c r="K558" s="187"/>
      <c r="L558" s="187"/>
      <c r="M558" s="192"/>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row>
    <row r="559">
      <c r="A559" s="187"/>
      <c r="B559" s="187"/>
      <c r="C559" s="187"/>
      <c r="D559" s="187"/>
      <c r="E559" s="187"/>
      <c r="F559" s="187"/>
      <c r="G559" s="187"/>
      <c r="H559" s="187"/>
      <c r="I559" s="187"/>
      <c r="J559" s="187"/>
      <c r="K559" s="187"/>
      <c r="L559" s="187"/>
      <c r="M559" s="192"/>
      <c r="N559" s="187"/>
      <c r="O559" s="187"/>
      <c r="P559" s="187"/>
      <c r="Q559" s="187"/>
      <c r="R559" s="187"/>
      <c r="S559" s="187"/>
      <c r="T559" s="187"/>
      <c r="U559" s="187"/>
      <c r="V559" s="187"/>
      <c r="W559" s="187"/>
      <c r="X559" s="187"/>
      <c r="Y559" s="187"/>
      <c r="Z559" s="187"/>
      <c r="AA559" s="187"/>
      <c r="AB559" s="187"/>
      <c r="AC559" s="187"/>
      <c r="AD559" s="187"/>
      <c r="AE559" s="187"/>
      <c r="AF559" s="187"/>
      <c r="AG559" s="187"/>
      <c r="AH559" s="187"/>
      <c r="AI559" s="187"/>
    </row>
    <row r="560">
      <c r="A560" s="187"/>
      <c r="B560" s="187"/>
      <c r="C560" s="187"/>
      <c r="D560" s="187"/>
      <c r="E560" s="187"/>
      <c r="F560" s="187"/>
      <c r="G560" s="187"/>
      <c r="H560" s="187"/>
      <c r="I560" s="187"/>
      <c r="J560" s="187"/>
      <c r="K560" s="187"/>
      <c r="L560" s="187"/>
      <c r="M560" s="192"/>
      <c r="N560" s="187"/>
      <c r="O560" s="187"/>
      <c r="P560" s="187"/>
      <c r="Q560" s="187"/>
      <c r="R560" s="187"/>
      <c r="S560" s="187"/>
      <c r="T560" s="187"/>
      <c r="U560" s="187"/>
      <c r="V560" s="187"/>
      <c r="W560" s="187"/>
      <c r="X560" s="187"/>
      <c r="Y560" s="187"/>
      <c r="Z560" s="187"/>
      <c r="AA560" s="187"/>
      <c r="AB560" s="187"/>
      <c r="AC560" s="187"/>
      <c r="AD560" s="187"/>
      <c r="AE560" s="187"/>
      <c r="AF560" s="187"/>
      <c r="AG560" s="187"/>
      <c r="AH560" s="187"/>
      <c r="AI560" s="187"/>
    </row>
    <row r="561">
      <c r="A561" s="187"/>
      <c r="B561" s="187"/>
      <c r="C561" s="187"/>
      <c r="D561" s="187"/>
      <c r="E561" s="187"/>
      <c r="F561" s="187"/>
      <c r="G561" s="187"/>
      <c r="H561" s="187"/>
      <c r="I561" s="187"/>
      <c r="J561" s="187"/>
      <c r="K561" s="187"/>
      <c r="L561" s="187"/>
      <c r="M561" s="192"/>
      <c r="N561" s="187"/>
      <c r="O561" s="187"/>
      <c r="P561" s="187"/>
      <c r="Q561" s="187"/>
      <c r="R561" s="187"/>
      <c r="S561" s="187"/>
      <c r="T561" s="187"/>
      <c r="U561" s="187"/>
      <c r="V561" s="187"/>
      <c r="W561" s="187"/>
      <c r="X561" s="187"/>
      <c r="Y561" s="187"/>
      <c r="Z561" s="187"/>
      <c r="AA561" s="187"/>
      <c r="AB561" s="187"/>
      <c r="AC561" s="187"/>
      <c r="AD561" s="187"/>
      <c r="AE561" s="187"/>
      <c r="AF561" s="187"/>
      <c r="AG561" s="187"/>
      <c r="AH561" s="187"/>
      <c r="AI561" s="187"/>
    </row>
    <row r="562">
      <c r="A562" s="187"/>
      <c r="B562" s="187"/>
      <c r="C562" s="187"/>
      <c r="D562" s="187"/>
      <c r="E562" s="187"/>
      <c r="F562" s="187"/>
      <c r="G562" s="187"/>
      <c r="H562" s="187"/>
      <c r="I562" s="187"/>
      <c r="J562" s="187"/>
      <c r="K562" s="187"/>
      <c r="L562" s="187"/>
      <c r="M562" s="192"/>
      <c r="N562" s="187"/>
      <c r="O562" s="187"/>
      <c r="P562" s="187"/>
      <c r="Q562" s="187"/>
      <c r="R562" s="187"/>
      <c r="S562" s="187"/>
      <c r="T562" s="187"/>
      <c r="U562" s="187"/>
      <c r="V562" s="187"/>
      <c r="W562" s="187"/>
      <c r="X562" s="187"/>
      <c r="Y562" s="187"/>
      <c r="Z562" s="187"/>
      <c r="AA562" s="187"/>
      <c r="AB562" s="187"/>
      <c r="AC562" s="187"/>
      <c r="AD562" s="187"/>
      <c r="AE562" s="187"/>
      <c r="AF562" s="187"/>
      <c r="AG562" s="187"/>
      <c r="AH562" s="187"/>
      <c r="AI562" s="187"/>
    </row>
    <row r="563">
      <c r="A563" s="187"/>
      <c r="B563" s="187"/>
      <c r="C563" s="187"/>
      <c r="D563" s="187"/>
      <c r="E563" s="187"/>
      <c r="F563" s="187"/>
      <c r="G563" s="187"/>
      <c r="H563" s="187"/>
      <c r="I563" s="187"/>
      <c r="J563" s="187"/>
      <c r="K563" s="187"/>
      <c r="L563" s="187"/>
      <c r="M563" s="192"/>
      <c r="N563" s="187"/>
      <c r="O563" s="187"/>
      <c r="P563" s="187"/>
      <c r="Q563" s="187"/>
      <c r="R563" s="187"/>
      <c r="S563" s="187"/>
      <c r="T563" s="187"/>
      <c r="U563" s="187"/>
      <c r="V563" s="187"/>
      <c r="W563" s="187"/>
      <c r="X563" s="187"/>
      <c r="Y563" s="187"/>
      <c r="Z563" s="187"/>
      <c r="AA563" s="187"/>
      <c r="AB563" s="187"/>
      <c r="AC563" s="187"/>
      <c r="AD563" s="187"/>
      <c r="AE563" s="187"/>
      <c r="AF563" s="187"/>
      <c r="AG563" s="187"/>
      <c r="AH563" s="187"/>
      <c r="AI563" s="187"/>
    </row>
    <row r="564">
      <c r="A564" s="187"/>
      <c r="B564" s="187"/>
      <c r="C564" s="187"/>
      <c r="D564" s="187"/>
      <c r="E564" s="187"/>
      <c r="F564" s="187"/>
      <c r="G564" s="187"/>
      <c r="H564" s="187"/>
      <c r="I564" s="187"/>
      <c r="J564" s="187"/>
      <c r="K564" s="187"/>
      <c r="L564" s="187"/>
      <c r="M564" s="192"/>
      <c r="N564" s="187"/>
      <c r="O564" s="187"/>
      <c r="P564" s="187"/>
      <c r="Q564" s="187"/>
      <c r="R564" s="187"/>
      <c r="S564" s="187"/>
      <c r="T564" s="187"/>
      <c r="U564" s="187"/>
      <c r="V564" s="187"/>
      <c r="W564" s="187"/>
      <c r="X564" s="187"/>
      <c r="Y564" s="187"/>
      <c r="Z564" s="187"/>
      <c r="AA564" s="187"/>
      <c r="AB564" s="187"/>
      <c r="AC564" s="187"/>
      <c r="AD564" s="187"/>
      <c r="AE564" s="187"/>
      <c r="AF564" s="187"/>
      <c r="AG564" s="187"/>
      <c r="AH564" s="187"/>
      <c r="AI564" s="187"/>
    </row>
    <row r="565">
      <c r="A565" s="187"/>
      <c r="B565" s="187"/>
      <c r="C565" s="187"/>
      <c r="D565" s="187"/>
      <c r="E565" s="187"/>
      <c r="F565" s="187"/>
      <c r="G565" s="187"/>
      <c r="H565" s="187"/>
      <c r="I565" s="187"/>
      <c r="J565" s="187"/>
      <c r="K565" s="187"/>
      <c r="L565" s="187"/>
      <c r="M565" s="192"/>
      <c r="N565" s="187"/>
      <c r="O565" s="187"/>
      <c r="P565" s="187"/>
      <c r="Q565" s="187"/>
      <c r="R565" s="187"/>
      <c r="S565" s="187"/>
      <c r="T565" s="187"/>
      <c r="U565" s="187"/>
      <c r="V565" s="187"/>
      <c r="W565" s="187"/>
      <c r="X565" s="187"/>
      <c r="Y565" s="187"/>
      <c r="Z565" s="187"/>
      <c r="AA565" s="187"/>
      <c r="AB565" s="187"/>
      <c r="AC565" s="187"/>
      <c r="AD565" s="187"/>
      <c r="AE565" s="187"/>
      <c r="AF565" s="187"/>
      <c r="AG565" s="187"/>
      <c r="AH565" s="187"/>
      <c r="AI565" s="187"/>
    </row>
    <row r="566">
      <c r="A566" s="187"/>
      <c r="B566" s="187"/>
      <c r="C566" s="187"/>
      <c r="D566" s="187"/>
      <c r="E566" s="187"/>
      <c r="F566" s="187"/>
      <c r="G566" s="187"/>
      <c r="H566" s="187"/>
      <c r="I566" s="187"/>
      <c r="J566" s="187"/>
      <c r="K566" s="187"/>
      <c r="L566" s="187"/>
      <c r="M566" s="192"/>
      <c r="N566" s="187"/>
      <c r="O566" s="187"/>
      <c r="P566" s="187"/>
      <c r="Q566" s="187"/>
      <c r="R566" s="187"/>
      <c r="S566" s="187"/>
      <c r="T566" s="187"/>
      <c r="U566" s="187"/>
      <c r="V566" s="187"/>
      <c r="W566" s="187"/>
      <c r="X566" s="187"/>
      <c r="Y566" s="187"/>
      <c r="Z566" s="187"/>
      <c r="AA566" s="187"/>
      <c r="AB566" s="187"/>
      <c r="AC566" s="187"/>
      <c r="AD566" s="187"/>
      <c r="AE566" s="187"/>
      <c r="AF566" s="187"/>
      <c r="AG566" s="187"/>
      <c r="AH566" s="187"/>
      <c r="AI566" s="187"/>
    </row>
    <row r="567">
      <c r="A567" s="187"/>
      <c r="B567" s="187"/>
      <c r="C567" s="187"/>
      <c r="D567" s="187"/>
      <c r="E567" s="187"/>
      <c r="F567" s="187"/>
      <c r="G567" s="187"/>
      <c r="H567" s="187"/>
      <c r="I567" s="187"/>
      <c r="J567" s="187"/>
      <c r="K567" s="187"/>
      <c r="L567" s="187"/>
      <c r="M567" s="192"/>
      <c r="N567" s="187"/>
      <c r="O567" s="187"/>
      <c r="P567" s="187"/>
      <c r="Q567" s="187"/>
      <c r="R567" s="187"/>
      <c r="S567" s="187"/>
      <c r="T567" s="187"/>
      <c r="U567" s="187"/>
      <c r="V567" s="187"/>
      <c r="W567" s="187"/>
      <c r="X567" s="187"/>
      <c r="Y567" s="187"/>
      <c r="Z567" s="187"/>
      <c r="AA567" s="187"/>
      <c r="AB567" s="187"/>
      <c r="AC567" s="187"/>
      <c r="AD567" s="187"/>
      <c r="AE567" s="187"/>
      <c r="AF567" s="187"/>
      <c r="AG567" s="187"/>
      <c r="AH567" s="187"/>
      <c r="AI567" s="187"/>
    </row>
    <row r="568">
      <c r="A568" s="187"/>
      <c r="B568" s="187"/>
      <c r="C568" s="187"/>
      <c r="D568" s="187"/>
      <c r="E568" s="187"/>
      <c r="F568" s="187"/>
      <c r="G568" s="187"/>
      <c r="H568" s="187"/>
      <c r="I568" s="187"/>
      <c r="J568" s="187"/>
      <c r="K568" s="187"/>
      <c r="L568" s="187"/>
      <c r="M568" s="192"/>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row>
    <row r="569">
      <c r="A569" s="187"/>
      <c r="B569" s="187"/>
      <c r="C569" s="187"/>
      <c r="D569" s="187"/>
      <c r="E569" s="187"/>
      <c r="F569" s="187"/>
      <c r="G569" s="187"/>
      <c r="H569" s="187"/>
      <c r="I569" s="187"/>
      <c r="J569" s="187"/>
      <c r="K569" s="187"/>
      <c r="L569" s="187"/>
      <c r="M569" s="192"/>
      <c r="N569" s="187"/>
      <c r="O569" s="187"/>
      <c r="P569" s="187"/>
      <c r="Q569" s="187"/>
      <c r="R569" s="187"/>
      <c r="S569" s="187"/>
      <c r="T569" s="187"/>
      <c r="U569" s="187"/>
      <c r="V569" s="187"/>
      <c r="W569" s="187"/>
      <c r="X569" s="187"/>
      <c r="Y569" s="187"/>
      <c r="Z569" s="187"/>
      <c r="AA569" s="187"/>
      <c r="AB569" s="187"/>
      <c r="AC569" s="187"/>
      <c r="AD569" s="187"/>
      <c r="AE569" s="187"/>
      <c r="AF569" s="187"/>
      <c r="AG569" s="187"/>
      <c r="AH569" s="187"/>
      <c r="AI569" s="187"/>
    </row>
    <row r="570">
      <c r="A570" s="187"/>
      <c r="B570" s="187"/>
      <c r="C570" s="187"/>
      <c r="D570" s="187"/>
      <c r="E570" s="187"/>
      <c r="F570" s="187"/>
      <c r="G570" s="187"/>
      <c r="H570" s="187"/>
      <c r="I570" s="187"/>
      <c r="J570" s="187"/>
      <c r="K570" s="187"/>
      <c r="L570" s="187"/>
      <c r="M570" s="192"/>
      <c r="N570" s="187"/>
      <c r="O570" s="187"/>
      <c r="P570" s="187"/>
      <c r="Q570" s="187"/>
      <c r="R570" s="187"/>
      <c r="S570" s="187"/>
      <c r="T570" s="187"/>
      <c r="U570" s="187"/>
      <c r="V570" s="187"/>
      <c r="W570" s="187"/>
      <c r="X570" s="187"/>
      <c r="Y570" s="187"/>
      <c r="Z570" s="187"/>
      <c r="AA570" s="187"/>
      <c r="AB570" s="187"/>
      <c r="AC570" s="187"/>
      <c r="AD570" s="187"/>
      <c r="AE570" s="187"/>
      <c r="AF570" s="187"/>
      <c r="AG570" s="187"/>
      <c r="AH570" s="187"/>
      <c r="AI570" s="187"/>
    </row>
    <row r="571">
      <c r="A571" s="187"/>
      <c r="B571" s="187"/>
      <c r="C571" s="187"/>
      <c r="D571" s="187"/>
      <c r="E571" s="187"/>
      <c r="F571" s="187"/>
      <c r="G571" s="187"/>
      <c r="H571" s="187"/>
      <c r="I571" s="187"/>
      <c r="J571" s="187"/>
      <c r="K571" s="187"/>
      <c r="L571" s="187"/>
      <c r="M571" s="192"/>
      <c r="N571" s="187"/>
      <c r="O571" s="187"/>
      <c r="P571" s="187"/>
      <c r="Q571" s="187"/>
      <c r="R571" s="187"/>
      <c r="S571" s="187"/>
      <c r="T571" s="187"/>
      <c r="U571" s="187"/>
      <c r="V571" s="187"/>
      <c r="W571" s="187"/>
      <c r="X571" s="187"/>
      <c r="Y571" s="187"/>
      <c r="Z571" s="187"/>
      <c r="AA571" s="187"/>
      <c r="AB571" s="187"/>
      <c r="AC571" s="187"/>
      <c r="AD571" s="187"/>
      <c r="AE571" s="187"/>
      <c r="AF571" s="187"/>
      <c r="AG571" s="187"/>
      <c r="AH571" s="187"/>
      <c r="AI571" s="187"/>
    </row>
    <row r="572">
      <c r="A572" s="187"/>
      <c r="B572" s="187"/>
      <c r="C572" s="187"/>
      <c r="D572" s="187"/>
      <c r="E572" s="187"/>
      <c r="F572" s="187"/>
      <c r="G572" s="187"/>
      <c r="H572" s="187"/>
      <c r="I572" s="187"/>
      <c r="J572" s="187"/>
      <c r="K572" s="187"/>
      <c r="L572" s="187"/>
      <c r="M572" s="192"/>
      <c r="N572" s="187"/>
      <c r="O572" s="187"/>
      <c r="P572" s="187"/>
      <c r="Q572" s="187"/>
      <c r="R572" s="187"/>
      <c r="S572" s="187"/>
      <c r="T572" s="187"/>
      <c r="U572" s="187"/>
      <c r="V572" s="187"/>
      <c r="W572" s="187"/>
      <c r="X572" s="187"/>
      <c r="Y572" s="187"/>
      <c r="Z572" s="187"/>
      <c r="AA572" s="187"/>
      <c r="AB572" s="187"/>
      <c r="AC572" s="187"/>
      <c r="AD572" s="187"/>
      <c r="AE572" s="187"/>
      <c r="AF572" s="187"/>
      <c r="AG572" s="187"/>
      <c r="AH572" s="187"/>
      <c r="AI572" s="187"/>
    </row>
    <row r="573">
      <c r="A573" s="187"/>
      <c r="B573" s="187"/>
      <c r="C573" s="187"/>
      <c r="D573" s="187"/>
      <c r="E573" s="187"/>
      <c r="F573" s="187"/>
      <c r="G573" s="187"/>
      <c r="H573" s="187"/>
      <c r="I573" s="187"/>
      <c r="J573" s="187"/>
      <c r="K573" s="187"/>
      <c r="L573" s="187"/>
      <c r="M573" s="192"/>
      <c r="N573" s="187"/>
      <c r="O573" s="187"/>
      <c r="P573" s="187"/>
      <c r="Q573" s="187"/>
      <c r="R573" s="187"/>
      <c r="S573" s="187"/>
      <c r="T573" s="187"/>
      <c r="U573" s="187"/>
      <c r="V573" s="187"/>
      <c r="W573" s="187"/>
      <c r="X573" s="187"/>
      <c r="Y573" s="187"/>
      <c r="Z573" s="187"/>
      <c r="AA573" s="187"/>
      <c r="AB573" s="187"/>
      <c r="AC573" s="187"/>
      <c r="AD573" s="187"/>
      <c r="AE573" s="187"/>
      <c r="AF573" s="187"/>
      <c r="AG573" s="187"/>
      <c r="AH573" s="187"/>
      <c r="AI573" s="187"/>
    </row>
    <row r="574">
      <c r="A574" s="187"/>
      <c r="B574" s="187"/>
      <c r="C574" s="187"/>
      <c r="D574" s="187"/>
      <c r="E574" s="187"/>
      <c r="F574" s="187"/>
      <c r="G574" s="187"/>
      <c r="H574" s="187"/>
      <c r="I574" s="187"/>
      <c r="J574" s="187"/>
      <c r="K574" s="187"/>
      <c r="L574" s="187"/>
      <c r="M574" s="192"/>
      <c r="N574" s="187"/>
      <c r="O574" s="187"/>
      <c r="P574" s="187"/>
      <c r="Q574" s="187"/>
      <c r="R574" s="187"/>
      <c r="S574" s="187"/>
      <c r="T574" s="187"/>
      <c r="U574" s="187"/>
      <c r="V574" s="187"/>
      <c r="W574" s="187"/>
      <c r="X574" s="187"/>
      <c r="Y574" s="187"/>
      <c r="Z574" s="187"/>
      <c r="AA574" s="187"/>
      <c r="AB574" s="187"/>
      <c r="AC574" s="187"/>
      <c r="AD574" s="187"/>
      <c r="AE574" s="187"/>
      <c r="AF574" s="187"/>
      <c r="AG574" s="187"/>
      <c r="AH574" s="187"/>
      <c r="AI574" s="187"/>
    </row>
    <row r="575">
      <c r="A575" s="187"/>
      <c r="B575" s="187"/>
      <c r="C575" s="187"/>
      <c r="D575" s="187"/>
      <c r="E575" s="187"/>
      <c r="F575" s="187"/>
      <c r="G575" s="187"/>
      <c r="H575" s="187"/>
      <c r="I575" s="187"/>
      <c r="J575" s="187"/>
      <c r="K575" s="187"/>
      <c r="L575" s="187"/>
      <c r="M575" s="192"/>
      <c r="N575" s="187"/>
      <c r="O575" s="187"/>
      <c r="P575" s="187"/>
      <c r="Q575" s="187"/>
      <c r="R575" s="187"/>
      <c r="S575" s="187"/>
      <c r="T575" s="187"/>
      <c r="U575" s="187"/>
      <c r="V575" s="187"/>
      <c r="W575" s="187"/>
      <c r="X575" s="187"/>
      <c r="Y575" s="187"/>
      <c r="Z575" s="187"/>
      <c r="AA575" s="187"/>
      <c r="AB575" s="187"/>
      <c r="AC575" s="187"/>
      <c r="AD575" s="187"/>
      <c r="AE575" s="187"/>
      <c r="AF575" s="187"/>
      <c r="AG575" s="187"/>
      <c r="AH575" s="187"/>
      <c r="AI575" s="187"/>
    </row>
    <row r="576">
      <c r="A576" s="187"/>
      <c r="B576" s="187"/>
      <c r="C576" s="187"/>
      <c r="D576" s="187"/>
      <c r="E576" s="187"/>
      <c r="F576" s="187"/>
      <c r="G576" s="187"/>
      <c r="H576" s="187"/>
      <c r="I576" s="187"/>
      <c r="J576" s="187"/>
      <c r="K576" s="187"/>
      <c r="L576" s="187"/>
      <c r="M576" s="192"/>
      <c r="N576" s="187"/>
      <c r="O576" s="187"/>
      <c r="P576" s="187"/>
      <c r="Q576" s="187"/>
      <c r="R576" s="187"/>
      <c r="S576" s="187"/>
      <c r="T576" s="187"/>
      <c r="U576" s="187"/>
      <c r="V576" s="187"/>
      <c r="W576" s="187"/>
      <c r="X576" s="187"/>
      <c r="Y576" s="187"/>
      <c r="Z576" s="187"/>
      <c r="AA576" s="187"/>
      <c r="AB576" s="187"/>
      <c r="AC576" s="187"/>
      <c r="AD576" s="187"/>
      <c r="AE576" s="187"/>
      <c r="AF576" s="187"/>
      <c r="AG576" s="187"/>
      <c r="AH576" s="187"/>
      <c r="AI576" s="187"/>
    </row>
    <row r="577">
      <c r="A577" s="187"/>
      <c r="B577" s="187"/>
      <c r="C577" s="187"/>
      <c r="D577" s="187"/>
      <c r="E577" s="187"/>
      <c r="F577" s="187"/>
      <c r="G577" s="187"/>
      <c r="H577" s="187"/>
      <c r="I577" s="187"/>
      <c r="J577" s="187"/>
      <c r="K577" s="187"/>
      <c r="L577" s="187"/>
      <c r="M577" s="192"/>
      <c r="N577" s="187"/>
      <c r="O577" s="187"/>
      <c r="P577" s="187"/>
      <c r="Q577" s="187"/>
      <c r="R577" s="187"/>
      <c r="S577" s="187"/>
      <c r="T577" s="187"/>
      <c r="U577" s="187"/>
      <c r="V577" s="187"/>
      <c r="W577" s="187"/>
      <c r="X577" s="187"/>
      <c r="Y577" s="187"/>
      <c r="Z577" s="187"/>
      <c r="AA577" s="187"/>
      <c r="AB577" s="187"/>
      <c r="AC577" s="187"/>
      <c r="AD577" s="187"/>
      <c r="AE577" s="187"/>
      <c r="AF577" s="187"/>
      <c r="AG577" s="187"/>
      <c r="AH577" s="187"/>
      <c r="AI577" s="187"/>
    </row>
    <row r="578">
      <c r="A578" s="187"/>
      <c r="B578" s="187"/>
      <c r="C578" s="187"/>
      <c r="D578" s="187"/>
      <c r="E578" s="187"/>
      <c r="F578" s="187"/>
      <c r="G578" s="187"/>
      <c r="H578" s="187"/>
      <c r="I578" s="187"/>
      <c r="J578" s="187"/>
      <c r="K578" s="187"/>
      <c r="L578" s="187"/>
      <c r="M578" s="192"/>
      <c r="N578" s="187"/>
      <c r="O578" s="187"/>
      <c r="P578" s="187"/>
      <c r="Q578" s="187"/>
      <c r="R578" s="187"/>
      <c r="S578" s="187"/>
      <c r="T578" s="187"/>
      <c r="U578" s="187"/>
      <c r="V578" s="187"/>
      <c r="W578" s="187"/>
      <c r="X578" s="187"/>
      <c r="Y578" s="187"/>
      <c r="Z578" s="187"/>
      <c r="AA578" s="187"/>
      <c r="AB578" s="187"/>
      <c r="AC578" s="187"/>
      <c r="AD578" s="187"/>
      <c r="AE578" s="187"/>
      <c r="AF578" s="187"/>
      <c r="AG578" s="187"/>
      <c r="AH578" s="187"/>
      <c r="AI578" s="187"/>
    </row>
    <row r="579">
      <c r="A579" s="187"/>
      <c r="B579" s="187"/>
      <c r="C579" s="187"/>
      <c r="D579" s="187"/>
      <c r="E579" s="187"/>
      <c r="F579" s="187"/>
      <c r="G579" s="187"/>
      <c r="H579" s="187"/>
      <c r="I579" s="187"/>
      <c r="J579" s="187"/>
      <c r="K579" s="187"/>
      <c r="L579" s="187"/>
      <c r="M579" s="192"/>
      <c r="N579" s="187"/>
      <c r="O579" s="187"/>
      <c r="P579" s="187"/>
      <c r="Q579" s="187"/>
      <c r="R579" s="187"/>
      <c r="S579" s="187"/>
      <c r="T579" s="187"/>
      <c r="U579" s="187"/>
      <c r="V579" s="187"/>
      <c r="W579" s="187"/>
      <c r="X579" s="187"/>
      <c r="Y579" s="187"/>
      <c r="Z579" s="187"/>
      <c r="AA579" s="187"/>
      <c r="AB579" s="187"/>
      <c r="AC579" s="187"/>
      <c r="AD579" s="187"/>
      <c r="AE579" s="187"/>
      <c r="AF579" s="187"/>
      <c r="AG579" s="187"/>
      <c r="AH579" s="187"/>
      <c r="AI579" s="187"/>
    </row>
    <row r="580">
      <c r="A580" s="187"/>
      <c r="B580" s="187"/>
      <c r="C580" s="187"/>
      <c r="D580" s="187"/>
      <c r="E580" s="187"/>
      <c r="F580" s="187"/>
      <c r="G580" s="187"/>
      <c r="H580" s="187"/>
      <c r="I580" s="187"/>
      <c r="J580" s="187"/>
      <c r="K580" s="187"/>
      <c r="L580" s="187"/>
      <c r="M580" s="192"/>
      <c r="N580" s="187"/>
      <c r="O580" s="187"/>
      <c r="P580" s="187"/>
      <c r="Q580" s="187"/>
      <c r="R580" s="187"/>
      <c r="S580" s="187"/>
      <c r="T580" s="187"/>
      <c r="U580" s="187"/>
      <c r="V580" s="187"/>
      <c r="W580" s="187"/>
      <c r="X580" s="187"/>
      <c r="Y580" s="187"/>
      <c r="Z580" s="187"/>
      <c r="AA580" s="187"/>
      <c r="AB580" s="187"/>
      <c r="AC580" s="187"/>
      <c r="AD580" s="187"/>
      <c r="AE580" s="187"/>
      <c r="AF580" s="187"/>
      <c r="AG580" s="187"/>
      <c r="AH580" s="187"/>
      <c r="AI580" s="187"/>
    </row>
    <row r="581">
      <c r="A581" s="187"/>
      <c r="B581" s="187"/>
      <c r="C581" s="187"/>
      <c r="D581" s="187"/>
      <c r="E581" s="187"/>
      <c r="F581" s="187"/>
      <c r="G581" s="187"/>
      <c r="H581" s="187"/>
      <c r="I581" s="187"/>
      <c r="J581" s="187"/>
      <c r="K581" s="187"/>
      <c r="L581" s="187"/>
      <c r="M581" s="192"/>
      <c r="N581" s="187"/>
      <c r="O581" s="187"/>
      <c r="P581" s="187"/>
      <c r="Q581" s="187"/>
      <c r="R581" s="187"/>
      <c r="S581" s="187"/>
      <c r="T581" s="187"/>
      <c r="U581" s="187"/>
      <c r="V581" s="187"/>
      <c r="W581" s="187"/>
      <c r="X581" s="187"/>
      <c r="Y581" s="187"/>
      <c r="Z581" s="187"/>
      <c r="AA581" s="187"/>
      <c r="AB581" s="187"/>
      <c r="AC581" s="187"/>
      <c r="AD581" s="187"/>
      <c r="AE581" s="187"/>
      <c r="AF581" s="187"/>
      <c r="AG581" s="187"/>
      <c r="AH581" s="187"/>
      <c r="AI581" s="187"/>
    </row>
    <row r="582">
      <c r="A582" s="187"/>
      <c r="B582" s="187"/>
      <c r="C582" s="187"/>
      <c r="D582" s="187"/>
      <c r="E582" s="187"/>
      <c r="F582" s="187"/>
      <c r="G582" s="187"/>
      <c r="H582" s="187"/>
      <c r="I582" s="187"/>
      <c r="J582" s="187"/>
      <c r="K582" s="187"/>
      <c r="L582" s="187"/>
      <c r="M582" s="192"/>
      <c r="N582" s="187"/>
      <c r="O582" s="187"/>
      <c r="P582" s="187"/>
      <c r="Q582" s="187"/>
      <c r="R582" s="187"/>
      <c r="S582" s="187"/>
      <c r="T582" s="187"/>
      <c r="U582" s="187"/>
      <c r="V582" s="187"/>
      <c r="W582" s="187"/>
      <c r="X582" s="187"/>
      <c r="Y582" s="187"/>
      <c r="Z582" s="187"/>
      <c r="AA582" s="187"/>
      <c r="AB582" s="187"/>
      <c r="AC582" s="187"/>
      <c r="AD582" s="187"/>
      <c r="AE582" s="187"/>
      <c r="AF582" s="187"/>
      <c r="AG582" s="187"/>
      <c r="AH582" s="187"/>
      <c r="AI582" s="187"/>
    </row>
    <row r="583">
      <c r="A583" s="187"/>
      <c r="B583" s="187"/>
      <c r="C583" s="187"/>
      <c r="D583" s="187"/>
      <c r="E583" s="187"/>
      <c r="F583" s="187"/>
      <c r="G583" s="187"/>
      <c r="H583" s="187"/>
      <c r="I583" s="187"/>
      <c r="J583" s="187"/>
      <c r="K583" s="187"/>
      <c r="L583" s="187"/>
      <c r="M583" s="192"/>
      <c r="N583" s="187"/>
      <c r="O583" s="187"/>
      <c r="P583" s="187"/>
      <c r="Q583" s="187"/>
      <c r="R583" s="187"/>
      <c r="S583" s="187"/>
      <c r="T583" s="187"/>
      <c r="U583" s="187"/>
      <c r="V583" s="187"/>
      <c r="W583" s="187"/>
      <c r="X583" s="187"/>
      <c r="Y583" s="187"/>
      <c r="Z583" s="187"/>
      <c r="AA583" s="187"/>
      <c r="AB583" s="187"/>
      <c r="AC583" s="187"/>
      <c r="AD583" s="187"/>
      <c r="AE583" s="187"/>
      <c r="AF583" s="187"/>
      <c r="AG583" s="187"/>
      <c r="AH583" s="187"/>
      <c r="AI583" s="187"/>
    </row>
    <row r="584">
      <c r="A584" s="187"/>
      <c r="B584" s="187"/>
      <c r="C584" s="187"/>
      <c r="D584" s="187"/>
      <c r="E584" s="187"/>
      <c r="F584" s="187"/>
      <c r="G584" s="187"/>
      <c r="H584" s="187"/>
      <c r="I584" s="187"/>
      <c r="J584" s="187"/>
      <c r="K584" s="187"/>
      <c r="L584" s="187"/>
      <c r="M584" s="192"/>
      <c r="N584" s="187"/>
      <c r="O584" s="187"/>
      <c r="P584" s="187"/>
      <c r="Q584" s="187"/>
      <c r="R584" s="187"/>
      <c r="S584" s="187"/>
      <c r="T584" s="187"/>
      <c r="U584" s="187"/>
      <c r="V584" s="187"/>
      <c r="W584" s="187"/>
      <c r="X584" s="187"/>
      <c r="Y584" s="187"/>
      <c r="Z584" s="187"/>
      <c r="AA584" s="187"/>
      <c r="AB584" s="187"/>
      <c r="AC584" s="187"/>
      <c r="AD584" s="187"/>
      <c r="AE584" s="187"/>
      <c r="AF584" s="187"/>
      <c r="AG584" s="187"/>
      <c r="AH584" s="187"/>
      <c r="AI584" s="187"/>
    </row>
    <row r="585">
      <c r="A585" s="187"/>
      <c r="B585" s="187"/>
      <c r="C585" s="187"/>
      <c r="D585" s="187"/>
      <c r="E585" s="187"/>
      <c r="F585" s="187"/>
      <c r="G585" s="187"/>
      <c r="H585" s="187"/>
      <c r="I585" s="187"/>
      <c r="J585" s="187"/>
      <c r="K585" s="187"/>
      <c r="L585" s="187"/>
      <c r="M585" s="192"/>
      <c r="N585" s="187"/>
      <c r="O585" s="187"/>
      <c r="P585" s="187"/>
      <c r="Q585" s="187"/>
      <c r="R585" s="187"/>
      <c r="S585" s="187"/>
      <c r="T585" s="187"/>
      <c r="U585" s="187"/>
      <c r="V585" s="187"/>
      <c r="W585" s="187"/>
      <c r="X585" s="187"/>
      <c r="Y585" s="187"/>
      <c r="Z585" s="187"/>
      <c r="AA585" s="187"/>
      <c r="AB585" s="187"/>
      <c r="AC585" s="187"/>
      <c r="AD585" s="187"/>
      <c r="AE585" s="187"/>
      <c r="AF585" s="187"/>
      <c r="AG585" s="187"/>
      <c r="AH585" s="187"/>
      <c r="AI585" s="187"/>
    </row>
    <row r="586">
      <c r="A586" s="187"/>
      <c r="B586" s="187"/>
      <c r="C586" s="187"/>
      <c r="D586" s="187"/>
      <c r="E586" s="187"/>
      <c r="F586" s="187"/>
      <c r="G586" s="187"/>
      <c r="H586" s="187"/>
      <c r="I586" s="187"/>
      <c r="J586" s="187"/>
      <c r="K586" s="187"/>
      <c r="L586" s="187"/>
      <c r="M586" s="192"/>
      <c r="N586" s="187"/>
      <c r="O586" s="187"/>
      <c r="P586" s="187"/>
      <c r="Q586" s="187"/>
      <c r="R586" s="187"/>
      <c r="S586" s="187"/>
      <c r="T586" s="187"/>
      <c r="U586" s="187"/>
      <c r="V586" s="187"/>
      <c r="W586" s="187"/>
      <c r="X586" s="187"/>
      <c r="Y586" s="187"/>
      <c r="Z586" s="187"/>
      <c r="AA586" s="187"/>
      <c r="AB586" s="187"/>
      <c r="AC586" s="187"/>
      <c r="AD586" s="187"/>
      <c r="AE586" s="187"/>
      <c r="AF586" s="187"/>
      <c r="AG586" s="187"/>
      <c r="AH586" s="187"/>
      <c r="AI586" s="187"/>
    </row>
    <row r="587">
      <c r="A587" s="187"/>
      <c r="B587" s="187"/>
      <c r="C587" s="187"/>
      <c r="D587" s="187"/>
      <c r="E587" s="187"/>
      <c r="F587" s="187"/>
      <c r="G587" s="187"/>
      <c r="H587" s="187"/>
      <c r="I587" s="187"/>
      <c r="J587" s="187"/>
      <c r="K587" s="187"/>
      <c r="L587" s="187"/>
      <c r="M587" s="192"/>
      <c r="N587" s="187"/>
      <c r="O587" s="187"/>
      <c r="P587" s="187"/>
      <c r="Q587" s="187"/>
      <c r="R587" s="187"/>
      <c r="S587" s="187"/>
      <c r="T587" s="187"/>
      <c r="U587" s="187"/>
      <c r="V587" s="187"/>
      <c r="W587" s="187"/>
      <c r="X587" s="187"/>
      <c r="Y587" s="187"/>
      <c r="Z587" s="187"/>
      <c r="AA587" s="187"/>
      <c r="AB587" s="187"/>
      <c r="AC587" s="187"/>
      <c r="AD587" s="187"/>
      <c r="AE587" s="187"/>
      <c r="AF587" s="187"/>
      <c r="AG587" s="187"/>
      <c r="AH587" s="187"/>
      <c r="AI587" s="187"/>
    </row>
    <row r="588">
      <c r="A588" s="187"/>
      <c r="B588" s="187"/>
      <c r="C588" s="187"/>
      <c r="D588" s="187"/>
      <c r="E588" s="187"/>
      <c r="F588" s="187"/>
      <c r="G588" s="187"/>
      <c r="H588" s="187"/>
      <c r="I588" s="187"/>
      <c r="J588" s="187"/>
      <c r="K588" s="187"/>
      <c r="L588" s="187"/>
      <c r="M588" s="192"/>
      <c r="N588" s="187"/>
      <c r="O588" s="187"/>
      <c r="P588" s="187"/>
      <c r="Q588" s="187"/>
      <c r="R588" s="187"/>
      <c r="S588" s="187"/>
      <c r="T588" s="187"/>
      <c r="U588" s="187"/>
      <c r="V588" s="187"/>
      <c r="W588" s="187"/>
      <c r="X588" s="187"/>
      <c r="Y588" s="187"/>
      <c r="Z588" s="187"/>
      <c r="AA588" s="187"/>
      <c r="AB588" s="187"/>
      <c r="AC588" s="187"/>
      <c r="AD588" s="187"/>
      <c r="AE588" s="187"/>
      <c r="AF588" s="187"/>
      <c r="AG588" s="187"/>
      <c r="AH588" s="187"/>
      <c r="AI588" s="187"/>
    </row>
    <row r="589">
      <c r="A589" s="187"/>
      <c r="B589" s="187"/>
      <c r="C589" s="187"/>
      <c r="D589" s="187"/>
      <c r="E589" s="187"/>
      <c r="F589" s="187"/>
      <c r="G589" s="187"/>
      <c r="H589" s="187"/>
      <c r="I589" s="187"/>
      <c r="J589" s="187"/>
      <c r="K589" s="187"/>
      <c r="L589" s="187"/>
      <c r="M589" s="192"/>
      <c r="N589" s="187"/>
      <c r="O589" s="187"/>
      <c r="P589" s="187"/>
      <c r="Q589" s="187"/>
      <c r="R589" s="187"/>
      <c r="S589" s="187"/>
      <c r="T589" s="187"/>
      <c r="U589" s="187"/>
      <c r="V589" s="187"/>
      <c r="W589" s="187"/>
      <c r="X589" s="187"/>
      <c r="Y589" s="187"/>
      <c r="Z589" s="187"/>
      <c r="AA589" s="187"/>
      <c r="AB589" s="187"/>
      <c r="AC589" s="187"/>
      <c r="AD589" s="187"/>
      <c r="AE589" s="187"/>
      <c r="AF589" s="187"/>
      <c r="AG589" s="187"/>
      <c r="AH589" s="187"/>
      <c r="AI589" s="187"/>
    </row>
    <row r="590">
      <c r="A590" s="187"/>
      <c r="B590" s="187"/>
      <c r="C590" s="187"/>
      <c r="D590" s="187"/>
      <c r="E590" s="187"/>
      <c r="F590" s="187"/>
      <c r="G590" s="187"/>
      <c r="H590" s="187"/>
      <c r="I590" s="187"/>
      <c r="J590" s="187"/>
      <c r="K590" s="187"/>
      <c r="L590" s="187"/>
      <c r="M590" s="192"/>
      <c r="N590" s="187"/>
      <c r="O590" s="187"/>
      <c r="P590" s="187"/>
      <c r="Q590" s="187"/>
      <c r="R590" s="187"/>
      <c r="S590" s="187"/>
      <c r="T590" s="187"/>
      <c r="U590" s="187"/>
      <c r="V590" s="187"/>
      <c r="W590" s="187"/>
      <c r="X590" s="187"/>
      <c r="Y590" s="187"/>
      <c r="Z590" s="187"/>
      <c r="AA590" s="187"/>
      <c r="AB590" s="187"/>
      <c r="AC590" s="187"/>
      <c r="AD590" s="187"/>
      <c r="AE590" s="187"/>
      <c r="AF590" s="187"/>
      <c r="AG590" s="187"/>
      <c r="AH590" s="187"/>
      <c r="AI590" s="187"/>
    </row>
    <row r="591">
      <c r="A591" s="187"/>
      <c r="B591" s="187"/>
      <c r="C591" s="187"/>
      <c r="D591" s="187"/>
      <c r="E591" s="187"/>
      <c r="F591" s="187"/>
      <c r="G591" s="187"/>
      <c r="H591" s="187"/>
      <c r="I591" s="187"/>
      <c r="J591" s="187"/>
      <c r="K591" s="187"/>
      <c r="L591" s="187"/>
      <c r="M591" s="192"/>
      <c r="N591" s="187"/>
      <c r="O591" s="187"/>
      <c r="P591" s="187"/>
      <c r="Q591" s="187"/>
      <c r="R591" s="187"/>
      <c r="S591" s="187"/>
      <c r="T591" s="187"/>
      <c r="U591" s="187"/>
      <c r="V591" s="187"/>
      <c r="W591" s="187"/>
      <c r="X591" s="187"/>
      <c r="Y591" s="187"/>
      <c r="Z591" s="187"/>
      <c r="AA591" s="187"/>
      <c r="AB591" s="187"/>
      <c r="AC591" s="187"/>
      <c r="AD591" s="187"/>
      <c r="AE591" s="187"/>
      <c r="AF591" s="187"/>
      <c r="AG591" s="187"/>
      <c r="AH591" s="187"/>
      <c r="AI591" s="187"/>
    </row>
    <row r="592">
      <c r="A592" s="187"/>
      <c r="B592" s="187"/>
      <c r="C592" s="187"/>
      <c r="D592" s="187"/>
      <c r="E592" s="187"/>
      <c r="F592" s="187"/>
      <c r="G592" s="187"/>
      <c r="H592" s="187"/>
      <c r="I592" s="187"/>
      <c r="J592" s="187"/>
      <c r="K592" s="187"/>
      <c r="L592" s="187"/>
      <c r="M592" s="192"/>
      <c r="N592" s="187"/>
      <c r="O592" s="187"/>
      <c r="P592" s="187"/>
      <c r="Q592" s="187"/>
      <c r="R592" s="187"/>
      <c r="S592" s="187"/>
      <c r="T592" s="187"/>
      <c r="U592" s="187"/>
      <c r="V592" s="187"/>
      <c r="W592" s="187"/>
      <c r="X592" s="187"/>
      <c r="Y592" s="187"/>
      <c r="Z592" s="187"/>
      <c r="AA592" s="187"/>
      <c r="AB592" s="187"/>
      <c r="AC592" s="187"/>
      <c r="AD592" s="187"/>
      <c r="AE592" s="187"/>
      <c r="AF592" s="187"/>
      <c r="AG592" s="187"/>
      <c r="AH592" s="187"/>
      <c r="AI592" s="187"/>
    </row>
    <row r="593">
      <c r="A593" s="187"/>
      <c r="B593" s="187"/>
      <c r="C593" s="187"/>
      <c r="D593" s="187"/>
      <c r="E593" s="187"/>
      <c r="F593" s="187"/>
      <c r="G593" s="187"/>
      <c r="H593" s="187"/>
      <c r="I593" s="187"/>
      <c r="J593" s="187"/>
      <c r="K593" s="187"/>
      <c r="L593" s="187"/>
      <c r="M593" s="192"/>
      <c r="N593" s="187"/>
      <c r="O593" s="187"/>
      <c r="P593" s="187"/>
      <c r="Q593" s="187"/>
      <c r="R593" s="187"/>
      <c r="S593" s="187"/>
      <c r="T593" s="187"/>
      <c r="U593" s="187"/>
      <c r="V593" s="187"/>
      <c r="W593" s="187"/>
      <c r="X593" s="187"/>
      <c r="Y593" s="187"/>
      <c r="Z593" s="187"/>
      <c r="AA593" s="187"/>
      <c r="AB593" s="187"/>
      <c r="AC593" s="187"/>
      <c r="AD593" s="187"/>
      <c r="AE593" s="187"/>
      <c r="AF593" s="187"/>
      <c r="AG593" s="187"/>
      <c r="AH593" s="187"/>
      <c r="AI593" s="187"/>
    </row>
    <row r="594">
      <c r="A594" s="187"/>
      <c r="B594" s="187"/>
      <c r="C594" s="187"/>
      <c r="D594" s="187"/>
      <c r="E594" s="187"/>
      <c r="F594" s="187"/>
      <c r="G594" s="187"/>
      <c r="H594" s="187"/>
      <c r="I594" s="187"/>
      <c r="J594" s="187"/>
      <c r="K594" s="187"/>
      <c r="L594" s="187"/>
      <c r="M594" s="192"/>
      <c r="N594" s="187"/>
      <c r="O594" s="187"/>
      <c r="P594" s="187"/>
      <c r="Q594" s="187"/>
      <c r="R594" s="187"/>
      <c r="S594" s="187"/>
      <c r="T594" s="187"/>
      <c r="U594" s="187"/>
      <c r="V594" s="187"/>
      <c r="W594" s="187"/>
      <c r="X594" s="187"/>
      <c r="Y594" s="187"/>
      <c r="Z594" s="187"/>
      <c r="AA594" s="187"/>
      <c r="AB594" s="187"/>
      <c r="AC594" s="187"/>
      <c r="AD594" s="187"/>
      <c r="AE594" s="187"/>
      <c r="AF594" s="187"/>
      <c r="AG594" s="187"/>
      <c r="AH594" s="187"/>
      <c r="AI594" s="187"/>
    </row>
    <row r="595">
      <c r="A595" s="187"/>
      <c r="B595" s="187"/>
      <c r="C595" s="187"/>
      <c r="D595" s="187"/>
      <c r="E595" s="187"/>
      <c r="F595" s="187"/>
      <c r="G595" s="187"/>
      <c r="H595" s="187"/>
      <c r="I595" s="187"/>
      <c r="J595" s="187"/>
      <c r="K595" s="187"/>
      <c r="L595" s="187"/>
      <c r="M595" s="192"/>
      <c r="N595" s="187"/>
      <c r="O595" s="187"/>
      <c r="P595" s="187"/>
      <c r="Q595" s="187"/>
      <c r="R595" s="187"/>
      <c r="S595" s="187"/>
      <c r="T595" s="187"/>
      <c r="U595" s="187"/>
      <c r="V595" s="187"/>
      <c r="W595" s="187"/>
      <c r="X595" s="187"/>
      <c r="Y595" s="187"/>
      <c r="Z595" s="187"/>
      <c r="AA595" s="187"/>
      <c r="AB595" s="187"/>
      <c r="AC595" s="187"/>
      <c r="AD595" s="187"/>
      <c r="AE595" s="187"/>
      <c r="AF595" s="187"/>
      <c r="AG595" s="187"/>
      <c r="AH595" s="187"/>
      <c r="AI595" s="187"/>
    </row>
    <row r="596">
      <c r="A596" s="187"/>
      <c r="B596" s="187"/>
      <c r="C596" s="187"/>
      <c r="D596" s="187"/>
      <c r="E596" s="187"/>
      <c r="F596" s="187"/>
      <c r="G596" s="187"/>
      <c r="H596" s="187"/>
      <c r="I596" s="187"/>
      <c r="J596" s="187"/>
      <c r="K596" s="187"/>
      <c r="L596" s="187"/>
      <c r="M596" s="192"/>
      <c r="N596" s="187"/>
      <c r="O596" s="187"/>
      <c r="P596" s="187"/>
      <c r="Q596" s="187"/>
      <c r="R596" s="187"/>
      <c r="S596" s="187"/>
      <c r="T596" s="187"/>
      <c r="U596" s="187"/>
      <c r="V596" s="187"/>
      <c r="W596" s="187"/>
      <c r="X596" s="187"/>
      <c r="Y596" s="187"/>
      <c r="Z596" s="187"/>
      <c r="AA596" s="187"/>
      <c r="AB596" s="187"/>
      <c r="AC596" s="187"/>
      <c r="AD596" s="187"/>
      <c r="AE596" s="187"/>
      <c r="AF596" s="187"/>
      <c r="AG596" s="187"/>
      <c r="AH596" s="187"/>
      <c r="AI596" s="187"/>
    </row>
    <row r="597">
      <c r="A597" s="187"/>
      <c r="B597" s="187"/>
      <c r="C597" s="187"/>
      <c r="D597" s="187"/>
      <c r="E597" s="187"/>
      <c r="F597" s="187"/>
      <c r="G597" s="187"/>
      <c r="H597" s="187"/>
      <c r="I597" s="187"/>
      <c r="J597" s="187"/>
      <c r="K597" s="187"/>
      <c r="L597" s="187"/>
      <c r="M597" s="192"/>
      <c r="N597" s="187"/>
      <c r="O597" s="187"/>
      <c r="P597" s="187"/>
      <c r="Q597" s="187"/>
      <c r="R597" s="187"/>
      <c r="S597" s="187"/>
      <c r="T597" s="187"/>
      <c r="U597" s="187"/>
      <c r="V597" s="187"/>
      <c r="W597" s="187"/>
      <c r="X597" s="187"/>
      <c r="Y597" s="187"/>
      <c r="Z597" s="187"/>
      <c r="AA597" s="187"/>
      <c r="AB597" s="187"/>
      <c r="AC597" s="187"/>
      <c r="AD597" s="187"/>
      <c r="AE597" s="187"/>
      <c r="AF597" s="187"/>
      <c r="AG597" s="187"/>
      <c r="AH597" s="187"/>
      <c r="AI597" s="187"/>
    </row>
    <row r="598">
      <c r="A598" s="187"/>
      <c r="B598" s="187"/>
      <c r="C598" s="187"/>
      <c r="D598" s="187"/>
      <c r="E598" s="187"/>
      <c r="F598" s="187"/>
      <c r="G598" s="187"/>
      <c r="H598" s="187"/>
      <c r="I598" s="187"/>
      <c r="J598" s="187"/>
      <c r="K598" s="187"/>
      <c r="L598" s="187"/>
      <c r="M598" s="192"/>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row>
    <row r="599">
      <c r="A599" s="187"/>
      <c r="B599" s="187"/>
      <c r="C599" s="187"/>
      <c r="D599" s="187"/>
      <c r="E599" s="187"/>
      <c r="F599" s="187"/>
      <c r="G599" s="187"/>
      <c r="H599" s="187"/>
      <c r="I599" s="187"/>
      <c r="J599" s="187"/>
      <c r="K599" s="187"/>
      <c r="L599" s="187"/>
      <c r="M599" s="192"/>
      <c r="N599" s="187"/>
      <c r="O599" s="187"/>
      <c r="P599" s="187"/>
      <c r="Q599" s="187"/>
      <c r="R599" s="187"/>
      <c r="S599" s="187"/>
      <c r="T599" s="187"/>
      <c r="U599" s="187"/>
      <c r="V599" s="187"/>
      <c r="W599" s="187"/>
      <c r="X599" s="187"/>
      <c r="Y599" s="187"/>
      <c r="Z599" s="187"/>
      <c r="AA599" s="187"/>
      <c r="AB599" s="187"/>
      <c r="AC599" s="187"/>
      <c r="AD599" s="187"/>
      <c r="AE599" s="187"/>
      <c r="AF599" s="187"/>
      <c r="AG599" s="187"/>
      <c r="AH599" s="187"/>
      <c r="AI599" s="187"/>
    </row>
    <row r="600">
      <c r="A600" s="187"/>
      <c r="B600" s="187"/>
      <c r="C600" s="187"/>
      <c r="D600" s="187"/>
      <c r="E600" s="187"/>
      <c r="F600" s="187"/>
      <c r="G600" s="187"/>
      <c r="H600" s="187"/>
      <c r="I600" s="187"/>
      <c r="J600" s="187"/>
      <c r="K600" s="187"/>
      <c r="L600" s="187"/>
      <c r="M600" s="192"/>
      <c r="N600" s="187"/>
      <c r="O600" s="187"/>
      <c r="P600" s="187"/>
      <c r="Q600" s="187"/>
      <c r="R600" s="187"/>
      <c r="S600" s="187"/>
      <c r="T600" s="187"/>
      <c r="U600" s="187"/>
      <c r="V600" s="187"/>
      <c r="W600" s="187"/>
      <c r="X600" s="187"/>
      <c r="Y600" s="187"/>
      <c r="Z600" s="187"/>
      <c r="AA600" s="187"/>
      <c r="AB600" s="187"/>
      <c r="AC600" s="187"/>
      <c r="AD600" s="187"/>
      <c r="AE600" s="187"/>
      <c r="AF600" s="187"/>
      <c r="AG600" s="187"/>
      <c r="AH600" s="187"/>
      <c r="AI600" s="187"/>
    </row>
    <row r="601">
      <c r="A601" s="187"/>
      <c r="B601" s="187"/>
      <c r="C601" s="187"/>
      <c r="D601" s="187"/>
      <c r="E601" s="187"/>
      <c r="F601" s="187"/>
      <c r="G601" s="187"/>
      <c r="H601" s="187"/>
      <c r="I601" s="187"/>
      <c r="J601" s="187"/>
      <c r="K601" s="187"/>
      <c r="L601" s="187"/>
      <c r="M601" s="192"/>
      <c r="N601" s="187"/>
      <c r="O601" s="187"/>
      <c r="P601" s="187"/>
      <c r="Q601" s="187"/>
      <c r="R601" s="187"/>
      <c r="S601" s="187"/>
      <c r="T601" s="187"/>
      <c r="U601" s="187"/>
      <c r="V601" s="187"/>
      <c r="W601" s="187"/>
      <c r="X601" s="187"/>
      <c r="Y601" s="187"/>
      <c r="Z601" s="187"/>
      <c r="AA601" s="187"/>
      <c r="AB601" s="187"/>
      <c r="AC601" s="187"/>
      <c r="AD601" s="187"/>
      <c r="AE601" s="187"/>
      <c r="AF601" s="187"/>
      <c r="AG601" s="187"/>
      <c r="AH601" s="187"/>
      <c r="AI601" s="187"/>
    </row>
    <row r="602">
      <c r="A602" s="187"/>
      <c r="B602" s="187"/>
      <c r="C602" s="187"/>
      <c r="D602" s="187"/>
      <c r="E602" s="187"/>
      <c r="F602" s="187"/>
      <c r="G602" s="187"/>
      <c r="H602" s="187"/>
      <c r="I602" s="187"/>
      <c r="J602" s="187"/>
      <c r="K602" s="187"/>
      <c r="L602" s="187"/>
      <c r="M602" s="192"/>
      <c r="N602" s="187"/>
      <c r="O602" s="187"/>
      <c r="P602" s="187"/>
      <c r="Q602" s="187"/>
      <c r="R602" s="187"/>
      <c r="S602" s="187"/>
      <c r="T602" s="187"/>
      <c r="U602" s="187"/>
      <c r="V602" s="187"/>
      <c r="W602" s="187"/>
      <c r="X602" s="187"/>
      <c r="Y602" s="187"/>
      <c r="Z602" s="187"/>
      <c r="AA602" s="187"/>
      <c r="AB602" s="187"/>
      <c r="AC602" s="187"/>
      <c r="AD602" s="187"/>
      <c r="AE602" s="187"/>
      <c r="AF602" s="187"/>
      <c r="AG602" s="187"/>
      <c r="AH602" s="187"/>
      <c r="AI602" s="187"/>
    </row>
    <row r="603">
      <c r="A603" s="187"/>
      <c r="B603" s="187"/>
      <c r="C603" s="187"/>
      <c r="D603" s="187"/>
      <c r="E603" s="187"/>
      <c r="F603" s="187"/>
      <c r="G603" s="187"/>
      <c r="H603" s="187"/>
      <c r="I603" s="187"/>
      <c r="J603" s="187"/>
      <c r="K603" s="187"/>
      <c r="L603" s="187"/>
      <c r="M603" s="192"/>
      <c r="N603" s="187"/>
      <c r="O603" s="187"/>
      <c r="P603" s="187"/>
      <c r="Q603" s="187"/>
      <c r="R603" s="187"/>
      <c r="S603" s="187"/>
      <c r="T603" s="187"/>
      <c r="U603" s="187"/>
      <c r="V603" s="187"/>
      <c r="W603" s="187"/>
      <c r="X603" s="187"/>
      <c r="Y603" s="187"/>
      <c r="Z603" s="187"/>
      <c r="AA603" s="187"/>
      <c r="AB603" s="187"/>
      <c r="AC603" s="187"/>
      <c r="AD603" s="187"/>
      <c r="AE603" s="187"/>
      <c r="AF603" s="187"/>
      <c r="AG603" s="187"/>
      <c r="AH603" s="187"/>
      <c r="AI603" s="187"/>
    </row>
    <row r="604">
      <c r="A604" s="187"/>
      <c r="B604" s="187"/>
      <c r="C604" s="187"/>
      <c r="D604" s="187"/>
      <c r="E604" s="187"/>
      <c r="F604" s="187"/>
      <c r="G604" s="187"/>
      <c r="H604" s="187"/>
      <c r="I604" s="187"/>
      <c r="J604" s="187"/>
      <c r="K604" s="187"/>
      <c r="L604" s="187"/>
      <c r="M604" s="192"/>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row>
    <row r="605">
      <c r="A605" s="187"/>
      <c r="B605" s="187"/>
      <c r="C605" s="187"/>
      <c r="D605" s="187"/>
      <c r="E605" s="187"/>
      <c r="F605" s="187"/>
      <c r="G605" s="187"/>
      <c r="H605" s="187"/>
      <c r="I605" s="187"/>
      <c r="J605" s="187"/>
      <c r="K605" s="187"/>
      <c r="L605" s="187"/>
      <c r="M605" s="192"/>
      <c r="N605" s="187"/>
      <c r="O605" s="187"/>
      <c r="P605" s="187"/>
      <c r="Q605" s="187"/>
      <c r="R605" s="187"/>
      <c r="S605" s="187"/>
      <c r="T605" s="187"/>
      <c r="U605" s="187"/>
      <c r="V605" s="187"/>
      <c r="W605" s="187"/>
      <c r="X605" s="187"/>
      <c r="Y605" s="187"/>
      <c r="Z605" s="187"/>
      <c r="AA605" s="187"/>
      <c r="AB605" s="187"/>
      <c r="AC605" s="187"/>
      <c r="AD605" s="187"/>
      <c r="AE605" s="187"/>
      <c r="AF605" s="187"/>
      <c r="AG605" s="187"/>
      <c r="AH605" s="187"/>
      <c r="AI605" s="187"/>
    </row>
    <row r="606">
      <c r="A606" s="187"/>
      <c r="B606" s="187"/>
      <c r="C606" s="187"/>
      <c r="D606" s="187"/>
      <c r="E606" s="187"/>
      <c r="F606" s="187"/>
      <c r="G606" s="187"/>
      <c r="H606" s="187"/>
      <c r="I606" s="187"/>
      <c r="J606" s="187"/>
      <c r="K606" s="187"/>
      <c r="L606" s="187"/>
      <c r="M606" s="192"/>
      <c r="N606" s="187"/>
      <c r="O606" s="187"/>
      <c r="P606" s="187"/>
      <c r="Q606" s="187"/>
      <c r="R606" s="187"/>
      <c r="S606" s="187"/>
      <c r="T606" s="187"/>
      <c r="U606" s="187"/>
      <c r="V606" s="187"/>
      <c r="W606" s="187"/>
      <c r="X606" s="187"/>
      <c r="Y606" s="187"/>
      <c r="Z606" s="187"/>
      <c r="AA606" s="187"/>
      <c r="AB606" s="187"/>
      <c r="AC606" s="187"/>
      <c r="AD606" s="187"/>
      <c r="AE606" s="187"/>
      <c r="AF606" s="187"/>
      <c r="AG606" s="187"/>
      <c r="AH606" s="187"/>
      <c r="AI606" s="187"/>
    </row>
    <row r="607">
      <c r="A607" s="187"/>
      <c r="B607" s="187"/>
      <c r="C607" s="187"/>
      <c r="D607" s="187"/>
      <c r="E607" s="187"/>
      <c r="F607" s="187"/>
      <c r="G607" s="187"/>
      <c r="H607" s="187"/>
      <c r="I607" s="187"/>
      <c r="J607" s="187"/>
      <c r="K607" s="187"/>
      <c r="L607" s="187"/>
      <c r="M607" s="192"/>
      <c r="N607" s="187"/>
      <c r="O607" s="187"/>
      <c r="P607" s="187"/>
      <c r="Q607" s="187"/>
      <c r="R607" s="187"/>
      <c r="S607" s="187"/>
      <c r="T607" s="187"/>
      <c r="U607" s="187"/>
      <c r="V607" s="187"/>
      <c r="W607" s="187"/>
      <c r="X607" s="187"/>
      <c r="Y607" s="187"/>
      <c r="Z607" s="187"/>
      <c r="AA607" s="187"/>
      <c r="AB607" s="187"/>
      <c r="AC607" s="187"/>
      <c r="AD607" s="187"/>
      <c r="AE607" s="187"/>
      <c r="AF607" s="187"/>
      <c r="AG607" s="187"/>
      <c r="AH607" s="187"/>
      <c r="AI607" s="187"/>
    </row>
    <row r="608">
      <c r="A608" s="187"/>
      <c r="B608" s="187"/>
      <c r="C608" s="187"/>
      <c r="D608" s="187"/>
      <c r="E608" s="187"/>
      <c r="F608" s="187"/>
      <c r="G608" s="187"/>
      <c r="H608" s="187"/>
      <c r="I608" s="187"/>
      <c r="J608" s="187"/>
      <c r="K608" s="187"/>
      <c r="L608" s="187"/>
      <c r="M608" s="192"/>
      <c r="N608" s="187"/>
      <c r="O608" s="187"/>
      <c r="P608" s="187"/>
      <c r="Q608" s="187"/>
      <c r="R608" s="187"/>
      <c r="S608" s="187"/>
      <c r="T608" s="187"/>
      <c r="U608" s="187"/>
      <c r="V608" s="187"/>
      <c r="W608" s="187"/>
      <c r="X608" s="187"/>
      <c r="Y608" s="187"/>
      <c r="Z608" s="187"/>
      <c r="AA608" s="187"/>
      <c r="AB608" s="187"/>
      <c r="AC608" s="187"/>
      <c r="AD608" s="187"/>
      <c r="AE608" s="187"/>
      <c r="AF608" s="187"/>
      <c r="AG608" s="187"/>
      <c r="AH608" s="187"/>
      <c r="AI608" s="187"/>
    </row>
    <row r="609">
      <c r="A609" s="187"/>
      <c r="B609" s="187"/>
      <c r="C609" s="187"/>
      <c r="D609" s="187"/>
      <c r="E609" s="187"/>
      <c r="F609" s="187"/>
      <c r="G609" s="187"/>
      <c r="H609" s="187"/>
      <c r="I609" s="187"/>
      <c r="J609" s="187"/>
      <c r="K609" s="187"/>
      <c r="L609" s="187"/>
      <c r="M609" s="192"/>
      <c r="N609" s="187"/>
      <c r="O609" s="187"/>
      <c r="P609" s="187"/>
      <c r="Q609" s="187"/>
      <c r="R609" s="187"/>
      <c r="S609" s="187"/>
      <c r="T609" s="187"/>
      <c r="U609" s="187"/>
      <c r="V609" s="187"/>
      <c r="W609" s="187"/>
      <c r="X609" s="187"/>
      <c r="Y609" s="187"/>
      <c r="Z609" s="187"/>
      <c r="AA609" s="187"/>
      <c r="AB609" s="187"/>
      <c r="AC609" s="187"/>
      <c r="AD609" s="187"/>
      <c r="AE609" s="187"/>
      <c r="AF609" s="187"/>
      <c r="AG609" s="187"/>
      <c r="AH609" s="187"/>
      <c r="AI609" s="187"/>
    </row>
    <row r="610">
      <c r="A610" s="187"/>
      <c r="B610" s="187"/>
      <c r="C610" s="187"/>
      <c r="D610" s="187"/>
      <c r="E610" s="187"/>
      <c r="F610" s="187"/>
      <c r="G610" s="187"/>
      <c r="H610" s="187"/>
      <c r="I610" s="187"/>
      <c r="J610" s="187"/>
      <c r="K610" s="187"/>
      <c r="L610" s="187"/>
      <c r="M610" s="192"/>
      <c r="N610" s="187"/>
      <c r="O610" s="187"/>
      <c r="P610" s="187"/>
      <c r="Q610" s="187"/>
      <c r="R610" s="187"/>
      <c r="S610" s="187"/>
      <c r="T610" s="187"/>
      <c r="U610" s="187"/>
      <c r="V610" s="187"/>
      <c r="W610" s="187"/>
      <c r="X610" s="187"/>
      <c r="Y610" s="187"/>
      <c r="Z610" s="187"/>
      <c r="AA610" s="187"/>
      <c r="AB610" s="187"/>
      <c r="AC610" s="187"/>
      <c r="AD610" s="187"/>
      <c r="AE610" s="187"/>
      <c r="AF610" s="187"/>
      <c r="AG610" s="187"/>
      <c r="AH610" s="187"/>
      <c r="AI610" s="187"/>
    </row>
    <row r="611">
      <c r="A611" s="187"/>
      <c r="B611" s="187"/>
      <c r="C611" s="187"/>
      <c r="D611" s="187"/>
      <c r="E611" s="187"/>
      <c r="F611" s="187"/>
      <c r="G611" s="187"/>
      <c r="H611" s="187"/>
      <c r="I611" s="187"/>
      <c r="J611" s="187"/>
      <c r="K611" s="187"/>
      <c r="L611" s="187"/>
      <c r="M611" s="192"/>
      <c r="N611" s="187"/>
      <c r="O611" s="187"/>
      <c r="P611" s="187"/>
      <c r="Q611" s="187"/>
      <c r="R611" s="187"/>
      <c r="S611" s="187"/>
      <c r="T611" s="187"/>
      <c r="U611" s="187"/>
      <c r="V611" s="187"/>
      <c r="W611" s="187"/>
      <c r="X611" s="187"/>
      <c r="Y611" s="187"/>
      <c r="Z611" s="187"/>
      <c r="AA611" s="187"/>
      <c r="AB611" s="187"/>
      <c r="AC611" s="187"/>
      <c r="AD611" s="187"/>
      <c r="AE611" s="187"/>
      <c r="AF611" s="187"/>
      <c r="AG611" s="187"/>
      <c r="AH611" s="187"/>
      <c r="AI611" s="187"/>
    </row>
    <row r="612">
      <c r="A612" s="187"/>
      <c r="B612" s="187"/>
      <c r="C612" s="187"/>
      <c r="D612" s="187"/>
      <c r="E612" s="187"/>
      <c r="F612" s="187"/>
      <c r="G612" s="187"/>
      <c r="H612" s="187"/>
      <c r="I612" s="187"/>
      <c r="J612" s="187"/>
      <c r="K612" s="187"/>
      <c r="L612" s="187"/>
      <c r="M612" s="192"/>
      <c r="N612" s="187"/>
      <c r="O612" s="187"/>
      <c r="P612" s="187"/>
      <c r="Q612" s="187"/>
      <c r="R612" s="187"/>
      <c r="S612" s="187"/>
      <c r="T612" s="187"/>
      <c r="U612" s="187"/>
      <c r="V612" s="187"/>
      <c r="W612" s="187"/>
      <c r="X612" s="187"/>
      <c r="Y612" s="187"/>
      <c r="Z612" s="187"/>
      <c r="AA612" s="187"/>
      <c r="AB612" s="187"/>
      <c r="AC612" s="187"/>
      <c r="AD612" s="187"/>
      <c r="AE612" s="187"/>
      <c r="AF612" s="187"/>
      <c r="AG612" s="187"/>
      <c r="AH612" s="187"/>
      <c r="AI612" s="187"/>
    </row>
    <row r="613">
      <c r="A613" s="187"/>
      <c r="B613" s="187"/>
      <c r="C613" s="187"/>
      <c r="D613" s="187"/>
      <c r="E613" s="187"/>
      <c r="F613" s="187"/>
      <c r="G613" s="187"/>
      <c r="H613" s="187"/>
      <c r="I613" s="187"/>
      <c r="J613" s="187"/>
      <c r="K613" s="187"/>
      <c r="L613" s="187"/>
      <c r="M613" s="192"/>
      <c r="N613" s="187"/>
      <c r="O613" s="187"/>
      <c r="P613" s="187"/>
      <c r="Q613" s="187"/>
      <c r="R613" s="187"/>
      <c r="S613" s="187"/>
      <c r="T613" s="187"/>
      <c r="U613" s="187"/>
      <c r="V613" s="187"/>
      <c r="W613" s="187"/>
      <c r="X613" s="187"/>
      <c r="Y613" s="187"/>
      <c r="Z613" s="187"/>
      <c r="AA613" s="187"/>
      <c r="AB613" s="187"/>
      <c r="AC613" s="187"/>
      <c r="AD613" s="187"/>
      <c r="AE613" s="187"/>
      <c r="AF613" s="187"/>
      <c r="AG613" s="187"/>
      <c r="AH613" s="187"/>
      <c r="AI613" s="187"/>
    </row>
    <row r="614">
      <c r="A614" s="187"/>
      <c r="B614" s="187"/>
      <c r="C614" s="187"/>
      <c r="D614" s="187"/>
      <c r="E614" s="187"/>
      <c r="F614" s="187"/>
      <c r="G614" s="187"/>
      <c r="H614" s="187"/>
      <c r="I614" s="187"/>
      <c r="J614" s="187"/>
      <c r="K614" s="187"/>
      <c r="L614" s="187"/>
      <c r="M614" s="192"/>
      <c r="N614" s="187"/>
      <c r="O614" s="187"/>
      <c r="P614" s="187"/>
      <c r="Q614" s="187"/>
      <c r="R614" s="187"/>
      <c r="S614" s="187"/>
      <c r="T614" s="187"/>
      <c r="U614" s="187"/>
      <c r="V614" s="187"/>
      <c r="W614" s="187"/>
      <c r="X614" s="187"/>
      <c r="Y614" s="187"/>
      <c r="Z614" s="187"/>
      <c r="AA614" s="187"/>
      <c r="AB614" s="187"/>
      <c r="AC614" s="187"/>
      <c r="AD614" s="187"/>
      <c r="AE614" s="187"/>
      <c r="AF614" s="187"/>
      <c r="AG614" s="187"/>
      <c r="AH614" s="187"/>
      <c r="AI614" s="187"/>
    </row>
    <row r="615">
      <c r="A615" s="187"/>
      <c r="B615" s="187"/>
      <c r="C615" s="187"/>
      <c r="D615" s="187"/>
      <c r="E615" s="187"/>
      <c r="F615" s="187"/>
      <c r="G615" s="187"/>
      <c r="H615" s="187"/>
      <c r="I615" s="187"/>
      <c r="J615" s="187"/>
      <c r="K615" s="187"/>
      <c r="L615" s="187"/>
      <c r="M615" s="192"/>
      <c r="N615" s="187"/>
      <c r="O615" s="187"/>
      <c r="P615" s="187"/>
      <c r="Q615" s="187"/>
      <c r="R615" s="187"/>
      <c r="S615" s="187"/>
      <c r="T615" s="187"/>
      <c r="U615" s="187"/>
      <c r="V615" s="187"/>
      <c r="W615" s="187"/>
      <c r="X615" s="187"/>
      <c r="Y615" s="187"/>
      <c r="Z615" s="187"/>
      <c r="AA615" s="187"/>
      <c r="AB615" s="187"/>
      <c r="AC615" s="187"/>
      <c r="AD615" s="187"/>
      <c r="AE615" s="187"/>
      <c r="AF615" s="187"/>
      <c r="AG615" s="187"/>
      <c r="AH615" s="187"/>
      <c r="AI615" s="187"/>
    </row>
    <row r="616">
      <c r="A616" s="187"/>
      <c r="B616" s="187"/>
      <c r="C616" s="187"/>
      <c r="D616" s="187"/>
      <c r="E616" s="187"/>
      <c r="F616" s="187"/>
      <c r="G616" s="187"/>
      <c r="H616" s="187"/>
      <c r="I616" s="187"/>
      <c r="J616" s="187"/>
      <c r="K616" s="187"/>
      <c r="L616" s="187"/>
      <c r="M616" s="192"/>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row>
    <row r="617">
      <c r="A617" s="187"/>
      <c r="B617" s="187"/>
      <c r="C617" s="187"/>
      <c r="D617" s="187"/>
      <c r="E617" s="187"/>
      <c r="F617" s="187"/>
      <c r="G617" s="187"/>
      <c r="H617" s="187"/>
      <c r="I617" s="187"/>
      <c r="J617" s="187"/>
      <c r="K617" s="187"/>
      <c r="L617" s="187"/>
      <c r="M617" s="192"/>
      <c r="N617" s="187"/>
      <c r="O617" s="187"/>
      <c r="P617" s="187"/>
      <c r="Q617" s="187"/>
      <c r="R617" s="187"/>
      <c r="S617" s="187"/>
      <c r="T617" s="187"/>
      <c r="U617" s="187"/>
      <c r="V617" s="187"/>
      <c r="W617" s="187"/>
      <c r="X617" s="187"/>
      <c r="Y617" s="187"/>
      <c r="Z617" s="187"/>
      <c r="AA617" s="187"/>
      <c r="AB617" s="187"/>
      <c r="AC617" s="187"/>
      <c r="AD617" s="187"/>
      <c r="AE617" s="187"/>
      <c r="AF617" s="187"/>
      <c r="AG617" s="187"/>
      <c r="AH617" s="187"/>
      <c r="AI617" s="187"/>
    </row>
    <row r="618">
      <c r="A618" s="187"/>
      <c r="B618" s="187"/>
      <c r="C618" s="187"/>
      <c r="D618" s="187"/>
      <c r="E618" s="187"/>
      <c r="F618" s="187"/>
      <c r="G618" s="187"/>
      <c r="H618" s="187"/>
      <c r="I618" s="187"/>
      <c r="J618" s="187"/>
      <c r="K618" s="187"/>
      <c r="L618" s="187"/>
      <c r="M618" s="192"/>
      <c r="N618" s="187"/>
      <c r="O618" s="187"/>
      <c r="P618" s="187"/>
      <c r="Q618" s="187"/>
      <c r="R618" s="187"/>
      <c r="S618" s="187"/>
      <c r="T618" s="187"/>
      <c r="U618" s="187"/>
      <c r="V618" s="187"/>
      <c r="W618" s="187"/>
      <c r="X618" s="187"/>
      <c r="Y618" s="187"/>
      <c r="Z618" s="187"/>
      <c r="AA618" s="187"/>
      <c r="AB618" s="187"/>
      <c r="AC618" s="187"/>
      <c r="AD618" s="187"/>
      <c r="AE618" s="187"/>
      <c r="AF618" s="187"/>
      <c r="AG618" s="187"/>
      <c r="AH618" s="187"/>
      <c r="AI618" s="187"/>
    </row>
    <row r="619">
      <c r="A619" s="187"/>
      <c r="B619" s="187"/>
      <c r="C619" s="187"/>
      <c r="D619" s="187"/>
      <c r="E619" s="187"/>
      <c r="F619" s="187"/>
      <c r="G619" s="187"/>
      <c r="H619" s="187"/>
      <c r="I619" s="187"/>
      <c r="J619" s="187"/>
      <c r="K619" s="187"/>
      <c r="L619" s="187"/>
      <c r="M619" s="192"/>
      <c r="N619" s="187"/>
      <c r="O619" s="187"/>
      <c r="P619" s="187"/>
      <c r="Q619" s="187"/>
      <c r="R619" s="187"/>
      <c r="S619" s="187"/>
      <c r="T619" s="187"/>
      <c r="U619" s="187"/>
      <c r="V619" s="187"/>
      <c r="W619" s="187"/>
      <c r="X619" s="187"/>
      <c r="Y619" s="187"/>
      <c r="Z619" s="187"/>
      <c r="AA619" s="187"/>
      <c r="AB619" s="187"/>
      <c r="AC619" s="187"/>
      <c r="AD619" s="187"/>
      <c r="AE619" s="187"/>
      <c r="AF619" s="187"/>
      <c r="AG619" s="187"/>
      <c r="AH619" s="187"/>
      <c r="AI619" s="187"/>
    </row>
    <row r="620">
      <c r="A620" s="187"/>
      <c r="B620" s="187"/>
      <c r="C620" s="187"/>
      <c r="D620" s="187"/>
      <c r="E620" s="187"/>
      <c r="F620" s="187"/>
      <c r="G620" s="187"/>
      <c r="H620" s="187"/>
      <c r="I620" s="187"/>
      <c r="J620" s="187"/>
      <c r="K620" s="187"/>
      <c r="L620" s="187"/>
      <c r="M620" s="192"/>
      <c r="N620" s="187"/>
      <c r="O620" s="187"/>
      <c r="P620" s="187"/>
      <c r="Q620" s="187"/>
      <c r="R620" s="187"/>
      <c r="S620" s="187"/>
      <c r="T620" s="187"/>
      <c r="U620" s="187"/>
      <c r="V620" s="187"/>
      <c r="W620" s="187"/>
      <c r="X620" s="187"/>
      <c r="Y620" s="187"/>
      <c r="Z620" s="187"/>
      <c r="AA620" s="187"/>
      <c r="AB620" s="187"/>
      <c r="AC620" s="187"/>
      <c r="AD620" s="187"/>
      <c r="AE620" s="187"/>
      <c r="AF620" s="187"/>
      <c r="AG620" s="187"/>
      <c r="AH620" s="187"/>
      <c r="AI620" s="187"/>
    </row>
    <row r="621">
      <c r="A621" s="187"/>
      <c r="B621" s="187"/>
      <c r="C621" s="187"/>
      <c r="D621" s="187"/>
      <c r="E621" s="187"/>
      <c r="F621" s="187"/>
      <c r="G621" s="187"/>
      <c r="H621" s="187"/>
      <c r="I621" s="187"/>
      <c r="J621" s="187"/>
      <c r="K621" s="187"/>
      <c r="L621" s="187"/>
      <c r="M621" s="192"/>
      <c r="N621" s="187"/>
      <c r="O621" s="187"/>
      <c r="P621" s="187"/>
      <c r="Q621" s="187"/>
      <c r="R621" s="187"/>
      <c r="S621" s="187"/>
      <c r="T621" s="187"/>
      <c r="U621" s="187"/>
      <c r="V621" s="187"/>
      <c r="W621" s="187"/>
      <c r="X621" s="187"/>
      <c r="Y621" s="187"/>
      <c r="Z621" s="187"/>
      <c r="AA621" s="187"/>
      <c r="AB621" s="187"/>
      <c r="AC621" s="187"/>
      <c r="AD621" s="187"/>
      <c r="AE621" s="187"/>
      <c r="AF621" s="187"/>
      <c r="AG621" s="187"/>
      <c r="AH621" s="187"/>
      <c r="AI621" s="187"/>
    </row>
    <row r="622">
      <c r="A622" s="187"/>
      <c r="B622" s="187"/>
      <c r="C622" s="187"/>
      <c r="D622" s="187"/>
      <c r="E622" s="187"/>
      <c r="F622" s="187"/>
      <c r="G622" s="187"/>
      <c r="H622" s="187"/>
      <c r="I622" s="187"/>
      <c r="J622" s="187"/>
      <c r="K622" s="187"/>
      <c r="L622" s="187"/>
      <c r="M622" s="192"/>
      <c r="N622" s="187"/>
      <c r="O622" s="187"/>
      <c r="P622" s="187"/>
      <c r="Q622" s="187"/>
      <c r="R622" s="187"/>
      <c r="S622" s="187"/>
      <c r="T622" s="187"/>
      <c r="U622" s="187"/>
      <c r="V622" s="187"/>
      <c r="W622" s="187"/>
      <c r="X622" s="187"/>
      <c r="Y622" s="187"/>
      <c r="Z622" s="187"/>
      <c r="AA622" s="187"/>
      <c r="AB622" s="187"/>
      <c r="AC622" s="187"/>
      <c r="AD622" s="187"/>
      <c r="AE622" s="187"/>
      <c r="AF622" s="187"/>
      <c r="AG622" s="187"/>
      <c r="AH622" s="187"/>
      <c r="AI622" s="187"/>
    </row>
    <row r="623">
      <c r="A623" s="187"/>
      <c r="B623" s="187"/>
      <c r="C623" s="187"/>
      <c r="D623" s="187"/>
      <c r="E623" s="187"/>
      <c r="F623" s="187"/>
      <c r="G623" s="187"/>
      <c r="H623" s="187"/>
      <c r="I623" s="187"/>
      <c r="J623" s="187"/>
      <c r="K623" s="187"/>
      <c r="L623" s="187"/>
      <c r="M623" s="192"/>
      <c r="N623" s="187"/>
      <c r="O623" s="187"/>
      <c r="P623" s="187"/>
      <c r="Q623" s="187"/>
      <c r="R623" s="187"/>
      <c r="S623" s="187"/>
      <c r="T623" s="187"/>
      <c r="U623" s="187"/>
      <c r="V623" s="187"/>
      <c r="W623" s="187"/>
      <c r="X623" s="187"/>
      <c r="Y623" s="187"/>
      <c r="Z623" s="187"/>
      <c r="AA623" s="187"/>
      <c r="AB623" s="187"/>
      <c r="AC623" s="187"/>
      <c r="AD623" s="187"/>
      <c r="AE623" s="187"/>
      <c r="AF623" s="187"/>
      <c r="AG623" s="187"/>
      <c r="AH623" s="187"/>
      <c r="AI623" s="187"/>
    </row>
    <row r="624">
      <c r="A624" s="187"/>
      <c r="B624" s="187"/>
      <c r="C624" s="187"/>
      <c r="D624" s="187"/>
      <c r="E624" s="187"/>
      <c r="F624" s="187"/>
      <c r="G624" s="187"/>
      <c r="H624" s="187"/>
      <c r="I624" s="187"/>
      <c r="J624" s="187"/>
      <c r="K624" s="187"/>
      <c r="L624" s="187"/>
      <c r="M624" s="192"/>
      <c r="N624" s="187"/>
      <c r="O624" s="187"/>
      <c r="P624" s="187"/>
      <c r="Q624" s="187"/>
      <c r="R624" s="187"/>
      <c r="S624" s="187"/>
      <c r="T624" s="187"/>
      <c r="U624" s="187"/>
      <c r="V624" s="187"/>
      <c r="W624" s="187"/>
      <c r="X624" s="187"/>
      <c r="Y624" s="187"/>
      <c r="Z624" s="187"/>
      <c r="AA624" s="187"/>
      <c r="AB624" s="187"/>
      <c r="AC624" s="187"/>
      <c r="AD624" s="187"/>
      <c r="AE624" s="187"/>
      <c r="AF624" s="187"/>
      <c r="AG624" s="187"/>
      <c r="AH624" s="187"/>
      <c r="AI624" s="187"/>
    </row>
    <row r="625">
      <c r="A625" s="187"/>
      <c r="B625" s="187"/>
      <c r="C625" s="187"/>
      <c r="D625" s="187"/>
      <c r="E625" s="187"/>
      <c r="F625" s="187"/>
      <c r="G625" s="187"/>
      <c r="H625" s="187"/>
      <c r="I625" s="187"/>
      <c r="J625" s="187"/>
      <c r="K625" s="187"/>
      <c r="L625" s="187"/>
      <c r="M625" s="192"/>
      <c r="N625" s="187"/>
      <c r="O625" s="187"/>
      <c r="P625" s="187"/>
      <c r="Q625" s="187"/>
      <c r="R625" s="187"/>
      <c r="S625" s="187"/>
      <c r="T625" s="187"/>
      <c r="U625" s="187"/>
      <c r="V625" s="187"/>
      <c r="W625" s="187"/>
      <c r="X625" s="187"/>
      <c r="Y625" s="187"/>
      <c r="Z625" s="187"/>
      <c r="AA625" s="187"/>
      <c r="AB625" s="187"/>
      <c r="AC625" s="187"/>
      <c r="AD625" s="187"/>
      <c r="AE625" s="187"/>
      <c r="AF625" s="187"/>
      <c r="AG625" s="187"/>
      <c r="AH625" s="187"/>
      <c r="AI625" s="187"/>
    </row>
    <row r="626">
      <c r="A626" s="187"/>
      <c r="B626" s="187"/>
      <c r="C626" s="187"/>
      <c r="D626" s="187"/>
      <c r="E626" s="187"/>
      <c r="F626" s="187"/>
      <c r="G626" s="187"/>
      <c r="H626" s="187"/>
      <c r="I626" s="187"/>
      <c r="J626" s="187"/>
      <c r="K626" s="187"/>
      <c r="L626" s="187"/>
      <c r="M626" s="192"/>
      <c r="N626" s="187"/>
      <c r="O626" s="187"/>
      <c r="P626" s="187"/>
      <c r="Q626" s="187"/>
      <c r="R626" s="187"/>
      <c r="S626" s="187"/>
      <c r="T626" s="187"/>
      <c r="U626" s="187"/>
      <c r="V626" s="187"/>
      <c r="W626" s="187"/>
      <c r="X626" s="187"/>
      <c r="Y626" s="187"/>
      <c r="Z626" s="187"/>
      <c r="AA626" s="187"/>
      <c r="AB626" s="187"/>
      <c r="AC626" s="187"/>
      <c r="AD626" s="187"/>
      <c r="AE626" s="187"/>
      <c r="AF626" s="187"/>
      <c r="AG626" s="187"/>
      <c r="AH626" s="187"/>
      <c r="AI626" s="187"/>
    </row>
    <row r="627">
      <c r="A627" s="187"/>
      <c r="B627" s="187"/>
      <c r="C627" s="187"/>
      <c r="D627" s="187"/>
      <c r="E627" s="187"/>
      <c r="F627" s="187"/>
      <c r="G627" s="187"/>
      <c r="H627" s="187"/>
      <c r="I627" s="187"/>
      <c r="J627" s="187"/>
      <c r="K627" s="187"/>
      <c r="L627" s="187"/>
      <c r="M627" s="192"/>
      <c r="N627" s="187"/>
      <c r="O627" s="187"/>
      <c r="P627" s="187"/>
      <c r="Q627" s="187"/>
      <c r="R627" s="187"/>
      <c r="S627" s="187"/>
      <c r="T627" s="187"/>
      <c r="U627" s="187"/>
      <c r="V627" s="187"/>
      <c r="W627" s="187"/>
      <c r="X627" s="187"/>
      <c r="Y627" s="187"/>
      <c r="Z627" s="187"/>
      <c r="AA627" s="187"/>
      <c r="AB627" s="187"/>
      <c r="AC627" s="187"/>
      <c r="AD627" s="187"/>
      <c r="AE627" s="187"/>
      <c r="AF627" s="187"/>
      <c r="AG627" s="187"/>
      <c r="AH627" s="187"/>
      <c r="AI627" s="187"/>
    </row>
    <row r="628">
      <c r="A628" s="187"/>
      <c r="B628" s="187"/>
      <c r="C628" s="187"/>
      <c r="D628" s="187"/>
      <c r="E628" s="187"/>
      <c r="F628" s="187"/>
      <c r="G628" s="187"/>
      <c r="H628" s="187"/>
      <c r="I628" s="187"/>
      <c r="J628" s="187"/>
      <c r="K628" s="187"/>
      <c r="L628" s="187"/>
      <c r="M628" s="192"/>
      <c r="N628" s="187"/>
      <c r="O628" s="187"/>
      <c r="P628" s="187"/>
      <c r="Q628" s="187"/>
      <c r="R628" s="187"/>
      <c r="S628" s="187"/>
      <c r="T628" s="187"/>
      <c r="U628" s="187"/>
      <c r="V628" s="187"/>
      <c r="W628" s="187"/>
      <c r="X628" s="187"/>
      <c r="Y628" s="187"/>
      <c r="Z628" s="187"/>
      <c r="AA628" s="187"/>
      <c r="AB628" s="187"/>
      <c r="AC628" s="187"/>
      <c r="AD628" s="187"/>
      <c r="AE628" s="187"/>
      <c r="AF628" s="187"/>
      <c r="AG628" s="187"/>
      <c r="AH628" s="187"/>
      <c r="AI628" s="187"/>
    </row>
    <row r="629">
      <c r="A629" s="187"/>
      <c r="B629" s="187"/>
      <c r="C629" s="187"/>
      <c r="D629" s="187"/>
      <c r="E629" s="187"/>
      <c r="F629" s="187"/>
      <c r="G629" s="187"/>
      <c r="H629" s="187"/>
      <c r="I629" s="187"/>
      <c r="J629" s="187"/>
      <c r="K629" s="187"/>
      <c r="L629" s="187"/>
      <c r="M629" s="192"/>
      <c r="N629" s="187"/>
      <c r="O629" s="187"/>
      <c r="P629" s="187"/>
      <c r="Q629" s="187"/>
      <c r="R629" s="187"/>
      <c r="S629" s="187"/>
      <c r="T629" s="187"/>
      <c r="U629" s="187"/>
      <c r="V629" s="187"/>
      <c r="W629" s="187"/>
      <c r="X629" s="187"/>
      <c r="Y629" s="187"/>
      <c r="Z629" s="187"/>
      <c r="AA629" s="187"/>
      <c r="AB629" s="187"/>
      <c r="AC629" s="187"/>
      <c r="AD629" s="187"/>
      <c r="AE629" s="187"/>
      <c r="AF629" s="187"/>
      <c r="AG629" s="187"/>
      <c r="AH629" s="187"/>
      <c r="AI629" s="187"/>
    </row>
    <row r="630">
      <c r="A630" s="187"/>
      <c r="B630" s="187"/>
      <c r="C630" s="187"/>
      <c r="D630" s="187"/>
      <c r="E630" s="187"/>
      <c r="F630" s="187"/>
      <c r="G630" s="187"/>
      <c r="H630" s="187"/>
      <c r="I630" s="187"/>
      <c r="J630" s="187"/>
      <c r="K630" s="187"/>
      <c r="L630" s="187"/>
      <c r="M630" s="192"/>
      <c r="N630" s="187"/>
      <c r="O630" s="187"/>
      <c r="P630" s="187"/>
      <c r="Q630" s="187"/>
      <c r="R630" s="187"/>
      <c r="S630" s="187"/>
      <c r="T630" s="187"/>
      <c r="U630" s="187"/>
      <c r="V630" s="187"/>
      <c r="W630" s="187"/>
      <c r="X630" s="187"/>
      <c r="Y630" s="187"/>
      <c r="Z630" s="187"/>
      <c r="AA630" s="187"/>
      <c r="AB630" s="187"/>
      <c r="AC630" s="187"/>
      <c r="AD630" s="187"/>
      <c r="AE630" s="187"/>
      <c r="AF630" s="187"/>
      <c r="AG630" s="187"/>
      <c r="AH630" s="187"/>
      <c r="AI630" s="187"/>
    </row>
    <row r="631">
      <c r="A631" s="187"/>
      <c r="B631" s="187"/>
      <c r="C631" s="187"/>
      <c r="D631" s="187"/>
      <c r="E631" s="187"/>
      <c r="F631" s="187"/>
      <c r="G631" s="187"/>
      <c r="H631" s="187"/>
      <c r="I631" s="187"/>
      <c r="J631" s="187"/>
      <c r="K631" s="187"/>
      <c r="L631" s="187"/>
      <c r="M631" s="192"/>
      <c r="N631" s="187"/>
      <c r="O631" s="187"/>
      <c r="P631" s="187"/>
      <c r="Q631" s="187"/>
      <c r="R631" s="187"/>
      <c r="S631" s="187"/>
      <c r="T631" s="187"/>
      <c r="U631" s="187"/>
      <c r="V631" s="187"/>
      <c r="W631" s="187"/>
      <c r="X631" s="187"/>
      <c r="Y631" s="187"/>
      <c r="Z631" s="187"/>
      <c r="AA631" s="187"/>
      <c r="AB631" s="187"/>
      <c r="AC631" s="187"/>
      <c r="AD631" s="187"/>
      <c r="AE631" s="187"/>
      <c r="AF631" s="187"/>
      <c r="AG631" s="187"/>
      <c r="AH631" s="187"/>
      <c r="AI631" s="187"/>
    </row>
    <row r="632">
      <c r="A632" s="187"/>
      <c r="B632" s="187"/>
      <c r="C632" s="187"/>
      <c r="D632" s="187"/>
      <c r="E632" s="187"/>
      <c r="F632" s="187"/>
      <c r="G632" s="187"/>
      <c r="H632" s="187"/>
      <c r="I632" s="187"/>
      <c r="J632" s="187"/>
      <c r="K632" s="187"/>
      <c r="L632" s="187"/>
      <c r="M632" s="192"/>
      <c r="N632" s="187"/>
      <c r="O632" s="187"/>
      <c r="P632" s="187"/>
      <c r="Q632" s="187"/>
      <c r="R632" s="187"/>
      <c r="S632" s="187"/>
      <c r="T632" s="187"/>
      <c r="U632" s="187"/>
      <c r="V632" s="187"/>
      <c r="W632" s="187"/>
      <c r="X632" s="187"/>
      <c r="Y632" s="187"/>
      <c r="Z632" s="187"/>
      <c r="AA632" s="187"/>
      <c r="AB632" s="187"/>
      <c r="AC632" s="187"/>
      <c r="AD632" s="187"/>
      <c r="AE632" s="187"/>
      <c r="AF632" s="187"/>
      <c r="AG632" s="187"/>
      <c r="AH632" s="187"/>
      <c r="AI632" s="187"/>
    </row>
    <row r="633">
      <c r="A633" s="187"/>
      <c r="B633" s="187"/>
      <c r="C633" s="187"/>
      <c r="D633" s="187"/>
      <c r="E633" s="187"/>
      <c r="F633" s="187"/>
      <c r="G633" s="187"/>
      <c r="H633" s="187"/>
      <c r="I633" s="187"/>
      <c r="J633" s="187"/>
      <c r="K633" s="187"/>
      <c r="L633" s="187"/>
      <c r="M633" s="192"/>
      <c r="N633" s="187"/>
      <c r="O633" s="187"/>
      <c r="P633" s="187"/>
      <c r="Q633" s="187"/>
      <c r="R633" s="187"/>
      <c r="S633" s="187"/>
      <c r="T633" s="187"/>
      <c r="U633" s="187"/>
      <c r="V633" s="187"/>
      <c r="W633" s="187"/>
      <c r="X633" s="187"/>
      <c r="Y633" s="187"/>
      <c r="Z633" s="187"/>
      <c r="AA633" s="187"/>
      <c r="AB633" s="187"/>
      <c r="AC633" s="187"/>
      <c r="AD633" s="187"/>
      <c r="AE633" s="187"/>
      <c r="AF633" s="187"/>
      <c r="AG633" s="187"/>
      <c r="AH633" s="187"/>
      <c r="AI633" s="187"/>
    </row>
    <row r="634">
      <c r="A634" s="187"/>
      <c r="B634" s="187"/>
      <c r="C634" s="187"/>
      <c r="D634" s="187"/>
      <c r="E634" s="187"/>
      <c r="F634" s="187"/>
      <c r="G634" s="187"/>
      <c r="H634" s="187"/>
      <c r="I634" s="187"/>
      <c r="J634" s="187"/>
      <c r="K634" s="187"/>
      <c r="L634" s="187"/>
      <c r="M634" s="192"/>
      <c r="N634" s="187"/>
      <c r="O634" s="187"/>
      <c r="P634" s="187"/>
      <c r="Q634" s="187"/>
      <c r="R634" s="187"/>
      <c r="S634" s="187"/>
      <c r="T634" s="187"/>
      <c r="U634" s="187"/>
      <c r="V634" s="187"/>
      <c r="W634" s="187"/>
      <c r="X634" s="187"/>
      <c r="Y634" s="187"/>
      <c r="Z634" s="187"/>
      <c r="AA634" s="187"/>
      <c r="AB634" s="187"/>
      <c r="AC634" s="187"/>
      <c r="AD634" s="187"/>
      <c r="AE634" s="187"/>
      <c r="AF634" s="187"/>
      <c r="AG634" s="187"/>
      <c r="AH634" s="187"/>
      <c r="AI634" s="187"/>
    </row>
    <row r="635">
      <c r="A635" s="187"/>
      <c r="B635" s="187"/>
      <c r="C635" s="187"/>
      <c r="D635" s="187"/>
      <c r="E635" s="187"/>
      <c r="F635" s="187"/>
      <c r="G635" s="187"/>
      <c r="H635" s="187"/>
      <c r="I635" s="187"/>
      <c r="J635" s="187"/>
      <c r="K635" s="187"/>
      <c r="L635" s="187"/>
      <c r="M635" s="192"/>
      <c r="N635" s="187"/>
      <c r="O635" s="187"/>
      <c r="P635" s="187"/>
      <c r="Q635" s="187"/>
      <c r="R635" s="187"/>
      <c r="S635" s="187"/>
      <c r="T635" s="187"/>
      <c r="U635" s="187"/>
      <c r="V635" s="187"/>
      <c r="W635" s="187"/>
      <c r="X635" s="187"/>
      <c r="Y635" s="187"/>
      <c r="Z635" s="187"/>
      <c r="AA635" s="187"/>
      <c r="AB635" s="187"/>
      <c r="AC635" s="187"/>
      <c r="AD635" s="187"/>
      <c r="AE635" s="187"/>
      <c r="AF635" s="187"/>
      <c r="AG635" s="187"/>
      <c r="AH635" s="187"/>
      <c r="AI635" s="187"/>
    </row>
    <row r="636">
      <c r="A636" s="187"/>
      <c r="B636" s="187"/>
      <c r="C636" s="187"/>
      <c r="D636" s="187"/>
      <c r="E636" s="187"/>
      <c r="F636" s="187"/>
      <c r="G636" s="187"/>
      <c r="H636" s="187"/>
      <c r="I636" s="187"/>
      <c r="J636" s="187"/>
      <c r="K636" s="187"/>
      <c r="L636" s="187"/>
      <c r="M636" s="192"/>
      <c r="N636" s="187"/>
      <c r="O636" s="187"/>
      <c r="P636" s="187"/>
      <c r="Q636" s="187"/>
      <c r="R636" s="187"/>
      <c r="S636" s="187"/>
      <c r="T636" s="187"/>
      <c r="U636" s="187"/>
      <c r="V636" s="187"/>
      <c r="W636" s="187"/>
      <c r="X636" s="187"/>
      <c r="Y636" s="187"/>
      <c r="Z636" s="187"/>
      <c r="AA636" s="187"/>
      <c r="AB636" s="187"/>
      <c r="AC636" s="187"/>
      <c r="AD636" s="187"/>
      <c r="AE636" s="187"/>
      <c r="AF636" s="187"/>
      <c r="AG636" s="187"/>
      <c r="AH636" s="187"/>
      <c r="AI636" s="187"/>
    </row>
    <row r="637">
      <c r="A637" s="187"/>
      <c r="B637" s="187"/>
      <c r="C637" s="187"/>
      <c r="D637" s="187"/>
      <c r="E637" s="187"/>
      <c r="F637" s="187"/>
      <c r="G637" s="187"/>
      <c r="H637" s="187"/>
      <c r="I637" s="187"/>
      <c r="J637" s="187"/>
      <c r="K637" s="187"/>
      <c r="L637" s="187"/>
      <c r="M637" s="192"/>
      <c r="N637" s="187"/>
      <c r="O637" s="187"/>
      <c r="P637" s="187"/>
      <c r="Q637" s="187"/>
      <c r="R637" s="187"/>
      <c r="S637" s="187"/>
      <c r="T637" s="187"/>
      <c r="U637" s="187"/>
      <c r="V637" s="187"/>
      <c r="W637" s="187"/>
      <c r="X637" s="187"/>
      <c r="Y637" s="187"/>
      <c r="Z637" s="187"/>
      <c r="AA637" s="187"/>
      <c r="AB637" s="187"/>
      <c r="AC637" s="187"/>
      <c r="AD637" s="187"/>
      <c r="AE637" s="187"/>
      <c r="AF637" s="187"/>
      <c r="AG637" s="187"/>
      <c r="AH637" s="187"/>
      <c r="AI637" s="187"/>
    </row>
    <row r="638">
      <c r="A638" s="187"/>
      <c r="B638" s="187"/>
      <c r="C638" s="187"/>
      <c r="D638" s="187"/>
      <c r="E638" s="187"/>
      <c r="F638" s="187"/>
      <c r="G638" s="187"/>
      <c r="H638" s="187"/>
      <c r="I638" s="187"/>
      <c r="J638" s="187"/>
      <c r="K638" s="187"/>
      <c r="L638" s="187"/>
      <c r="M638" s="192"/>
      <c r="N638" s="187"/>
      <c r="O638" s="187"/>
      <c r="P638" s="187"/>
      <c r="Q638" s="187"/>
      <c r="R638" s="187"/>
      <c r="S638" s="187"/>
      <c r="T638" s="187"/>
      <c r="U638" s="187"/>
      <c r="V638" s="187"/>
      <c r="W638" s="187"/>
      <c r="X638" s="187"/>
      <c r="Y638" s="187"/>
      <c r="Z638" s="187"/>
      <c r="AA638" s="187"/>
      <c r="AB638" s="187"/>
      <c r="AC638" s="187"/>
      <c r="AD638" s="187"/>
      <c r="AE638" s="187"/>
      <c r="AF638" s="187"/>
      <c r="AG638" s="187"/>
      <c r="AH638" s="187"/>
      <c r="AI638" s="187"/>
    </row>
    <row r="639">
      <c r="A639" s="187"/>
      <c r="B639" s="187"/>
      <c r="C639" s="187"/>
      <c r="D639" s="187"/>
      <c r="E639" s="187"/>
      <c r="F639" s="187"/>
      <c r="G639" s="187"/>
      <c r="H639" s="187"/>
      <c r="I639" s="187"/>
      <c r="J639" s="187"/>
      <c r="K639" s="187"/>
      <c r="L639" s="187"/>
      <c r="M639" s="192"/>
      <c r="N639" s="187"/>
      <c r="O639" s="187"/>
      <c r="P639" s="187"/>
      <c r="Q639" s="187"/>
      <c r="R639" s="187"/>
      <c r="S639" s="187"/>
      <c r="T639" s="187"/>
      <c r="U639" s="187"/>
      <c r="V639" s="187"/>
      <c r="W639" s="187"/>
      <c r="X639" s="187"/>
      <c r="Y639" s="187"/>
      <c r="Z639" s="187"/>
      <c r="AA639" s="187"/>
      <c r="AB639" s="187"/>
      <c r="AC639" s="187"/>
      <c r="AD639" s="187"/>
      <c r="AE639" s="187"/>
      <c r="AF639" s="187"/>
      <c r="AG639" s="187"/>
      <c r="AH639" s="187"/>
      <c r="AI639" s="187"/>
    </row>
    <row r="640">
      <c r="A640" s="187"/>
      <c r="B640" s="187"/>
      <c r="C640" s="187"/>
      <c r="D640" s="187"/>
      <c r="E640" s="187"/>
      <c r="F640" s="187"/>
      <c r="G640" s="187"/>
      <c r="H640" s="187"/>
      <c r="I640" s="187"/>
      <c r="J640" s="187"/>
      <c r="K640" s="187"/>
      <c r="L640" s="187"/>
      <c r="M640" s="192"/>
      <c r="N640" s="187"/>
      <c r="O640" s="187"/>
      <c r="P640" s="187"/>
      <c r="Q640" s="187"/>
      <c r="R640" s="187"/>
      <c r="S640" s="187"/>
      <c r="T640" s="187"/>
      <c r="U640" s="187"/>
      <c r="V640" s="187"/>
      <c r="W640" s="187"/>
      <c r="X640" s="187"/>
      <c r="Y640" s="187"/>
      <c r="Z640" s="187"/>
      <c r="AA640" s="187"/>
      <c r="AB640" s="187"/>
      <c r="AC640" s="187"/>
      <c r="AD640" s="187"/>
      <c r="AE640" s="187"/>
      <c r="AF640" s="187"/>
      <c r="AG640" s="187"/>
      <c r="AH640" s="187"/>
      <c r="AI640" s="187"/>
    </row>
    <row r="641">
      <c r="A641" s="187"/>
      <c r="B641" s="187"/>
      <c r="C641" s="187"/>
      <c r="D641" s="187"/>
      <c r="E641" s="187"/>
      <c r="F641" s="187"/>
      <c r="G641" s="187"/>
      <c r="H641" s="187"/>
      <c r="I641" s="187"/>
      <c r="J641" s="187"/>
      <c r="K641" s="187"/>
      <c r="L641" s="187"/>
      <c r="M641" s="192"/>
      <c r="N641" s="187"/>
      <c r="O641" s="187"/>
      <c r="P641" s="187"/>
      <c r="Q641" s="187"/>
      <c r="R641" s="187"/>
      <c r="S641" s="187"/>
      <c r="T641" s="187"/>
      <c r="U641" s="187"/>
      <c r="V641" s="187"/>
      <c r="W641" s="187"/>
      <c r="X641" s="187"/>
      <c r="Y641" s="187"/>
      <c r="Z641" s="187"/>
      <c r="AA641" s="187"/>
      <c r="AB641" s="187"/>
      <c r="AC641" s="187"/>
      <c r="AD641" s="187"/>
      <c r="AE641" s="187"/>
      <c r="AF641" s="187"/>
      <c r="AG641" s="187"/>
      <c r="AH641" s="187"/>
      <c r="AI641" s="187"/>
    </row>
    <row r="642">
      <c r="A642" s="187"/>
      <c r="B642" s="187"/>
      <c r="C642" s="187"/>
      <c r="D642" s="187"/>
      <c r="E642" s="187"/>
      <c r="F642" s="187"/>
      <c r="G642" s="187"/>
      <c r="H642" s="187"/>
      <c r="I642" s="187"/>
      <c r="J642" s="187"/>
      <c r="K642" s="187"/>
      <c r="L642" s="187"/>
      <c r="M642" s="192"/>
      <c r="N642" s="187"/>
      <c r="O642" s="187"/>
      <c r="P642" s="187"/>
      <c r="Q642" s="187"/>
      <c r="R642" s="187"/>
      <c r="S642" s="187"/>
      <c r="T642" s="187"/>
      <c r="U642" s="187"/>
      <c r="V642" s="187"/>
      <c r="W642" s="187"/>
      <c r="X642" s="187"/>
      <c r="Y642" s="187"/>
      <c r="Z642" s="187"/>
      <c r="AA642" s="187"/>
      <c r="AB642" s="187"/>
      <c r="AC642" s="187"/>
      <c r="AD642" s="187"/>
      <c r="AE642" s="187"/>
      <c r="AF642" s="187"/>
      <c r="AG642" s="187"/>
      <c r="AH642" s="187"/>
      <c r="AI642" s="187"/>
    </row>
    <row r="643">
      <c r="A643" s="187"/>
      <c r="B643" s="187"/>
      <c r="C643" s="187"/>
      <c r="D643" s="187"/>
      <c r="E643" s="187"/>
      <c r="F643" s="187"/>
      <c r="G643" s="187"/>
      <c r="H643" s="187"/>
      <c r="I643" s="187"/>
      <c r="J643" s="187"/>
      <c r="K643" s="187"/>
      <c r="L643" s="187"/>
      <c r="M643" s="192"/>
      <c r="N643" s="187"/>
      <c r="O643" s="187"/>
      <c r="P643" s="187"/>
      <c r="Q643" s="187"/>
      <c r="R643" s="187"/>
      <c r="S643" s="187"/>
      <c r="T643" s="187"/>
      <c r="U643" s="187"/>
      <c r="V643" s="187"/>
      <c r="W643" s="187"/>
      <c r="X643" s="187"/>
      <c r="Y643" s="187"/>
      <c r="Z643" s="187"/>
      <c r="AA643" s="187"/>
      <c r="AB643" s="187"/>
      <c r="AC643" s="187"/>
      <c r="AD643" s="187"/>
      <c r="AE643" s="187"/>
      <c r="AF643" s="187"/>
      <c r="AG643" s="187"/>
      <c r="AH643" s="187"/>
      <c r="AI643" s="187"/>
    </row>
    <row r="644">
      <c r="A644" s="187"/>
      <c r="B644" s="187"/>
      <c r="C644" s="187"/>
      <c r="D644" s="187"/>
      <c r="E644" s="187"/>
      <c r="F644" s="187"/>
      <c r="G644" s="187"/>
      <c r="H644" s="187"/>
      <c r="I644" s="187"/>
      <c r="J644" s="187"/>
      <c r="K644" s="187"/>
      <c r="L644" s="187"/>
      <c r="M644" s="192"/>
      <c r="N644" s="187"/>
      <c r="O644" s="187"/>
      <c r="P644" s="187"/>
      <c r="Q644" s="187"/>
      <c r="R644" s="187"/>
      <c r="S644" s="187"/>
      <c r="T644" s="187"/>
      <c r="U644" s="187"/>
      <c r="V644" s="187"/>
      <c r="W644" s="187"/>
      <c r="X644" s="187"/>
      <c r="Y644" s="187"/>
      <c r="Z644" s="187"/>
      <c r="AA644" s="187"/>
      <c r="AB644" s="187"/>
      <c r="AC644" s="187"/>
      <c r="AD644" s="187"/>
      <c r="AE644" s="187"/>
      <c r="AF644" s="187"/>
      <c r="AG644" s="187"/>
      <c r="AH644" s="187"/>
      <c r="AI644" s="187"/>
    </row>
    <row r="645">
      <c r="A645" s="187"/>
      <c r="B645" s="187"/>
      <c r="C645" s="187"/>
      <c r="D645" s="187"/>
      <c r="E645" s="187"/>
      <c r="F645" s="187"/>
      <c r="G645" s="187"/>
      <c r="H645" s="187"/>
      <c r="I645" s="187"/>
      <c r="J645" s="187"/>
      <c r="K645" s="187"/>
      <c r="L645" s="187"/>
      <c r="M645" s="192"/>
      <c r="N645" s="187"/>
      <c r="O645" s="187"/>
      <c r="P645" s="187"/>
      <c r="Q645" s="187"/>
      <c r="R645" s="187"/>
      <c r="S645" s="187"/>
      <c r="T645" s="187"/>
      <c r="U645" s="187"/>
      <c r="V645" s="187"/>
      <c r="W645" s="187"/>
      <c r="X645" s="187"/>
      <c r="Y645" s="187"/>
      <c r="Z645" s="187"/>
      <c r="AA645" s="187"/>
      <c r="AB645" s="187"/>
      <c r="AC645" s="187"/>
      <c r="AD645" s="187"/>
      <c r="AE645" s="187"/>
      <c r="AF645" s="187"/>
      <c r="AG645" s="187"/>
      <c r="AH645" s="187"/>
      <c r="AI645" s="187"/>
    </row>
    <row r="646">
      <c r="A646" s="187"/>
      <c r="B646" s="187"/>
      <c r="C646" s="187"/>
      <c r="D646" s="187"/>
      <c r="E646" s="187"/>
      <c r="F646" s="187"/>
      <c r="G646" s="187"/>
      <c r="H646" s="187"/>
      <c r="I646" s="187"/>
      <c r="J646" s="187"/>
      <c r="K646" s="187"/>
      <c r="L646" s="187"/>
      <c r="M646" s="192"/>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row>
    <row r="647">
      <c r="A647" s="187"/>
      <c r="B647" s="187"/>
      <c r="C647" s="187"/>
      <c r="D647" s="187"/>
      <c r="E647" s="187"/>
      <c r="F647" s="187"/>
      <c r="G647" s="187"/>
      <c r="H647" s="187"/>
      <c r="I647" s="187"/>
      <c r="J647" s="187"/>
      <c r="K647" s="187"/>
      <c r="L647" s="187"/>
      <c r="M647" s="192"/>
      <c r="N647" s="187"/>
      <c r="O647" s="187"/>
      <c r="P647" s="187"/>
      <c r="Q647" s="187"/>
      <c r="R647" s="187"/>
      <c r="S647" s="187"/>
      <c r="T647" s="187"/>
      <c r="U647" s="187"/>
      <c r="V647" s="187"/>
      <c r="W647" s="187"/>
      <c r="X647" s="187"/>
      <c r="Y647" s="187"/>
      <c r="Z647" s="187"/>
      <c r="AA647" s="187"/>
      <c r="AB647" s="187"/>
      <c r="AC647" s="187"/>
      <c r="AD647" s="187"/>
      <c r="AE647" s="187"/>
      <c r="AF647" s="187"/>
      <c r="AG647" s="187"/>
      <c r="AH647" s="187"/>
      <c r="AI647" s="187"/>
    </row>
    <row r="648">
      <c r="A648" s="187"/>
      <c r="B648" s="187"/>
      <c r="C648" s="187"/>
      <c r="D648" s="187"/>
      <c r="E648" s="187"/>
      <c r="F648" s="187"/>
      <c r="G648" s="187"/>
      <c r="H648" s="187"/>
      <c r="I648" s="187"/>
      <c r="J648" s="187"/>
      <c r="K648" s="187"/>
      <c r="L648" s="187"/>
      <c r="M648" s="192"/>
      <c r="N648" s="187"/>
      <c r="O648" s="187"/>
      <c r="P648" s="187"/>
      <c r="Q648" s="187"/>
      <c r="R648" s="187"/>
      <c r="S648" s="187"/>
      <c r="T648" s="187"/>
      <c r="U648" s="187"/>
      <c r="V648" s="187"/>
      <c r="W648" s="187"/>
      <c r="X648" s="187"/>
      <c r="Y648" s="187"/>
      <c r="Z648" s="187"/>
      <c r="AA648" s="187"/>
      <c r="AB648" s="187"/>
      <c r="AC648" s="187"/>
      <c r="AD648" s="187"/>
      <c r="AE648" s="187"/>
      <c r="AF648" s="187"/>
      <c r="AG648" s="187"/>
      <c r="AH648" s="187"/>
      <c r="AI648" s="187"/>
    </row>
    <row r="649">
      <c r="A649" s="187"/>
      <c r="B649" s="187"/>
      <c r="C649" s="187"/>
      <c r="D649" s="187"/>
      <c r="E649" s="187"/>
      <c r="F649" s="187"/>
      <c r="G649" s="187"/>
      <c r="H649" s="187"/>
      <c r="I649" s="187"/>
      <c r="J649" s="187"/>
      <c r="K649" s="187"/>
      <c r="L649" s="187"/>
      <c r="M649" s="192"/>
      <c r="N649" s="187"/>
      <c r="O649" s="187"/>
      <c r="P649" s="187"/>
      <c r="Q649" s="187"/>
      <c r="R649" s="187"/>
      <c r="S649" s="187"/>
      <c r="T649" s="187"/>
      <c r="U649" s="187"/>
      <c r="V649" s="187"/>
      <c r="W649" s="187"/>
      <c r="X649" s="187"/>
      <c r="Y649" s="187"/>
      <c r="Z649" s="187"/>
      <c r="AA649" s="187"/>
      <c r="AB649" s="187"/>
      <c r="AC649" s="187"/>
      <c r="AD649" s="187"/>
      <c r="AE649" s="187"/>
      <c r="AF649" s="187"/>
      <c r="AG649" s="187"/>
      <c r="AH649" s="187"/>
      <c r="AI649" s="187"/>
    </row>
    <row r="650">
      <c r="A650" s="187"/>
      <c r="B650" s="187"/>
      <c r="C650" s="187"/>
      <c r="D650" s="187"/>
      <c r="E650" s="187"/>
      <c r="F650" s="187"/>
      <c r="G650" s="187"/>
      <c r="H650" s="187"/>
      <c r="I650" s="187"/>
      <c r="J650" s="187"/>
      <c r="K650" s="187"/>
      <c r="L650" s="187"/>
      <c r="M650" s="192"/>
      <c r="N650" s="187"/>
      <c r="O650" s="187"/>
      <c r="P650" s="187"/>
      <c r="Q650" s="187"/>
      <c r="R650" s="187"/>
      <c r="S650" s="187"/>
      <c r="T650" s="187"/>
      <c r="U650" s="187"/>
      <c r="V650" s="187"/>
      <c r="W650" s="187"/>
      <c r="X650" s="187"/>
      <c r="Y650" s="187"/>
      <c r="Z650" s="187"/>
      <c r="AA650" s="187"/>
      <c r="AB650" s="187"/>
      <c r="AC650" s="187"/>
      <c r="AD650" s="187"/>
      <c r="AE650" s="187"/>
      <c r="AF650" s="187"/>
      <c r="AG650" s="187"/>
      <c r="AH650" s="187"/>
      <c r="AI650" s="187"/>
    </row>
    <row r="651">
      <c r="A651" s="187"/>
      <c r="B651" s="187"/>
      <c r="C651" s="187"/>
      <c r="D651" s="187"/>
      <c r="E651" s="187"/>
      <c r="F651" s="187"/>
      <c r="G651" s="187"/>
      <c r="H651" s="187"/>
      <c r="I651" s="187"/>
      <c r="J651" s="187"/>
      <c r="K651" s="187"/>
      <c r="L651" s="187"/>
      <c r="M651" s="192"/>
      <c r="N651" s="187"/>
      <c r="O651" s="187"/>
      <c r="P651" s="187"/>
      <c r="Q651" s="187"/>
      <c r="R651" s="187"/>
      <c r="S651" s="187"/>
      <c r="T651" s="187"/>
      <c r="U651" s="187"/>
      <c r="V651" s="187"/>
      <c r="W651" s="187"/>
      <c r="X651" s="187"/>
      <c r="Y651" s="187"/>
      <c r="Z651" s="187"/>
      <c r="AA651" s="187"/>
      <c r="AB651" s="187"/>
      <c r="AC651" s="187"/>
      <c r="AD651" s="187"/>
      <c r="AE651" s="187"/>
      <c r="AF651" s="187"/>
      <c r="AG651" s="187"/>
      <c r="AH651" s="187"/>
      <c r="AI651" s="187"/>
    </row>
    <row r="652">
      <c r="A652" s="187"/>
      <c r="B652" s="187"/>
      <c r="C652" s="187"/>
      <c r="D652" s="187"/>
      <c r="E652" s="187"/>
      <c r="F652" s="187"/>
      <c r="G652" s="187"/>
      <c r="H652" s="187"/>
      <c r="I652" s="187"/>
      <c r="J652" s="187"/>
      <c r="K652" s="187"/>
      <c r="L652" s="187"/>
      <c r="M652" s="192"/>
      <c r="N652" s="187"/>
      <c r="O652" s="187"/>
      <c r="P652" s="187"/>
      <c r="Q652" s="187"/>
      <c r="R652" s="187"/>
      <c r="S652" s="187"/>
      <c r="T652" s="187"/>
      <c r="U652" s="187"/>
      <c r="V652" s="187"/>
      <c r="W652" s="187"/>
      <c r="X652" s="187"/>
      <c r="Y652" s="187"/>
      <c r="Z652" s="187"/>
      <c r="AA652" s="187"/>
      <c r="AB652" s="187"/>
      <c r="AC652" s="187"/>
      <c r="AD652" s="187"/>
      <c r="AE652" s="187"/>
      <c r="AF652" s="187"/>
      <c r="AG652" s="187"/>
      <c r="AH652" s="187"/>
      <c r="AI652" s="187"/>
    </row>
    <row r="653">
      <c r="A653" s="187"/>
      <c r="B653" s="187"/>
      <c r="C653" s="187"/>
      <c r="D653" s="187"/>
      <c r="E653" s="187"/>
      <c r="F653" s="187"/>
      <c r="G653" s="187"/>
      <c r="H653" s="187"/>
      <c r="I653" s="187"/>
      <c r="J653" s="187"/>
      <c r="K653" s="187"/>
      <c r="L653" s="187"/>
      <c r="M653" s="192"/>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row>
    <row r="654">
      <c r="A654" s="187"/>
      <c r="B654" s="187"/>
      <c r="C654" s="187"/>
      <c r="D654" s="187"/>
      <c r="E654" s="187"/>
      <c r="F654" s="187"/>
      <c r="G654" s="187"/>
      <c r="H654" s="187"/>
      <c r="I654" s="187"/>
      <c r="J654" s="187"/>
      <c r="K654" s="187"/>
      <c r="L654" s="187"/>
      <c r="M654" s="192"/>
      <c r="N654" s="187"/>
      <c r="O654" s="187"/>
      <c r="P654" s="187"/>
      <c r="Q654" s="187"/>
      <c r="R654" s="187"/>
      <c r="S654" s="187"/>
      <c r="T654" s="187"/>
      <c r="U654" s="187"/>
      <c r="V654" s="187"/>
      <c r="W654" s="187"/>
      <c r="X654" s="187"/>
      <c r="Y654" s="187"/>
      <c r="Z654" s="187"/>
      <c r="AA654" s="187"/>
      <c r="AB654" s="187"/>
      <c r="AC654" s="187"/>
      <c r="AD654" s="187"/>
      <c r="AE654" s="187"/>
      <c r="AF654" s="187"/>
      <c r="AG654" s="187"/>
      <c r="AH654" s="187"/>
      <c r="AI654" s="187"/>
    </row>
    <row r="655">
      <c r="A655" s="187"/>
      <c r="B655" s="187"/>
      <c r="C655" s="187"/>
      <c r="D655" s="187"/>
      <c r="E655" s="187"/>
      <c r="F655" s="187"/>
      <c r="G655" s="187"/>
      <c r="H655" s="187"/>
      <c r="I655" s="187"/>
      <c r="J655" s="187"/>
      <c r="K655" s="187"/>
      <c r="L655" s="187"/>
      <c r="M655" s="192"/>
      <c r="N655" s="187"/>
      <c r="O655" s="187"/>
      <c r="P655" s="187"/>
      <c r="Q655" s="187"/>
      <c r="R655" s="187"/>
      <c r="S655" s="187"/>
      <c r="T655" s="187"/>
      <c r="U655" s="187"/>
      <c r="V655" s="187"/>
      <c r="W655" s="187"/>
      <c r="X655" s="187"/>
      <c r="Y655" s="187"/>
      <c r="Z655" s="187"/>
      <c r="AA655" s="187"/>
      <c r="AB655" s="187"/>
      <c r="AC655" s="187"/>
      <c r="AD655" s="187"/>
      <c r="AE655" s="187"/>
      <c r="AF655" s="187"/>
      <c r="AG655" s="187"/>
      <c r="AH655" s="187"/>
      <c r="AI655" s="187"/>
    </row>
    <row r="656">
      <c r="A656" s="187"/>
      <c r="B656" s="187"/>
      <c r="C656" s="187"/>
      <c r="D656" s="187"/>
      <c r="E656" s="187"/>
      <c r="F656" s="187"/>
      <c r="G656" s="187"/>
      <c r="H656" s="187"/>
      <c r="I656" s="187"/>
      <c r="J656" s="187"/>
      <c r="K656" s="187"/>
      <c r="L656" s="187"/>
      <c r="M656" s="192"/>
      <c r="N656" s="187"/>
      <c r="O656" s="187"/>
      <c r="P656" s="187"/>
      <c r="Q656" s="187"/>
      <c r="R656" s="187"/>
      <c r="S656" s="187"/>
      <c r="T656" s="187"/>
      <c r="U656" s="187"/>
      <c r="V656" s="187"/>
      <c r="W656" s="187"/>
      <c r="X656" s="187"/>
      <c r="Y656" s="187"/>
      <c r="Z656" s="187"/>
      <c r="AA656" s="187"/>
      <c r="AB656" s="187"/>
      <c r="AC656" s="187"/>
      <c r="AD656" s="187"/>
      <c r="AE656" s="187"/>
      <c r="AF656" s="187"/>
      <c r="AG656" s="187"/>
      <c r="AH656" s="187"/>
      <c r="AI656" s="187"/>
    </row>
    <row r="657">
      <c r="A657" s="187"/>
      <c r="B657" s="187"/>
      <c r="C657" s="187"/>
      <c r="D657" s="187"/>
      <c r="E657" s="187"/>
      <c r="F657" s="187"/>
      <c r="G657" s="187"/>
      <c r="H657" s="187"/>
      <c r="I657" s="187"/>
      <c r="J657" s="187"/>
      <c r="K657" s="187"/>
      <c r="L657" s="187"/>
      <c r="M657" s="192"/>
      <c r="N657" s="187"/>
      <c r="O657" s="187"/>
      <c r="P657" s="187"/>
      <c r="Q657" s="187"/>
      <c r="R657" s="187"/>
      <c r="S657" s="187"/>
      <c r="T657" s="187"/>
      <c r="U657" s="187"/>
      <c r="V657" s="187"/>
      <c r="W657" s="187"/>
      <c r="X657" s="187"/>
      <c r="Y657" s="187"/>
      <c r="Z657" s="187"/>
      <c r="AA657" s="187"/>
      <c r="AB657" s="187"/>
      <c r="AC657" s="187"/>
      <c r="AD657" s="187"/>
      <c r="AE657" s="187"/>
      <c r="AF657" s="187"/>
      <c r="AG657" s="187"/>
      <c r="AH657" s="187"/>
      <c r="AI657" s="187"/>
    </row>
    <row r="658">
      <c r="A658" s="187"/>
      <c r="B658" s="187"/>
      <c r="C658" s="187"/>
      <c r="D658" s="187"/>
      <c r="E658" s="187"/>
      <c r="F658" s="187"/>
      <c r="G658" s="187"/>
      <c r="H658" s="187"/>
      <c r="I658" s="187"/>
      <c r="J658" s="187"/>
      <c r="K658" s="187"/>
      <c r="L658" s="187"/>
      <c r="M658" s="192"/>
      <c r="N658" s="187"/>
      <c r="O658" s="187"/>
      <c r="P658" s="187"/>
      <c r="Q658" s="187"/>
      <c r="R658" s="187"/>
      <c r="S658" s="187"/>
      <c r="T658" s="187"/>
      <c r="U658" s="187"/>
      <c r="V658" s="187"/>
      <c r="W658" s="187"/>
      <c r="X658" s="187"/>
      <c r="Y658" s="187"/>
      <c r="Z658" s="187"/>
      <c r="AA658" s="187"/>
      <c r="AB658" s="187"/>
      <c r="AC658" s="187"/>
      <c r="AD658" s="187"/>
      <c r="AE658" s="187"/>
      <c r="AF658" s="187"/>
      <c r="AG658" s="187"/>
      <c r="AH658" s="187"/>
      <c r="AI658" s="187"/>
    </row>
    <row r="659">
      <c r="A659" s="187"/>
      <c r="B659" s="187"/>
      <c r="C659" s="187"/>
      <c r="D659" s="187"/>
      <c r="E659" s="187"/>
      <c r="F659" s="187"/>
      <c r="G659" s="187"/>
      <c r="H659" s="187"/>
      <c r="I659" s="187"/>
      <c r="J659" s="187"/>
      <c r="K659" s="187"/>
      <c r="L659" s="187"/>
      <c r="M659" s="192"/>
      <c r="N659" s="187"/>
      <c r="O659" s="187"/>
      <c r="P659" s="187"/>
      <c r="Q659" s="187"/>
      <c r="R659" s="187"/>
      <c r="S659" s="187"/>
      <c r="T659" s="187"/>
      <c r="U659" s="187"/>
      <c r="V659" s="187"/>
      <c r="W659" s="187"/>
      <c r="X659" s="187"/>
      <c r="Y659" s="187"/>
      <c r="Z659" s="187"/>
      <c r="AA659" s="187"/>
      <c r="AB659" s="187"/>
      <c r="AC659" s="187"/>
      <c r="AD659" s="187"/>
      <c r="AE659" s="187"/>
      <c r="AF659" s="187"/>
      <c r="AG659" s="187"/>
      <c r="AH659" s="187"/>
      <c r="AI659" s="187"/>
    </row>
    <row r="660">
      <c r="A660" s="187"/>
      <c r="B660" s="187"/>
      <c r="C660" s="187"/>
      <c r="D660" s="187"/>
      <c r="E660" s="187"/>
      <c r="F660" s="187"/>
      <c r="G660" s="187"/>
      <c r="H660" s="187"/>
      <c r="I660" s="187"/>
      <c r="J660" s="187"/>
      <c r="K660" s="187"/>
      <c r="L660" s="187"/>
      <c r="M660" s="192"/>
      <c r="N660" s="187"/>
      <c r="O660" s="187"/>
      <c r="P660" s="187"/>
      <c r="Q660" s="187"/>
      <c r="R660" s="187"/>
      <c r="S660" s="187"/>
      <c r="T660" s="187"/>
      <c r="U660" s="187"/>
      <c r="V660" s="187"/>
      <c r="W660" s="187"/>
      <c r="X660" s="187"/>
      <c r="Y660" s="187"/>
      <c r="Z660" s="187"/>
      <c r="AA660" s="187"/>
      <c r="AB660" s="187"/>
      <c r="AC660" s="187"/>
      <c r="AD660" s="187"/>
      <c r="AE660" s="187"/>
      <c r="AF660" s="187"/>
      <c r="AG660" s="187"/>
      <c r="AH660" s="187"/>
      <c r="AI660" s="187"/>
    </row>
    <row r="661">
      <c r="A661" s="187"/>
      <c r="B661" s="187"/>
      <c r="C661" s="187"/>
      <c r="D661" s="187"/>
      <c r="E661" s="187"/>
      <c r="F661" s="187"/>
      <c r="G661" s="187"/>
      <c r="H661" s="187"/>
      <c r="I661" s="187"/>
      <c r="J661" s="187"/>
      <c r="K661" s="187"/>
      <c r="L661" s="187"/>
      <c r="M661" s="192"/>
      <c r="N661" s="187"/>
      <c r="O661" s="187"/>
      <c r="P661" s="187"/>
      <c r="Q661" s="187"/>
      <c r="R661" s="187"/>
      <c r="S661" s="187"/>
      <c r="T661" s="187"/>
      <c r="U661" s="187"/>
      <c r="V661" s="187"/>
      <c r="W661" s="187"/>
      <c r="X661" s="187"/>
      <c r="Y661" s="187"/>
      <c r="Z661" s="187"/>
      <c r="AA661" s="187"/>
      <c r="AB661" s="187"/>
      <c r="AC661" s="187"/>
      <c r="AD661" s="187"/>
      <c r="AE661" s="187"/>
      <c r="AF661" s="187"/>
      <c r="AG661" s="187"/>
      <c r="AH661" s="187"/>
      <c r="AI661" s="187"/>
    </row>
    <row r="662">
      <c r="A662" s="187"/>
      <c r="B662" s="187"/>
      <c r="C662" s="187"/>
      <c r="D662" s="187"/>
      <c r="E662" s="187"/>
      <c r="F662" s="187"/>
      <c r="G662" s="187"/>
      <c r="H662" s="187"/>
      <c r="I662" s="187"/>
      <c r="J662" s="187"/>
      <c r="K662" s="187"/>
      <c r="L662" s="187"/>
      <c r="M662" s="192"/>
      <c r="N662" s="187"/>
      <c r="O662" s="187"/>
      <c r="P662" s="187"/>
      <c r="Q662" s="187"/>
      <c r="R662" s="187"/>
      <c r="S662" s="187"/>
      <c r="T662" s="187"/>
      <c r="U662" s="187"/>
      <c r="V662" s="187"/>
      <c r="W662" s="187"/>
      <c r="X662" s="187"/>
      <c r="Y662" s="187"/>
      <c r="Z662" s="187"/>
      <c r="AA662" s="187"/>
      <c r="AB662" s="187"/>
      <c r="AC662" s="187"/>
      <c r="AD662" s="187"/>
      <c r="AE662" s="187"/>
      <c r="AF662" s="187"/>
      <c r="AG662" s="187"/>
      <c r="AH662" s="187"/>
      <c r="AI662" s="187"/>
    </row>
    <row r="663">
      <c r="A663" s="187"/>
      <c r="B663" s="187"/>
      <c r="C663" s="187"/>
      <c r="D663" s="187"/>
      <c r="E663" s="187"/>
      <c r="F663" s="187"/>
      <c r="G663" s="187"/>
      <c r="H663" s="187"/>
      <c r="I663" s="187"/>
      <c r="J663" s="187"/>
      <c r="K663" s="187"/>
      <c r="L663" s="187"/>
      <c r="M663" s="192"/>
      <c r="N663" s="187"/>
      <c r="O663" s="187"/>
      <c r="P663" s="187"/>
      <c r="Q663" s="187"/>
      <c r="R663" s="187"/>
      <c r="S663" s="187"/>
      <c r="T663" s="187"/>
      <c r="U663" s="187"/>
      <c r="V663" s="187"/>
      <c r="W663" s="187"/>
      <c r="X663" s="187"/>
      <c r="Y663" s="187"/>
      <c r="Z663" s="187"/>
      <c r="AA663" s="187"/>
      <c r="AB663" s="187"/>
      <c r="AC663" s="187"/>
      <c r="AD663" s="187"/>
      <c r="AE663" s="187"/>
      <c r="AF663" s="187"/>
      <c r="AG663" s="187"/>
      <c r="AH663" s="187"/>
      <c r="AI663" s="187"/>
    </row>
    <row r="664">
      <c r="A664" s="187"/>
      <c r="B664" s="187"/>
      <c r="C664" s="187"/>
      <c r="D664" s="187"/>
      <c r="E664" s="187"/>
      <c r="F664" s="187"/>
      <c r="G664" s="187"/>
      <c r="H664" s="187"/>
      <c r="I664" s="187"/>
      <c r="J664" s="187"/>
      <c r="K664" s="187"/>
      <c r="L664" s="187"/>
      <c r="M664" s="192"/>
      <c r="N664" s="187"/>
      <c r="O664" s="187"/>
      <c r="P664" s="187"/>
      <c r="Q664" s="187"/>
      <c r="R664" s="187"/>
      <c r="S664" s="187"/>
      <c r="T664" s="187"/>
      <c r="U664" s="187"/>
      <c r="V664" s="187"/>
      <c r="W664" s="187"/>
      <c r="X664" s="187"/>
      <c r="Y664" s="187"/>
      <c r="Z664" s="187"/>
      <c r="AA664" s="187"/>
      <c r="AB664" s="187"/>
      <c r="AC664" s="187"/>
      <c r="AD664" s="187"/>
      <c r="AE664" s="187"/>
      <c r="AF664" s="187"/>
      <c r="AG664" s="187"/>
      <c r="AH664" s="187"/>
      <c r="AI664" s="187"/>
    </row>
    <row r="665">
      <c r="A665" s="187"/>
      <c r="B665" s="187"/>
      <c r="C665" s="187"/>
      <c r="D665" s="187"/>
      <c r="E665" s="187"/>
      <c r="F665" s="187"/>
      <c r="G665" s="187"/>
      <c r="H665" s="187"/>
      <c r="I665" s="187"/>
      <c r="J665" s="187"/>
      <c r="K665" s="187"/>
      <c r="L665" s="187"/>
      <c r="M665" s="192"/>
      <c r="N665" s="187"/>
      <c r="O665" s="187"/>
      <c r="P665" s="187"/>
      <c r="Q665" s="187"/>
      <c r="R665" s="187"/>
      <c r="S665" s="187"/>
      <c r="T665" s="187"/>
      <c r="U665" s="187"/>
      <c r="V665" s="187"/>
      <c r="W665" s="187"/>
      <c r="X665" s="187"/>
      <c r="Y665" s="187"/>
      <c r="Z665" s="187"/>
      <c r="AA665" s="187"/>
      <c r="AB665" s="187"/>
      <c r="AC665" s="187"/>
      <c r="AD665" s="187"/>
      <c r="AE665" s="187"/>
      <c r="AF665" s="187"/>
      <c r="AG665" s="187"/>
      <c r="AH665" s="187"/>
      <c r="AI665" s="187"/>
    </row>
    <row r="666">
      <c r="A666" s="187"/>
      <c r="B666" s="187"/>
      <c r="C666" s="187"/>
      <c r="D666" s="187"/>
      <c r="E666" s="187"/>
      <c r="F666" s="187"/>
      <c r="G666" s="187"/>
      <c r="H666" s="187"/>
      <c r="I666" s="187"/>
      <c r="J666" s="187"/>
      <c r="K666" s="187"/>
      <c r="L666" s="187"/>
      <c r="M666" s="192"/>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row>
    <row r="667">
      <c r="A667" s="187"/>
      <c r="B667" s="187"/>
      <c r="C667" s="187"/>
      <c r="D667" s="187"/>
      <c r="E667" s="187"/>
      <c r="F667" s="187"/>
      <c r="G667" s="187"/>
      <c r="H667" s="187"/>
      <c r="I667" s="187"/>
      <c r="J667" s="187"/>
      <c r="K667" s="187"/>
      <c r="L667" s="187"/>
      <c r="M667" s="192"/>
      <c r="N667" s="187"/>
      <c r="O667" s="187"/>
      <c r="P667" s="187"/>
      <c r="Q667" s="187"/>
      <c r="R667" s="187"/>
      <c r="S667" s="187"/>
      <c r="T667" s="187"/>
      <c r="U667" s="187"/>
      <c r="V667" s="187"/>
      <c r="W667" s="187"/>
      <c r="X667" s="187"/>
      <c r="Y667" s="187"/>
      <c r="Z667" s="187"/>
      <c r="AA667" s="187"/>
      <c r="AB667" s="187"/>
      <c r="AC667" s="187"/>
      <c r="AD667" s="187"/>
      <c r="AE667" s="187"/>
      <c r="AF667" s="187"/>
      <c r="AG667" s="187"/>
      <c r="AH667" s="187"/>
      <c r="AI667" s="187"/>
    </row>
    <row r="668">
      <c r="A668" s="187"/>
      <c r="B668" s="187"/>
      <c r="C668" s="187"/>
      <c r="D668" s="187"/>
      <c r="E668" s="187"/>
      <c r="F668" s="187"/>
      <c r="G668" s="187"/>
      <c r="H668" s="187"/>
      <c r="I668" s="187"/>
      <c r="J668" s="187"/>
      <c r="K668" s="187"/>
      <c r="L668" s="187"/>
      <c r="M668" s="192"/>
      <c r="N668" s="187"/>
      <c r="O668" s="187"/>
      <c r="P668" s="187"/>
      <c r="Q668" s="187"/>
      <c r="R668" s="187"/>
      <c r="S668" s="187"/>
      <c r="T668" s="187"/>
      <c r="U668" s="187"/>
      <c r="V668" s="187"/>
      <c r="W668" s="187"/>
      <c r="X668" s="187"/>
      <c r="Y668" s="187"/>
      <c r="Z668" s="187"/>
      <c r="AA668" s="187"/>
      <c r="AB668" s="187"/>
      <c r="AC668" s="187"/>
      <c r="AD668" s="187"/>
      <c r="AE668" s="187"/>
      <c r="AF668" s="187"/>
      <c r="AG668" s="187"/>
      <c r="AH668" s="187"/>
      <c r="AI668" s="187"/>
    </row>
    <row r="669">
      <c r="A669" s="187"/>
      <c r="B669" s="187"/>
      <c r="C669" s="187"/>
      <c r="D669" s="187"/>
      <c r="E669" s="187"/>
      <c r="F669" s="187"/>
      <c r="G669" s="187"/>
      <c r="H669" s="187"/>
      <c r="I669" s="187"/>
      <c r="J669" s="187"/>
      <c r="K669" s="187"/>
      <c r="L669" s="187"/>
      <c r="M669" s="192"/>
      <c r="N669" s="187"/>
      <c r="O669" s="187"/>
      <c r="P669" s="187"/>
      <c r="Q669" s="187"/>
      <c r="R669" s="187"/>
      <c r="S669" s="187"/>
      <c r="T669" s="187"/>
      <c r="U669" s="187"/>
      <c r="V669" s="187"/>
      <c r="W669" s="187"/>
      <c r="X669" s="187"/>
      <c r="Y669" s="187"/>
      <c r="Z669" s="187"/>
      <c r="AA669" s="187"/>
      <c r="AB669" s="187"/>
      <c r="AC669" s="187"/>
      <c r="AD669" s="187"/>
      <c r="AE669" s="187"/>
      <c r="AF669" s="187"/>
      <c r="AG669" s="187"/>
      <c r="AH669" s="187"/>
      <c r="AI669" s="187"/>
    </row>
    <row r="670">
      <c r="A670" s="187"/>
      <c r="B670" s="187"/>
      <c r="C670" s="187"/>
      <c r="D670" s="187"/>
      <c r="E670" s="187"/>
      <c r="F670" s="187"/>
      <c r="G670" s="187"/>
      <c r="H670" s="187"/>
      <c r="I670" s="187"/>
      <c r="J670" s="187"/>
      <c r="K670" s="187"/>
      <c r="L670" s="187"/>
      <c r="M670" s="192"/>
      <c r="N670" s="187"/>
      <c r="O670" s="187"/>
      <c r="P670" s="187"/>
      <c r="Q670" s="187"/>
      <c r="R670" s="187"/>
      <c r="S670" s="187"/>
      <c r="T670" s="187"/>
      <c r="U670" s="187"/>
      <c r="V670" s="187"/>
      <c r="W670" s="187"/>
      <c r="X670" s="187"/>
      <c r="Y670" s="187"/>
      <c r="Z670" s="187"/>
      <c r="AA670" s="187"/>
      <c r="AB670" s="187"/>
      <c r="AC670" s="187"/>
      <c r="AD670" s="187"/>
      <c r="AE670" s="187"/>
      <c r="AF670" s="187"/>
      <c r="AG670" s="187"/>
      <c r="AH670" s="187"/>
      <c r="AI670" s="187"/>
    </row>
    <row r="671">
      <c r="A671" s="187"/>
      <c r="B671" s="187"/>
      <c r="C671" s="187"/>
      <c r="D671" s="187"/>
      <c r="E671" s="187"/>
      <c r="F671" s="187"/>
      <c r="G671" s="187"/>
      <c r="H671" s="187"/>
      <c r="I671" s="187"/>
      <c r="J671" s="187"/>
      <c r="K671" s="187"/>
      <c r="L671" s="187"/>
      <c r="M671" s="192"/>
      <c r="N671" s="187"/>
      <c r="O671" s="187"/>
      <c r="P671" s="187"/>
      <c r="Q671" s="187"/>
      <c r="R671" s="187"/>
      <c r="S671" s="187"/>
      <c r="T671" s="187"/>
      <c r="U671" s="187"/>
      <c r="V671" s="187"/>
      <c r="W671" s="187"/>
      <c r="X671" s="187"/>
      <c r="Y671" s="187"/>
      <c r="Z671" s="187"/>
      <c r="AA671" s="187"/>
      <c r="AB671" s="187"/>
      <c r="AC671" s="187"/>
      <c r="AD671" s="187"/>
      <c r="AE671" s="187"/>
      <c r="AF671" s="187"/>
      <c r="AG671" s="187"/>
      <c r="AH671" s="187"/>
      <c r="AI671" s="187"/>
    </row>
    <row r="672">
      <c r="A672" s="187"/>
      <c r="B672" s="187"/>
      <c r="C672" s="187"/>
      <c r="D672" s="187"/>
      <c r="E672" s="187"/>
      <c r="F672" s="187"/>
      <c r="G672" s="187"/>
      <c r="H672" s="187"/>
      <c r="I672" s="187"/>
      <c r="J672" s="187"/>
      <c r="K672" s="187"/>
      <c r="L672" s="187"/>
      <c r="M672" s="192"/>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row>
    <row r="673">
      <c r="A673" s="187"/>
      <c r="B673" s="187"/>
      <c r="C673" s="187"/>
      <c r="D673" s="187"/>
      <c r="E673" s="187"/>
      <c r="F673" s="187"/>
      <c r="G673" s="187"/>
      <c r="H673" s="187"/>
      <c r="I673" s="187"/>
      <c r="J673" s="187"/>
      <c r="K673" s="187"/>
      <c r="L673" s="187"/>
      <c r="M673" s="192"/>
      <c r="N673" s="187"/>
      <c r="O673" s="187"/>
      <c r="P673" s="187"/>
      <c r="Q673" s="187"/>
      <c r="R673" s="187"/>
      <c r="S673" s="187"/>
      <c r="T673" s="187"/>
      <c r="U673" s="187"/>
      <c r="V673" s="187"/>
      <c r="W673" s="187"/>
      <c r="X673" s="187"/>
      <c r="Y673" s="187"/>
      <c r="Z673" s="187"/>
      <c r="AA673" s="187"/>
      <c r="AB673" s="187"/>
      <c r="AC673" s="187"/>
      <c r="AD673" s="187"/>
      <c r="AE673" s="187"/>
      <c r="AF673" s="187"/>
      <c r="AG673" s="187"/>
      <c r="AH673" s="187"/>
      <c r="AI673" s="187"/>
    </row>
    <row r="674">
      <c r="A674" s="187"/>
      <c r="B674" s="187"/>
      <c r="C674" s="187"/>
      <c r="D674" s="187"/>
      <c r="E674" s="187"/>
      <c r="F674" s="187"/>
      <c r="G674" s="187"/>
      <c r="H674" s="187"/>
      <c r="I674" s="187"/>
      <c r="J674" s="187"/>
      <c r="K674" s="187"/>
      <c r="L674" s="187"/>
      <c r="M674" s="192"/>
      <c r="N674" s="187"/>
      <c r="O674" s="187"/>
      <c r="P674" s="187"/>
      <c r="Q674" s="187"/>
      <c r="R674" s="187"/>
      <c r="S674" s="187"/>
      <c r="T674" s="187"/>
      <c r="U674" s="187"/>
      <c r="V674" s="187"/>
      <c r="W674" s="187"/>
      <c r="X674" s="187"/>
      <c r="Y674" s="187"/>
      <c r="Z674" s="187"/>
      <c r="AA674" s="187"/>
      <c r="AB674" s="187"/>
      <c r="AC674" s="187"/>
      <c r="AD674" s="187"/>
      <c r="AE674" s="187"/>
      <c r="AF674" s="187"/>
      <c r="AG674" s="187"/>
      <c r="AH674" s="187"/>
      <c r="AI674" s="187"/>
    </row>
    <row r="675">
      <c r="A675" s="187"/>
      <c r="B675" s="187"/>
      <c r="C675" s="187"/>
      <c r="D675" s="187"/>
      <c r="E675" s="187"/>
      <c r="F675" s="187"/>
      <c r="G675" s="187"/>
      <c r="H675" s="187"/>
      <c r="I675" s="187"/>
      <c r="J675" s="187"/>
      <c r="K675" s="187"/>
      <c r="L675" s="187"/>
      <c r="M675" s="192"/>
      <c r="N675" s="187"/>
      <c r="O675" s="187"/>
      <c r="P675" s="187"/>
      <c r="Q675" s="187"/>
      <c r="R675" s="187"/>
      <c r="S675" s="187"/>
      <c r="T675" s="187"/>
      <c r="U675" s="187"/>
      <c r="V675" s="187"/>
      <c r="W675" s="187"/>
      <c r="X675" s="187"/>
      <c r="Y675" s="187"/>
      <c r="Z675" s="187"/>
      <c r="AA675" s="187"/>
      <c r="AB675" s="187"/>
      <c r="AC675" s="187"/>
      <c r="AD675" s="187"/>
      <c r="AE675" s="187"/>
      <c r="AF675" s="187"/>
      <c r="AG675" s="187"/>
      <c r="AH675" s="187"/>
      <c r="AI675" s="187"/>
    </row>
    <row r="676">
      <c r="A676" s="187"/>
      <c r="B676" s="187"/>
      <c r="C676" s="187"/>
      <c r="D676" s="187"/>
      <c r="E676" s="187"/>
      <c r="F676" s="187"/>
      <c r="G676" s="187"/>
      <c r="H676" s="187"/>
      <c r="I676" s="187"/>
      <c r="J676" s="187"/>
      <c r="K676" s="187"/>
      <c r="L676" s="187"/>
      <c r="M676" s="192"/>
      <c r="N676" s="187"/>
      <c r="O676" s="187"/>
      <c r="P676" s="187"/>
      <c r="Q676" s="187"/>
      <c r="R676" s="187"/>
      <c r="S676" s="187"/>
      <c r="T676" s="187"/>
      <c r="U676" s="187"/>
      <c r="V676" s="187"/>
      <c r="W676" s="187"/>
      <c r="X676" s="187"/>
      <c r="Y676" s="187"/>
      <c r="Z676" s="187"/>
      <c r="AA676" s="187"/>
      <c r="AB676" s="187"/>
      <c r="AC676" s="187"/>
      <c r="AD676" s="187"/>
      <c r="AE676" s="187"/>
      <c r="AF676" s="187"/>
      <c r="AG676" s="187"/>
      <c r="AH676" s="187"/>
      <c r="AI676" s="187"/>
    </row>
    <row r="677">
      <c r="A677" s="187"/>
      <c r="B677" s="187"/>
      <c r="C677" s="187"/>
      <c r="D677" s="187"/>
      <c r="E677" s="187"/>
      <c r="F677" s="187"/>
      <c r="G677" s="187"/>
      <c r="H677" s="187"/>
      <c r="I677" s="187"/>
      <c r="J677" s="187"/>
      <c r="K677" s="187"/>
      <c r="L677" s="187"/>
      <c r="M677" s="192"/>
      <c r="N677" s="187"/>
      <c r="O677" s="187"/>
      <c r="P677" s="187"/>
      <c r="Q677" s="187"/>
      <c r="R677" s="187"/>
      <c r="S677" s="187"/>
      <c r="T677" s="187"/>
      <c r="U677" s="187"/>
      <c r="V677" s="187"/>
      <c r="W677" s="187"/>
      <c r="X677" s="187"/>
      <c r="Y677" s="187"/>
      <c r="Z677" s="187"/>
      <c r="AA677" s="187"/>
      <c r="AB677" s="187"/>
      <c r="AC677" s="187"/>
      <c r="AD677" s="187"/>
      <c r="AE677" s="187"/>
      <c r="AF677" s="187"/>
      <c r="AG677" s="187"/>
      <c r="AH677" s="187"/>
      <c r="AI677" s="187"/>
    </row>
    <row r="678">
      <c r="A678" s="187"/>
      <c r="B678" s="187"/>
      <c r="C678" s="187"/>
      <c r="D678" s="187"/>
      <c r="E678" s="187"/>
      <c r="F678" s="187"/>
      <c r="G678" s="187"/>
      <c r="H678" s="187"/>
      <c r="I678" s="187"/>
      <c r="J678" s="187"/>
      <c r="K678" s="187"/>
      <c r="L678" s="187"/>
      <c r="M678" s="192"/>
      <c r="N678" s="187"/>
      <c r="O678" s="187"/>
      <c r="P678" s="187"/>
      <c r="Q678" s="187"/>
      <c r="R678" s="187"/>
      <c r="S678" s="187"/>
      <c r="T678" s="187"/>
      <c r="U678" s="187"/>
      <c r="V678" s="187"/>
      <c r="W678" s="187"/>
      <c r="X678" s="187"/>
      <c r="Y678" s="187"/>
      <c r="Z678" s="187"/>
      <c r="AA678" s="187"/>
      <c r="AB678" s="187"/>
      <c r="AC678" s="187"/>
      <c r="AD678" s="187"/>
      <c r="AE678" s="187"/>
      <c r="AF678" s="187"/>
      <c r="AG678" s="187"/>
      <c r="AH678" s="187"/>
      <c r="AI678" s="187"/>
    </row>
    <row r="679">
      <c r="A679" s="187"/>
      <c r="B679" s="187"/>
      <c r="C679" s="187"/>
      <c r="D679" s="187"/>
      <c r="E679" s="187"/>
      <c r="F679" s="187"/>
      <c r="G679" s="187"/>
      <c r="H679" s="187"/>
      <c r="I679" s="187"/>
      <c r="J679" s="187"/>
      <c r="K679" s="187"/>
      <c r="L679" s="187"/>
      <c r="M679" s="192"/>
      <c r="N679" s="187"/>
      <c r="O679" s="187"/>
      <c r="P679" s="187"/>
      <c r="Q679" s="187"/>
      <c r="R679" s="187"/>
      <c r="S679" s="187"/>
      <c r="T679" s="187"/>
      <c r="U679" s="187"/>
      <c r="V679" s="187"/>
      <c r="W679" s="187"/>
      <c r="X679" s="187"/>
      <c r="Y679" s="187"/>
      <c r="Z679" s="187"/>
      <c r="AA679" s="187"/>
      <c r="AB679" s="187"/>
      <c r="AC679" s="187"/>
      <c r="AD679" s="187"/>
      <c r="AE679" s="187"/>
      <c r="AF679" s="187"/>
      <c r="AG679" s="187"/>
      <c r="AH679" s="187"/>
      <c r="AI679" s="187"/>
    </row>
    <row r="680">
      <c r="A680" s="187"/>
      <c r="B680" s="187"/>
      <c r="C680" s="187"/>
      <c r="D680" s="187"/>
      <c r="E680" s="187"/>
      <c r="F680" s="187"/>
      <c r="G680" s="187"/>
      <c r="H680" s="187"/>
      <c r="I680" s="187"/>
      <c r="J680" s="187"/>
      <c r="K680" s="187"/>
      <c r="L680" s="187"/>
      <c r="M680" s="192"/>
      <c r="N680" s="187"/>
      <c r="O680" s="187"/>
      <c r="P680" s="187"/>
      <c r="Q680" s="187"/>
      <c r="R680" s="187"/>
      <c r="S680" s="187"/>
      <c r="T680" s="187"/>
      <c r="U680" s="187"/>
      <c r="V680" s="187"/>
      <c r="W680" s="187"/>
      <c r="X680" s="187"/>
      <c r="Y680" s="187"/>
      <c r="Z680" s="187"/>
      <c r="AA680" s="187"/>
      <c r="AB680" s="187"/>
      <c r="AC680" s="187"/>
      <c r="AD680" s="187"/>
      <c r="AE680" s="187"/>
      <c r="AF680" s="187"/>
      <c r="AG680" s="187"/>
      <c r="AH680" s="187"/>
      <c r="AI680" s="187"/>
    </row>
    <row r="681">
      <c r="A681" s="187"/>
      <c r="B681" s="187"/>
      <c r="C681" s="187"/>
      <c r="D681" s="187"/>
      <c r="E681" s="187"/>
      <c r="F681" s="187"/>
      <c r="G681" s="187"/>
      <c r="H681" s="187"/>
      <c r="I681" s="187"/>
      <c r="J681" s="187"/>
      <c r="K681" s="187"/>
      <c r="L681" s="187"/>
      <c r="M681" s="192"/>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row>
    <row r="682">
      <c r="A682" s="187"/>
      <c r="B682" s="187"/>
      <c r="C682" s="187"/>
      <c r="D682" s="187"/>
      <c r="E682" s="187"/>
      <c r="F682" s="187"/>
      <c r="G682" s="187"/>
      <c r="H682" s="187"/>
      <c r="I682" s="187"/>
      <c r="J682" s="187"/>
      <c r="K682" s="187"/>
      <c r="L682" s="187"/>
      <c r="M682" s="192"/>
      <c r="N682" s="187"/>
      <c r="O682" s="187"/>
      <c r="P682" s="187"/>
      <c r="Q682" s="187"/>
      <c r="R682" s="187"/>
      <c r="S682" s="187"/>
      <c r="T682" s="187"/>
      <c r="U682" s="187"/>
      <c r="V682" s="187"/>
      <c r="W682" s="187"/>
      <c r="X682" s="187"/>
      <c r="Y682" s="187"/>
      <c r="Z682" s="187"/>
      <c r="AA682" s="187"/>
      <c r="AB682" s="187"/>
      <c r="AC682" s="187"/>
      <c r="AD682" s="187"/>
      <c r="AE682" s="187"/>
      <c r="AF682" s="187"/>
      <c r="AG682" s="187"/>
      <c r="AH682" s="187"/>
      <c r="AI682" s="187"/>
    </row>
    <row r="683">
      <c r="A683" s="187"/>
      <c r="B683" s="187"/>
      <c r="C683" s="187"/>
      <c r="D683" s="187"/>
      <c r="E683" s="187"/>
      <c r="F683" s="187"/>
      <c r="G683" s="187"/>
      <c r="H683" s="187"/>
      <c r="I683" s="187"/>
      <c r="J683" s="187"/>
      <c r="K683" s="187"/>
      <c r="L683" s="187"/>
      <c r="M683" s="192"/>
      <c r="N683" s="187"/>
      <c r="O683" s="187"/>
      <c r="P683" s="187"/>
      <c r="Q683" s="187"/>
      <c r="R683" s="187"/>
      <c r="S683" s="187"/>
      <c r="T683" s="187"/>
      <c r="U683" s="187"/>
      <c r="V683" s="187"/>
      <c r="W683" s="187"/>
      <c r="X683" s="187"/>
      <c r="Y683" s="187"/>
      <c r="Z683" s="187"/>
      <c r="AA683" s="187"/>
      <c r="AB683" s="187"/>
      <c r="AC683" s="187"/>
      <c r="AD683" s="187"/>
      <c r="AE683" s="187"/>
      <c r="AF683" s="187"/>
      <c r="AG683" s="187"/>
      <c r="AH683" s="187"/>
      <c r="AI683" s="187"/>
    </row>
    <row r="684">
      <c r="A684" s="187"/>
      <c r="B684" s="187"/>
      <c r="C684" s="187"/>
      <c r="D684" s="187"/>
      <c r="E684" s="187"/>
      <c r="F684" s="187"/>
      <c r="G684" s="187"/>
      <c r="H684" s="187"/>
      <c r="I684" s="187"/>
      <c r="J684" s="187"/>
      <c r="K684" s="187"/>
      <c r="L684" s="187"/>
      <c r="M684" s="192"/>
      <c r="N684" s="187"/>
      <c r="O684" s="187"/>
      <c r="P684" s="187"/>
      <c r="Q684" s="187"/>
      <c r="R684" s="187"/>
      <c r="S684" s="187"/>
      <c r="T684" s="187"/>
      <c r="U684" s="187"/>
      <c r="V684" s="187"/>
      <c r="W684" s="187"/>
      <c r="X684" s="187"/>
      <c r="Y684" s="187"/>
      <c r="Z684" s="187"/>
      <c r="AA684" s="187"/>
      <c r="AB684" s="187"/>
      <c r="AC684" s="187"/>
      <c r="AD684" s="187"/>
      <c r="AE684" s="187"/>
      <c r="AF684" s="187"/>
      <c r="AG684" s="187"/>
      <c r="AH684" s="187"/>
      <c r="AI684" s="187"/>
    </row>
    <row r="685">
      <c r="A685" s="187"/>
      <c r="B685" s="187"/>
      <c r="C685" s="187"/>
      <c r="D685" s="187"/>
      <c r="E685" s="187"/>
      <c r="F685" s="187"/>
      <c r="G685" s="187"/>
      <c r="H685" s="187"/>
      <c r="I685" s="187"/>
      <c r="J685" s="187"/>
      <c r="K685" s="187"/>
      <c r="L685" s="187"/>
      <c r="M685" s="192"/>
      <c r="N685" s="187"/>
      <c r="O685" s="187"/>
      <c r="P685" s="187"/>
      <c r="Q685" s="187"/>
      <c r="R685" s="187"/>
      <c r="S685" s="187"/>
      <c r="T685" s="187"/>
      <c r="U685" s="187"/>
      <c r="V685" s="187"/>
      <c r="W685" s="187"/>
      <c r="X685" s="187"/>
      <c r="Y685" s="187"/>
      <c r="Z685" s="187"/>
      <c r="AA685" s="187"/>
      <c r="AB685" s="187"/>
      <c r="AC685" s="187"/>
      <c r="AD685" s="187"/>
      <c r="AE685" s="187"/>
      <c r="AF685" s="187"/>
      <c r="AG685" s="187"/>
      <c r="AH685" s="187"/>
      <c r="AI685" s="187"/>
    </row>
    <row r="686">
      <c r="A686" s="187"/>
      <c r="B686" s="187"/>
      <c r="C686" s="187"/>
      <c r="D686" s="187"/>
      <c r="E686" s="187"/>
      <c r="F686" s="187"/>
      <c r="G686" s="187"/>
      <c r="H686" s="187"/>
      <c r="I686" s="187"/>
      <c r="J686" s="187"/>
      <c r="K686" s="187"/>
      <c r="L686" s="187"/>
      <c r="M686" s="192"/>
      <c r="N686" s="187"/>
      <c r="O686" s="187"/>
      <c r="P686" s="187"/>
      <c r="Q686" s="187"/>
      <c r="R686" s="187"/>
      <c r="S686" s="187"/>
      <c r="T686" s="187"/>
      <c r="U686" s="187"/>
      <c r="V686" s="187"/>
      <c r="W686" s="187"/>
      <c r="X686" s="187"/>
      <c r="Y686" s="187"/>
      <c r="Z686" s="187"/>
      <c r="AA686" s="187"/>
      <c r="AB686" s="187"/>
      <c r="AC686" s="187"/>
      <c r="AD686" s="187"/>
      <c r="AE686" s="187"/>
      <c r="AF686" s="187"/>
      <c r="AG686" s="187"/>
      <c r="AH686" s="187"/>
      <c r="AI686" s="187"/>
    </row>
    <row r="687">
      <c r="A687" s="187"/>
      <c r="B687" s="187"/>
      <c r="C687" s="187"/>
      <c r="D687" s="187"/>
      <c r="E687" s="187"/>
      <c r="F687" s="187"/>
      <c r="G687" s="187"/>
      <c r="H687" s="187"/>
      <c r="I687" s="187"/>
      <c r="J687" s="187"/>
      <c r="K687" s="187"/>
      <c r="L687" s="187"/>
      <c r="M687" s="192"/>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row>
    <row r="688">
      <c r="A688" s="187"/>
      <c r="B688" s="187"/>
      <c r="C688" s="187"/>
      <c r="D688" s="187"/>
      <c r="E688" s="187"/>
      <c r="F688" s="187"/>
      <c r="G688" s="187"/>
      <c r="H688" s="187"/>
      <c r="I688" s="187"/>
      <c r="J688" s="187"/>
      <c r="K688" s="187"/>
      <c r="L688" s="187"/>
      <c r="M688" s="192"/>
      <c r="N688" s="187"/>
      <c r="O688" s="187"/>
      <c r="P688" s="187"/>
      <c r="Q688" s="187"/>
      <c r="R688" s="187"/>
      <c r="S688" s="187"/>
      <c r="T688" s="187"/>
      <c r="U688" s="187"/>
      <c r="V688" s="187"/>
      <c r="W688" s="187"/>
      <c r="X688" s="187"/>
      <c r="Y688" s="187"/>
      <c r="Z688" s="187"/>
      <c r="AA688" s="187"/>
      <c r="AB688" s="187"/>
      <c r="AC688" s="187"/>
      <c r="AD688" s="187"/>
      <c r="AE688" s="187"/>
      <c r="AF688" s="187"/>
      <c r="AG688" s="187"/>
      <c r="AH688" s="187"/>
      <c r="AI688" s="187"/>
    </row>
    <row r="689">
      <c r="A689" s="187"/>
      <c r="B689" s="187"/>
      <c r="C689" s="187"/>
      <c r="D689" s="187"/>
      <c r="E689" s="187"/>
      <c r="F689" s="187"/>
      <c r="G689" s="187"/>
      <c r="H689" s="187"/>
      <c r="I689" s="187"/>
      <c r="J689" s="187"/>
      <c r="K689" s="187"/>
      <c r="L689" s="187"/>
      <c r="M689" s="192"/>
      <c r="N689" s="187"/>
      <c r="O689" s="187"/>
      <c r="P689" s="187"/>
      <c r="Q689" s="187"/>
      <c r="R689" s="187"/>
      <c r="S689" s="187"/>
      <c r="T689" s="187"/>
      <c r="U689" s="187"/>
      <c r="V689" s="187"/>
      <c r="W689" s="187"/>
      <c r="X689" s="187"/>
      <c r="Y689" s="187"/>
      <c r="Z689" s="187"/>
      <c r="AA689" s="187"/>
      <c r="AB689" s="187"/>
      <c r="AC689" s="187"/>
      <c r="AD689" s="187"/>
      <c r="AE689" s="187"/>
      <c r="AF689" s="187"/>
      <c r="AG689" s="187"/>
      <c r="AH689" s="187"/>
      <c r="AI689" s="187"/>
    </row>
    <row r="690">
      <c r="A690" s="187"/>
      <c r="B690" s="187"/>
      <c r="C690" s="187"/>
      <c r="D690" s="187"/>
      <c r="E690" s="187"/>
      <c r="F690" s="187"/>
      <c r="G690" s="187"/>
      <c r="H690" s="187"/>
      <c r="I690" s="187"/>
      <c r="J690" s="187"/>
      <c r="K690" s="187"/>
      <c r="L690" s="187"/>
      <c r="M690" s="192"/>
      <c r="N690" s="187"/>
      <c r="O690" s="187"/>
      <c r="P690" s="187"/>
      <c r="Q690" s="187"/>
      <c r="R690" s="187"/>
      <c r="S690" s="187"/>
      <c r="T690" s="187"/>
      <c r="U690" s="187"/>
      <c r="V690" s="187"/>
      <c r="W690" s="187"/>
      <c r="X690" s="187"/>
      <c r="Y690" s="187"/>
      <c r="Z690" s="187"/>
      <c r="AA690" s="187"/>
      <c r="AB690" s="187"/>
      <c r="AC690" s="187"/>
      <c r="AD690" s="187"/>
      <c r="AE690" s="187"/>
      <c r="AF690" s="187"/>
      <c r="AG690" s="187"/>
      <c r="AH690" s="187"/>
      <c r="AI690" s="187"/>
    </row>
    <row r="691">
      <c r="A691" s="187"/>
      <c r="B691" s="187"/>
      <c r="C691" s="187"/>
      <c r="D691" s="187"/>
      <c r="E691" s="187"/>
      <c r="F691" s="187"/>
      <c r="G691" s="187"/>
      <c r="H691" s="187"/>
      <c r="I691" s="187"/>
      <c r="J691" s="187"/>
      <c r="K691" s="187"/>
      <c r="L691" s="187"/>
      <c r="M691" s="192"/>
      <c r="N691" s="187"/>
      <c r="O691" s="187"/>
      <c r="P691" s="187"/>
      <c r="Q691" s="187"/>
      <c r="R691" s="187"/>
      <c r="S691" s="187"/>
      <c r="T691" s="187"/>
      <c r="U691" s="187"/>
      <c r="V691" s="187"/>
      <c r="W691" s="187"/>
      <c r="X691" s="187"/>
      <c r="Y691" s="187"/>
      <c r="Z691" s="187"/>
      <c r="AA691" s="187"/>
      <c r="AB691" s="187"/>
      <c r="AC691" s="187"/>
      <c r="AD691" s="187"/>
      <c r="AE691" s="187"/>
      <c r="AF691" s="187"/>
      <c r="AG691" s="187"/>
      <c r="AH691" s="187"/>
      <c r="AI691" s="187"/>
    </row>
    <row r="692">
      <c r="A692" s="187"/>
      <c r="B692" s="187"/>
      <c r="C692" s="187"/>
      <c r="D692" s="187"/>
      <c r="E692" s="187"/>
      <c r="F692" s="187"/>
      <c r="G692" s="187"/>
      <c r="H692" s="187"/>
      <c r="I692" s="187"/>
      <c r="J692" s="187"/>
      <c r="K692" s="187"/>
      <c r="L692" s="187"/>
      <c r="M692" s="192"/>
      <c r="N692" s="187"/>
      <c r="O692" s="187"/>
      <c r="P692" s="187"/>
      <c r="Q692" s="187"/>
      <c r="R692" s="187"/>
      <c r="S692" s="187"/>
      <c r="T692" s="187"/>
      <c r="U692" s="187"/>
      <c r="V692" s="187"/>
      <c r="W692" s="187"/>
      <c r="X692" s="187"/>
      <c r="Y692" s="187"/>
      <c r="Z692" s="187"/>
      <c r="AA692" s="187"/>
      <c r="AB692" s="187"/>
      <c r="AC692" s="187"/>
      <c r="AD692" s="187"/>
      <c r="AE692" s="187"/>
      <c r="AF692" s="187"/>
      <c r="AG692" s="187"/>
      <c r="AH692" s="187"/>
      <c r="AI692" s="187"/>
    </row>
    <row r="693">
      <c r="A693" s="187"/>
      <c r="B693" s="187"/>
      <c r="C693" s="187"/>
      <c r="D693" s="187"/>
      <c r="E693" s="187"/>
      <c r="F693" s="187"/>
      <c r="G693" s="187"/>
      <c r="H693" s="187"/>
      <c r="I693" s="187"/>
      <c r="J693" s="187"/>
      <c r="K693" s="187"/>
      <c r="L693" s="187"/>
      <c r="M693" s="192"/>
      <c r="N693" s="187"/>
      <c r="O693" s="187"/>
      <c r="P693" s="187"/>
      <c r="Q693" s="187"/>
      <c r="R693" s="187"/>
      <c r="S693" s="187"/>
      <c r="T693" s="187"/>
      <c r="U693" s="187"/>
      <c r="V693" s="187"/>
      <c r="W693" s="187"/>
      <c r="X693" s="187"/>
      <c r="Y693" s="187"/>
      <c r="Z693" s="187"/>
      <c r="AA693" s="187"/>
      <c r="AB693" s="187"/>
      <c r="AC693" s="187"/>
      <c r="AD693" s="187"/>
      <c r="AE693" s="187"/>
      <c r="AF693" s="187"/>
      <c r="AG693" s="187"/>
      <c r="AH693" s="187"/>
      <c r="AI693" s="187"/>
    </row>
    <row r="694">
      <c r="A694" s="187"/>
      <c r="B694" s="187"/>
      <c r="C694" s="187"/>
      <c r="D694" s="187"/>
      <c r="E694" s="187"/>
      <c r="F694" s="187"/>
      <c r="G694" s="187"/>
      <c r="H694" s="187"/>
      <c r="I694" s="187"/>
      <c r="J694" s="187"/>
      <c r="K694" s="187"/>
      <c r="L694" s="187"/>
      <c r="M694" s="192"/>
      <c r="N694" s="187"/>
      <c r="O694" s="187"/>
      <c r="P694" s="187"/>
      <c r="Q694" s="187"/>
      <c r="R694" s="187"/>
      <c r="S694" s="187"/>
      <c r="T694" s="187"/>
      <c r="U694" s="187"/>
      <c r="V694" s="187"/>
      <c r="W694" s="187"/>
      <c r="X694" s="187"/>
      <c r="Y694" s="187"/>
      <c r="Z694" s="187"/>
      <c r="AA694" s="187"/>
      <c r="AB694" s="187"/>
      <c r="AC694" s="187"/>
      <c r="AD694" s="187"/>
      <c r="AE694" s="187"/>
      <c r="AF694" s="187"/>
      <c r="AG694" s="187"/>
      <c r="AH694" s="187"/>
      <c r="AI694" s="187"/>
    </row>
    <row r="695">
      <c r="A695" s="187"/>
      <c r="B695" s="187"/>
      <c r="C695" s="187"/>
      <c r="D695" s="187"/>
      <c r="E695" s="187"/>
      <c r="F695" s="187"/>
      <c r="G695" s="187"/>
      <c r="H695" s="187"/>
      <c r="I695" s="187"/>
      <c r="J695" s="187"/>
      <c r="K695" s="187"/>
      <c r="L695" s="187"/>
      <c r="M695" s="192"/>
      <c r="N695" s="187"/>
      <c r="O695" s="187"/>
      <c r="P695" s="187"/>
      <c r="Q695" s="187"/>
      <c r="R695" s="187"/>
      <c r="S695" s="187"/>
      <c r="T695" s="187"/>
      <c r="U695" s="187"/>
      <c r="V695" s="187"/>
      <c r="W695" s="187"/>
      <c r="X695" s="187"/>
      <c r="Y695" s="187"/>
      <c r="Z695" s="187"/>
      <c r="AA695" s="187"/>
      <c r="AB695" s="187"/>
      <c r="AC695" s="187"/>
      <c r="AD695" s="187"/>
      <c r="AE695" s="187"/>
      <c r="AF695" s="187"/>
      <c r="AG695" s="187"/>
      <c r="AH695" s="187"/>
      <c r="AI695" s="187"/>
    </row>
    <row r="696">
      <c r="A696" s="187"/>
      <c r="B696" s="187"/>
      <c r="C696" s="187"/>
      <c r="D696" s="187"/>
      <c r="E696" s="187"/>
      <c r="F696" s="187"/>
      <c r="G696" s="187"/>
      <c r="H696" s="187"/>
      <c r="I696" s="187"/>
      <c r="J696" s="187"/>
      <c r="K696" s="187"/>
      <c r="L696" s="187"/>
      <c r="M696" s="192"/>
      <c r="N696" s="187"/>
      <c r="O696" s="187"/>
      <c r="P696" s="187"/>
      <c r="Q696" s="187"/>
      <c r="R696" s="187"/>
      <c r="S696" s="187"/>
      <c r="T696" s="187"/>
      <c r="U696" s="187"/>
      <c r="V696" s="187"/>
      <c r="W696" s="187"/>
      <c r="X696" s="187"/>
      <c r="Y696" s="187"/>
      <c r="Z696" s="187"/>
      <c r="AA696" s="187"/>
      <c r="AB696" s="187"/>
      <c r="AC696" s="187"/>
      <c r="AD696" s="187"/>
      <c r="AE696" s="187"/>
      <c r="AF696" s="187"/>
      <c r="AG696" s="187"/>
      <c r="AH696" s="187"/>
      <c r="AI696" s="187"/>
    </row>
    <row r="697">
      <c r="A697" s="187"/>
      <c r="B697" s="187"/>
      <c r="C697" s="187"/>
      <c r="D697" s="187"/>
      <c r="E697" s="187"/>
      <c r="F697" s="187"/>
      <c r="G697" s="187"/>
      <c r="H697" s="187"/>
      <c r="I697" s="187"/>
      <c r="J697" s="187"/>
      <c r="K697" s="187"/>
      <c r="L697" s="187"/>
      <c r="M697" s="192"/>
      <c r="N697" s="187"/>
      <c r="O697" s="187"/>
      <c r="P697" s="187"/>
      <c r="Q697" s="187"/>
      <c r="R697" s="187"/>
      <c r="S697" s="187"/>
      <c r="T697" s="187"/>
      <c r="U697" s="187"/>
      <c r="V697" s="187"/>
      <c r="W697" s="187"/>
      <c r="X697" s="187"/>
      <c r="Y697" s="187"/>
      <c r="Z697" s="187"/>
      <c r="AA697" s="187"/>
      <c r="AB697" s="187"/>
      <c r="AC697" s="187"/>
      <c r="AD697" s="187"/>
      <c r="AE697" s="187"/>
      <c r="AF697" s="187"/>
      <c r="AG697" s="187"/>
      <c r="AH697" s="187"/>
      <c r="AI697" s="187"/>
    </row>
    <row r="698">
      <c r="A698" s="187"/>
      <c r="B698" s="187"/>
      <c r="C698" s="187"/>
      <c r="D698" s="187"/>
      <c r="E698" s="187"/>
      <c r="F698" s="187"/>
      <c r="G698" s="187"/>
      <c r="H698" s="187"/>
      <c r="I698" s="187"/>
      <c r="J698" s="187"/>
      <c r="K698" s="187"/>
      <c r="L698" s="187"/>
      <c r="M698" s="192"/>
      <c r="N698" s="187"/>
      <c r="O698" s="187"/>
      <c r="P698" s="187"/>
      <c r="Q698" s="187"/>
      <c r="R698" s="187"/>
      <c r="S698" s="187"/>
      <c r="T698" s="187"/>
      <c r="U698" s="187"/>
      <c r="V698" s="187"/>
      <c r="W698" s="187"/>
      <c r="X698" s="187"/>
      <c r="Y698" s="187"/>
      <c r="Z698" s="187"/>
      <c r="AA698" s="187"/>
      <c r="AB698" s="187"/>
      <c r="AC698" s="187"/>
      <c r="AD698" s="187"/>
      <c r="AE698" s="187"/>
      <c r="AF698" s="187"/>
      <c r="AG698" s="187"/>
      <c r="AH698" s="187"/>
      <c r="AI698" s="187"/>
    </row>
    <row r="699">
      <c r="A699" s="187"/>
      <c r="B699" s="187"/>
      <c r="C699" s="187"/>
      <c r="D699" s="187"/>
      <c r="E699" s="187"/>
      <c r="F699" s="187"/>
      <c r="G699" s="187"/>
      <c r="H699" s="187"/>
      <c r="I699" s="187"/>
      <c r="J699" s="187"/>
      <c r="K699" s="187"/>
      <c r="L699" s="187"/>
      <c r="M699" s="192"/>
      <c r="N699" s="187"/>
      <c r="O699" s="187"/>
      <c r="P699" s="187"/>
      <c r="Q699" s="187"/>
      <c r="R699" s="187"/>
      <c r="S699" s="187"/>
      <c r="T699" s="187"/>
      <c r="U699" s="187"/>
      <c r="V699" s="187"/>
      <c r="W699" s="187"/>
      <c r="X699" s="187"/>
      <c r="Y699" s="187"/>
      <c r="Z699" s="187"/>
      <c r="AA699" s="187"/>
      <c r="AB699" s="187"/>
      <c r="AC699" s="187"/>
      <c r="AD699" s="187"/>
      <c r="AE699" s="187"/>
      <c r="AF699" s="187"/>
      <c r="AG699" s="187"/>
      <c r="AH699" s="187"/>
      <c r="AI699" s="187"/>
    </row>
    <row r="700">
      <c r="A700" s="187"/>
      <c r="B700" s="187"/>
      <c r="C700" s="187"/>
      <c r="D700" s="187"/>
      <c r="E700" s="187"/>
      <c r="F700" s="187"/>
      <c r="G700" s="187"/>
      <c r="H700" s="187"/>
      <c r="I700" s="187"/>
      <c r="J700" s="187"/>
      <c r="K700" s="187"/>
      <c r="L700" s="187"/>
      <c r="M700" s="192"/>
      <c r="N700" s="187"/>
      <c r="O700" s="187"/>
      <c r="P700" s="187"/>
      <c r="Q700" s="187"/>
      <c r="R700" s="187"/>
      <c r="S700" s="187"/>
      <c r="T700" s="187"/>
      <c r="U700" s="187"/>
      <c r="V700" s="187"/>
      <c r="W700" s="187"/>
      <c r="X700" s="187"/>
      <c r="Y700" s="187"/>
      <c r="Z700" s="187"/>
      <c r="AA700" s="187"/>
      <c r="AB700" s="187"/>
      <c r="AC700" s="187"/>
      <c r="AD700" s="187"/>
      <c r="AE700" s="187"/>
      <c r="AF700" s="187"/>
      <c r="AG700" s="187"/>
      <c r="AH700" s="187"/>
      <c r="AI700" s="187"/>
    </row>
    <row r="701">
      <c r="A701" s="187"/>
      <c r="B701" s="187"/>
      <c r="C701" s="187"/>
      <c r="D701" s="187"/>
      <c r="E701" s="187"/>
      <c r="F701" s="187"/>
      <c r="G701" s="187"/>
      <c r="H701" s="187"/>
      <c r="I701" s="187"/>
      <c r="J701" s="187"/>
      <c r="K701" s="187"/>
      <c r="L701" s="187"/>
      <c r="M701" s="192"/>
      <c r="N701" s="187"/>
      <c r="O701" s="187"/>
      <c r="P701" s="187"/>
      <c r="Q701" s="187"/>
      <c r="R701" s="187"/>
      <c r="S701" s="187"/>
      <c r="T701" s="187"/>
      <c r="U701" s="187"/>
      <c r="V701" s="187"/>
      <c r="W701" s="187"/>
      <c r="X701" s="187"/>
      <c r="Y701" s="187"/>
      <c r="Z701" s="187"/>
      <c r="AA701" s="187"/>
      <c r="AB701" s="187"/>
      <c r="AC701" s="187"/>
      <c r="AD701" s="187"/>
      <c r="AE701" s="187"/>
      <c r="AF701" s="187"/>
      <c r="AG701" s="187"/>
      <c r="AH701" s="187"/>
      <c r="AI701" s="187"/>
    </row>
    <row r="702">
      <c r="A702" s="187"/>
      <c r="B702" s="187"/>
      <c r="C702" s="187"/>
      <c r="D702" s="187"/>
      <c r="E702" s="187"/>
      <c r="F702" s="187"/>
      <c r="G702" s="187"/>
      <c r="H702" s="187"/>
      <c r="I702" s="187"/>
      <c r="J702" s="187"/>
      <c r="K702" s="187"/>
      <c r="L702" s="187"/>
      <c r="M702" s="192"/>
      <c r="N702" s="187"/>
      <c r="O702" s="187"/>
      <c r="P702" s="187"/>
      <c r="Q702" s="187"/>
      <c r="R702" s="187"/>
      <c r="S702" s="187"/>
      <c r="T702" s="187"/>
      <c r="U702" s="187"/>
      <c r="V702" s="187"/>
      <c r="W702" s="187"/>
      <c r="X702" s="187"/>
      <c r="Y702" s="187"/>
      <c r="Z702" s="187"/>
      <c r="AA702" s="187"/>
      <c r="AB702" s="187"/>
      <c r="AC702" s="187"/>
      <c r="AD702" s="187"/>
      <c r="AE702" s="187"/>
      <c r="AF702" s="187"/>
      <c r="AG702" s="187"/>
      <c r="AH702" s="187"/>
      <c r="AI702" s="187"/>
    </row>
    <row r="703">
      <c r="A703" s="187"/>
      <c r="B703" s="187"/>
      <c r="C703" s="187"/>
      <c r="D703" s="187"/>
      <c r="E703" s="187"/>
      <c r="F703" s="187"/>
      <c r="G703" s="187"/>
      <c r="H703" s="187"/>
      <c r="I703" s="187"/>
      <c r="J703" s="187"/>
      <c r="K703" s="187"/>
      <c r="L703" s="187"/>
      <c r="M703" s="192"/>
      <c r="N703" s="187"/>
      <c r="O703" s="187"/>
      <c r="P703" s="187"/>
      <c r="Q703" s="187"/>
      <c r="R703" s="187"/>
      <c r="S703" s="187"/>
      <c r="T703" s="187"/>
      <c r="U703" s="187"/>
      <c r="V703" s="187"/>
      <c r="W703" s="187"/>
      <c r="X703" s="187"/>
      <c r="Y703" s="187"/>
      <c r="Z703" s="187"/>
      <c r="AA703" s="187"/>
      <c r="AB703" s="187"/>
      <c r="AC703" s="187"/>
      <c r="AD703" s="187"/>
      <c r="AE703" s="187"/>
      <c r="AF703" s="187"/>
      <c r="AG703" s="187"/>
      <c r="AH703" s="187"/>
      <c r="AI703" s="187"/>
    </row>
    <row r="704">
      <c r="A704" s="187"/>
      <c r="B704" s="187"/>
      <c r="C704" s="187"/>
      <c r="D704" s="187"/>
      <c r="E704" s="187"/>
      <c r="F704" s="187"/>
      <c r="G704" s="187"/>
      <c r="H704" s="187"/>
      <c r="I704" s="187"/>
      <c r="J704" s="187"/>
      <c r="K704" s="187"/>
      <c r="L704" s="187"/>
      <c r="M704" s="192"/>
      <c r="N704" s="187"/>
      <c r="O704" s="187"/>
      <c r="P704" s="187"/>
      <c r="Q704" s="187"/>
      <c r="R704" s="187"/>
      <c r="S704" s="187"/>
      <c r="T704" s="187"/>
      <c r="U704" s="187"/>
      <c r="V704" s="187"/>
      <c r="W704" s="187"/>
      <c r="X704" s="187"/>
      <c r="Y704" s="187"/>
      <c r="Z704" s="187"/>
      <c r="AA704" s="187"/>
      <c r="AB704" s="187"/>
      <c r="AC704" s="187"/>
      <c r="AD704" s="187"/>
      <c r="AE704" s="187"/>
      <c r="AF704" s="187"/>
      <c r="AG704" s="187"/>
      <c r="AH704" s="187"/>
      <c r="AI704" s="187"/>
    </row>
    <row r="705">
      <c r="A705" s="187"/>
      <c r="B705" s="187"/>
      <c r="C705" s="187"/>
      <c r="D705" s="187"/>
      <c r="E705" s="187"/>
      <c r="F705" s="187"/>
      <c r="G705" s="187"/>
      <c r="H705" s="187"/>
      <c r="I705" s="187"/>
      <c r="J705" s="187"/>
      <c r="K705" s="187"/>
      <c r="L705" s="187"/>
      <c r="M705" s="192"/>
      <c r="N705" s="187"/>
      <c r="O705" s="187"/>
      <c r="P705" s="187"/>
      <c r="Q705" s="187"/>
      <c r="R705" s="187"/>
      <c r="S705" s="187"/>
      <c r="T705" s="187"/>
      <c r="U705" s="187"/>
      <c r="V705" s="187"/>
      <c r="W705" s="187"/>
      <c r="X705" s="187"/>
      <c r="Y705" s="187"/>
      <c r="Z705" s="187"/>
      <c r="AA705" s="187"/>
      <c r="AB705" s="187"/>
      <c r="AC705" s="187"/>
      <c r="AD705" s="187"/>
      <c r="AE705" s="187"/>
      <c r="AF705" s="187"/>
      <c r="AG705" s="187"/>
      <c r="AH705" s="187"/>
      <c r="AI705" s="187"/>
    </row>
    <row r="706">
      <c r="A706" s="187"/>
      <c r="B706" s="187"/>
      <c r="C706" s="187"/>
      <c r="D706" s="187"/>
      <c r="E706" s="187"/>
      <c r="F706" s="187"/>
      <c r="G706" s="187"/>
      <c r="H706" s="187"/>
      <c r="I706" s="187"/>
      <c r="J706" s="187"/>
      <c r="K706" s="187"/>
      <c r="L706" s="187"/>
      <c r="M706" s="192"/>
      <c r="N706" s="187"/>
      <c r="O706" s="187"/>
      <c r="P706" s="187"/>
      <c r="Q706" s="187"/>
      <c r="R706" s="187"/>
      <c r="S706" s="187"/>
      <c r="T706" s="187"/>
      <c r="U706" s="187"/>
      <c r="V706" s="187"/>
      <c r="W706" s="187"/>
      <c r="X706" s="187"/>
      <c r="Y706" s="187"/>
      <c r="Z706" s="187"/>
      <c r="AA706" s="187"/>
      <c r="AB706" s="187"/>
      <c r="AC706" s="187"/>
      <c r="AD706" s="187"/>
      <c r="AE706" s="187"/>
      <c r="AF706" s="187"/>
      <c r="AG706" s="187"/>
      <c r="AH706" s="187"/>
      <c r="AI706" s="187"/>
    </row>
    <row r="707">
      <c r="A707" s="187"/>
      <c r="B707" s="187"/>
      <c r="C707" s="187"/>
      <c r="D707" s="187"/>
      <c r="E707" s="187"/>
      <c r="F707" s="187"/>
      <c r="G707" s="187"/>
      <c r="H707" s="187"/>
      <c r="I707" s="187"/>
      <c r="J707" s="187"/>
      <c r="K707" s="187"/>
      <c r="L707" s="187"/>
      <c r="M707" s="192"/>
      <c r="N707" s="187"/>
      <c r="O707" s="187"/>
      <c r="P707" s="187"/>
      <c r="Q707" s="187"/>
      <c r="R707" s="187"/>
      <c r="S707" s="187"/>
      <c r="T707" s="187"/>
      <c r="U707" s="187"/>
      <c r="V707" s="187"/>
      <c r="W707" s="187"/>
      <c r="X707" s="187"/>
      <c r="Y707" s="187"/>
      <c r="Z707" s="187"/>
      <c r="AA707" s="187"/>
      <c r="AB707" s="187"/>
      <c r="AC707" s="187"/>
      <c r="AD707" s="187"/>
      <c r="AE707" s="187"/>
      <c r="AF707" s="187"/>
      <c r="AG707" s="187"/>
      <c r="AH707" s="187"/>
      <c r="AI707" s="187"/>
    </row>
    <row r="708">
      <c r="A708" s="187"/>
      <c r="B708" s="187"/>
      <c r="C708" s="187"/>
      <c r="D708" s="187"/>
      <c r="E708" s="187"/>
      <c r="F708" s="187"/>
      <c r="G708" s="187"/>
      <c r="H708" s="187"/>
      <c r="I708" s="187"/>
      <c r="J708" s="187"/>
      <c r="K708" s="187"/>
      <c r="L708" s="187"/>
      <c r="M708" s="192"/>
      <c r="N708" s="187"/>
      <c r="O708" s="187"/>
      <c r="P708" s="187"/>
      <c r="Q708" s="187"/>
      <c r="R708" s="187"/>
      <c r="S708" s="187"/>
      <c r="T708" s="187"/>
      <c r="U708" s="187"/>
      <c r="V708" s="187"/>
      <c r="W708" s="187"/>
      <c r="X708" s="187"/>
      <c r="Y708" s="187"/>
      <c r="Z708" s="187"/>
      <c r="AA708" s="187"/>
      <c r="AB708" s="187"/>
      <c r="AC708" s="187"/>
      <c r="AD708" s="187"/>
      <c r="AE708" s="187"/>
      <c r="AF708" s="187"/>
      <c r="AG708" s="187"/>
      <c r="AH708" s="187"/>
      <c r="AI708" s="187"/>
    </row>
    <row r="709">
      <c r="A709" s="187"/>
      <c r="B709" s="187"/>
      <c r="C709" s="187"/>
      <c r="D709" s="187"/>
      <c r="E709" s="187"/>
      <c r="F709" s="187"/>
      <c r="G709" s="187"/>
      <c r="H709" s="187"/>
      <c r="I709" s="187"/>
      <c r="J709" s="187"/>
      <c r="K709" s="187"/>
      <c r="L709" s="187"/>
      <c r="M709" s="192"/>
      <c r="N709" s="187"/>
      <c r="O709" s="187"/>
      <c r="P709" s="187"/>
      <c r="Q709" s="187"/>
      <c r="R709" s="187"/>
      <c r="S709" s="187"/>
      <c r="T709" s="187"/>
      <c r="U709" s="187"/>
      <c r="V709" s="187"/>
      <c r="W709" s="187"/>
      <c r="X709" s="187"/>
      <c r="Y709" s="187"/>
      <c r="Z709" s="187"/>
      <c r="AA709" s="187"/>
      <c r="AB709" s="187"/>
      <c r="AC709" s="187"/>
      <c r="AD709" s="187"/>
      <c r="AE709" s="187"/>
      <c r="AF709" s="187"/>
      <c r="AG709" s="187"/>
      <c r="AH709" s="187"/>
      <c r="AI709" s="187"/>
    </row>
    <row r="710">
      <c r="A710" s="187"/>
      <c r="B710" s="187"/>
      <c r="C710" s="187"/>
      <c r="D710" s="187"/>
      <c r="E710" s="187"/>
      <c r="F710" s="187"/>
      <c r="G710" s="187"/>
      <c r="H710" s="187"/>
      <c r="I710" s="187"/>
      <c r="J710" s="187"/>
      <c r="K710" s="187"/>
      <c r="L710" s="187"/>
      <c r="M710" s="192"/>
      <c r="N710" s="187"/>
      <c r="O710" s="187"/>
      <c r="P710" s="187"/>
      <c r="Q710" s="187"/>
      <c r="R710" s="187"/>
      <c r="S710" s="187"/>
      <c r="T710" s="187"/>
      <c r="U710" s="187"/>
      <c r="V710" s="187"/>
      <c r="W710" s="187"/>
      <c r="X710" s="187"/>
      <c r="Y710" s="187"/>
      <c r="Z710" s="187"/>
      <c r="AA710" s="187"/>
      <c r="AB710" s="187"/>
      <c r="AC710" s="187"/>
      <c r="AD710" s="187"/>
      <c r="AE710" s="187"/>
      <c r="AF710" s="187"/>
      <c r="AG710" s="187"/>
      <c r="AH710" s="187"/>
      <c r="AI710" s="187"/>
    </row>
    <row r="711">
      <c r="A711" s="187"/>
      <c r="B711" s="187"/>
      <c r="C711" s="187"/>
      <c r="D711" s="187"/>
      <c r="E711" s="187"/>
      <c r="F711" s="187"/>
      <c r="G711" s="187"/>
      <c r="H711" s="187"/>
      <c r="I711" s="187"/>
      <c r="J711" s="187"/>
      <c r="K711" s="187"/>
      <c r="L711" s="187"/>
      <c r="M711" s="192"/>
      <c r="N711" s="187"/>
      <c r="O711" s="187"/>
      <c r="P711" s="187"/>
      <c r="Q711" s="187"/>
      <c r="R711" s="187"/>
      <c r="S711" s="187"/>
      <c r="T711" s="187"/>
      <c r="U711" s="187"/>
      <c r="V711" s="187"/>
      <c r="W711" s="187"/>
      <c r="X711" s="187"/>
      <c r="Y711" s="187"/>
      <c r="Z711" s="187"/>
      <c r="AA711" s="187"/>
      <c r="AB711" s="187"/>
      <c r="AC711" s="187"/>
      <c r="AD711" s="187"/>
      <c r="AE711" s="187"/>
      <c r="AF711" s="187"/>
      <c r="AG711" s="187"/>
      <c r="AH711" s="187"/>
      <c r="AI711" s="187"/>
    </row>
    <row r="712">
      <c r="A712" s="187"/>
      <c r="B712" s="187"/>
      <c r="C712" s="187"/>
      <c r="D712" s="187"/>
      <c r="E712" s="187"/>
      <c r="F712" s="187"/>
      <c r="G712" s="187"/>
      <c r="H712" s="187"/>
      <c r="I712" s="187"/>
      <c r="J712" s="187"/>
      <c r="K712" s="187"/>
      <c r="L712" s="187"/>
      <c r="M712" s="192"/>
      <c r="N712" s="187"/>
      <c r="O712" s="187"/>
      <c r="P712" s="187"/>
      <c r="Q712" s="187"/>
      <c r="R712" s="187"/>
      <c r="S712" s="187"/>
      <c r="T712" s="187"/>
      <c r="U712" s="187"/>
      <c r="V712" s="187"/>
      <c r="W712" s="187"/>
      <c r="X712" s="187"/>
      <c r="Y712" s="187"/>
      <c r="Z712" s="187"/>
      <c r="AA712" s="187"/>
      <c r="AB712" s="187"/>
      <c r="AC712" s="187"/>
      <c r="AD712" s="187"/>
      <c r="AE712" s="187"/>
      <c r="AF712" s="187"/>
      <c r="AG712" s="187"/>
      <c r="AH712" s="187"/>
      <c r="AI712" s="187"/>
    </row>
    <row r="713">
      <c r="A713" s="187"/>
      <c r="B713" s="187"/>
      <c r="C713" s="187"/>
      <c r="D713" s="187"/>
      <c r="E713" s="187"/>
      <c r="F713" s="187"/>
      <c r="G713" s="187"/>
      <c r="H713" s="187"/>
      <c r="I713" s="187"/>
      <c r="J713" s="187"/>
      <c r="K713" s="187"/>
      <c r="L713" s="187"/>
      <c r="M713" s="192"/>
      <c r="N713" s="187"/>
      <c r="O713" s="187"/>
      <c r="P713" s="187"/>
      <c r="Q713" s="187"/>
      <c r="R713" s="187"/>
      <c r="S713" s="187"/>
      <c r="T713" s="187"/>
      <c r="U713" s="187"/>
      <c r="V713" s="187"/>
      <c r="W713" s="187"/>
      <c r="X713" s="187"/>
      <c r="Y713" s="187"/>
      <c r="Z713" s="187"/>
      <c r="AA713" s="187"/>
      <c r="AB713" s="187"/>
      <c r="AC713" s="187"/>
      <c r="AD713" s="187"/>
      <c r="AE713" s="187"/>
      <c r="AF713" s="187"/>
      <c r="AG713" s="187"/>
      <c r="AH713" s="187"/>
      <c r="AI713" s="187"/>
    </row>
    <row r="714">
      <c r="A714" s="187"/>
      <c r="B714" s="187"/>
      <c r="C714" s="187"/>
      <c r="D714" s="187"/>
      <c r="E714" s="187"/>
      <c r="F714" s="187"/>
      <c r="G714" s="187"/>
      <c r="H714" s="187"/>
      <c r="I714" s="187"/>
      <c r="J714" s="187"/>
      <c r="K714" s="187"/>
      <c r="L714" s="187"/>
      <c r="M714" s="192"/>
      <c r="N714" s="187"/>
      <c r="O714" s="187"/>
      <c r="P714" s="187"/>
      <c r="Q714" s="187"/>
      <c r="R714" s="187"/>
      <c r="S714" s="187"/>
      <c r="T714" s="187"/>
      <c r="U714" s="187"/>
      <c r="V714" s="187"/>
      <c r="W714" s="187"/>
      <c r="X714" s="187"/>
      <c r="Y714" s="187"/>
      <c r="Z714" s="187"/>
      <c r="AA714" s="187"/>
      <c r="AB714" s="187"/>
      <c r="AC714" s="187"/>
      <c r="AD714" s="187"/>
      <c r="AE714" s="187"/>
      <c r="AF714" s="187"/>
      <c r="AG714" s="187"/>
      <c r="AH714" s="187"/>
      <c r="AI714" s="187"/>
    </row>
    <row r="715">
      <c r="A715" s="187"/>
      <c r="B715" s="187"/>
      <c r="C715" s="187"/>
      <c r="D715" s="187"/>
      <c r="E715" s="187"/>
      <c r="F715" s="187"/>
      <c r="G715" s="187"/>
      <c r="H715" s="187"/>
      <c r="I715" s="187"/>
      <c r="J715" s="187"/>
      <c r="K715" s="187"/>
      <c r="L715" s="187"/>
      <c r="M715" s="192"/>
      <c r="N715" s="187"/>
      <c r="O715" s="187"/>
      <c r="P715" s="187"/>
      <c r="Q715" s="187"/>
      <c r="R715" s="187"/>
      <c r="S715" s="187"/>
      <c r="T715" s="187"/>
      <c r="U715" s="187"/>
      <c r="V715" s="187"/>
      <c r="W715" s="187"/>
      <c r="X715" s="187"/>
      <c r="Y715" s="187"/>
      <c r="Z715" s="187"/>
      <c r="AA715" s="187"/>
      <c r="AB715" s="187"/>
      <c r="AC715" s="187"/>
      <c r="AD715" s="187"/>
      <c r="AE715" s="187"/>
      <c r="AF715" s="187"/>
      <c r="AG715" s="187"/>
      <c r="AH715" s="187"/>
      <c r="AI715" s="187"/>
    </row>
    <row r="716">
      <c r="A716" s="187"/>
      <c r="B716" s="187"/>
      <c r="C716" s="187"/>
      <c r="D716" s="187"/>
      <c r="E716" s="187"/>
      <c r="F716" s="187"/>
      <c r="G716" s="187"/>
      <c r="H716" s="187"/>
      <c r="I716" s="187"/>
      <c r="J716" s="187"/>
      <c r="K716" s="187"/>
      <c r="L716" s="187"/>
      <c r="M716" s="192"/>
      <c r="N716" s="187"/>
      <c r="O716" s="187"/>
      <c r="P716" s="187"/>
      <c r="Q716" s="187"/>
      <c r="R716" s="187"/>
      <c r="S716" s="187"/>
      <c r="T716" s="187"/>
      <c r="U716" s="187"/>
      <c r="V716" s="187"/>
      <c r="W716" s="187"/>
      <c r="X716" s="187"/>
      <c r="Y716" s="187"/>
      <c r="Z716" s="187"/>
      <c r="AA716" s="187"/>
      <c r="AB716" s="187"/>
      <c r="AC716" s="187"/>
      <c r="AD716" s="187"/>
      <c r="AE716" s="187"/>
      <c r="AF716" s="187"/>
      <c r="AG716" s="187"/>
      <c r="AH716" s="187"/>
      <c r="AI716" s="187"/>
    </row>
    <row r="717">
      <c r="A717" s="187"/>
      <c r="B717" s="187"/>
      <c r="C717" s="187"/>
      <c r="D717" s="187"/>
      <c r="E717" s="187"/>
      <c r="F717" s="187"/>
      <c r="G717" s="187"/>
      <c r="H717" s="187"/>
      <c r="I717" s="187"/>
      <c r="J717" s="187"/>
      <c r="K717" s="187"/>
      <c r="L717" s="187"/>
      <c r="M717" s="192"/>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row>
    <row r="718">
      <c r="A718" s="187"/>
      <c r="B718" s="187"/>
      <c r="C718" s="187"/>
      <c r="D718" s="187"/>
      <c r="E718" s="187"/>
      <c r="F718" s="187"/>
      <c r="G718" s="187"/>
      <c r="H718" s="187"/>
      <c r="I718" s="187"/>
      <c r="J718" s="187"/>
      <c r="K718" s="187"/>
      <c r="L718" s="187"/>
      <c r="M718" s="192"/>
      <c r="N718" s="187"/>
      <c r="O718" s="187"/>
      <c r="P718" s="187"/>
      <c r="Q718" s="187"/>
      <c r="R718" s="187"/>
      <c r="S718" s="187"/>
      <c r="T718" s="187"/>
      <c r="U718" s="187"/>
      <c r="V718" s="187"/>
      <c r="W718" s="187"/>
      <c r="X718" s="187"/>
      <c r="Y718" s="187"/>
      <c r="Z718" s="187"/>
      <c r="AA718" s="187"/>
      <c r="AB718" s="187"/>
      <c r="AC718" s="187"/>
      <c r="AD718" s="187"/>
      <c r="AE718" s="187"/>
      <c r="AF718" s="187"/>
      <c r="AG718" s="187"/>
      <c r="AH718" s="187"/>
      <c r="AI718" s="187"/>
    </row>
    <row r="719">
      <c r="A719" s="187"/>
      <c r="B719" s="187"/>
      <c r="C719" s="187"/>
      <c r="D719" s="187"/>
      <c r="E719" s="187"/>
      <c r="F719" s="187"/>
      <c r="G719" s="187"/>
      <c r="H719" s="187"/>
      <c r="I719" s="187"/>
      <c r="J719" s="187"/>
      <c r="K719" s="187"/>
      <c r="L719" s="187"/>
      <c r="M719" s="192"/>
      <c r="N719" s="187"/>
      <c r="O719" s="187"/>
      <c r="P719" s="187"/>
      <c r="Q719" s="187"/>
      <c r="R719" s="187"/>
      <c r="S719" s="187"/>
      <c r="T719" s="187"/>
      <c r="U719" s="187"/>
      <c r="V719" s="187"/>
      <c r="W719" s="187"/>
      <c r="X719" s="187"/>
      <c r="Y719" s="187"/>
      <c r="Z719" s="187"/>
      <c r="AA719" s="187"/>
      <c r="AB719" s="187"/>
      <c r="AC719" s="187"/>
      <c r="AD719" s="187"/>
      <c r="AE719" s="187"/>
      <c r="AF719" s="187"/>
      <c r="AG719" s="187"/>
      <c r="AH719" s="187"/>
      <c r="AI719" s="187"/>
    </row>
    <row r="720">
      <c r="A720" s="187"/>
      <c r="B720" s="187"/>
      <c r="C720" s="187"/>
      <c r="D720" s="187"/>
      <c r="E720" s="187"/>
      <c r="F720" s="187"/>
      <c r="G720" s="187"/>
      <c r="H720" s="187"/>
      <c r="I720" s="187"/>
      <c r="J720" s="187"/>
      <c r="K720" s="187"/>
      <c r="L720" s="187"/>
      <c r="M720" s="192"/>
      <c r="N720" s="187"/>
      <c r="O720" s="187"/>
      <c r="P720" s="187"/>
      <c r="Q720" s="187"/>
      <c r="R720" s="187"/>
      <c r="S720" s="187"/>
      <c r="T720" s="187"/>
      <c r="U720" s="187"/>
      <c r="V720" s="187"/>
      <c r="W720" s="187"/>
      <c r="X720" s="187"/>
      <c r="Y720" s="187"/>
      <c r="Z720" s="187"/>
      <c r="AA720" s="187"/>
      <c r="AB720" s="187"/>
      <c r="AC720" s="187"/>
      <c r="AD720" s="187"/>
      <c r="AE720" s="187"/>
      <c r="AF720" s="187"/>
      <c r="AG720" s="187"/>
      <c r="AH720" s="187"/>
      <c r="AI720" s="187"/>
    </row>
    <row r="721">
      <c r="A721" s="187"/>
      <c r="B721" s="187"/>
      <c r="C721" s="187"/>
      <c r="D721" s="187"/>
      <c r="E721" s="187"/>
      <c r="F721" s="187"/>
      <c r="G721" s="187"/>
      <c r="H721" s="187"/>
      <c r="I721" s="187"/>
      <c r="J721" s="187"/>
      <c r="K721" s="187"/>
      <c r="L721" s="187"/>
      <c r="M721" s="192"/>
      <c r="N721" s="187"/>
      <c r="O721" s="187"/>
      <c r="P721" s="187"/>
      <c r="Q721" s="187"/>
      <c r="R721" s="187"/>
      <c r="S721" s="187"/>
      <c r="T721" s="187"/>
      <c r="U721" s="187"/>
      <c r="V721" s="187"/>
      <c r="W721" s="187"/>
      <c r="X721" s="187"/>
      <c r="Y721" s="187"/>
      <c r="Z721" s="187"/>
      <c r="AA721" s="187"/>
      <c r="AB721" s="187"/>
      <c r="AC721" s="187"/>
      <c r="AD721" s="187"/>
      <c r="AE721" s="187"/>
      <c r="AF721" s="187"/>
      <c r="AG721" s="187"/>
      <c r="AH721" s="187"/>
      <c r="AI721" s="187"/>
    </row>
    <row r="722">
      <c r="A722" s="187"/>
      <c r="B722" s="187"/>
      <c r="C722" s="187"/>
      <c r="D722" s="187"/>
      <c r="E722" s="187"/>
      <c r="F722" s="187"/>
      <c r="G722" s="187"/>
      <c r="H722" s="187"/>
      <c r="I722" s="187"/>
      <c r="J722" s="187"/>
      <c r="K722" s="187"/>
      <c r="L722" s="187"/>
      <c r="M722" s="192"/>
      <c r="N722" s="187"/>
      <c r="O722" s="187"/>
      <c r="P722" s="187"/>
      <c r="Q722" s="187"/>
      <c r="R722" s="187"/>
      <c r="S722" s="187"/>
      <c r="T722" s="187"/>
      <c r="U722" s="187"/>
      <c r="V722" s="187"/>
      <c r="W722" s="187"/>
      <c r="X722" s="187"/>
      <c r="Y722" s="187"/>
      <c r="Z722" s="187"/>
      <c r="AA722" s="187"/>
      <c r="AB722" s="187"/>
      <c r="AC722" s="187"/>
      <c r="AD722" s="187"/>
      <c r="AE722" s="187"/>
      <c r="AF722" s="187"/>
      <c r="AG722" s="187"/>
      <c r="AH722" s="187"/>
      <c r="AI722" s="187"/>
    </row>
    <row r="723">
      <c r="A723" s="187"/>
      <c r="B723" s="187"/>
      <c r="C723" s="187"/>
      <c r="D723" s="187"/>
      <c r="E723" s="187"/>
      <c r="F723" s="187"/>
      <c r="G723" s="187"/>
      <c r="H723" s="187"/>
      <c r="I723" s="187"/>
      <c r="J723" s="187"/>
      <c r="K723" s="187"/>
      <c r="L723" s="187"/>
      <c r="M723" s="192"/>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row>
    <row r="724">
      <c r="A724" s="187"/>
      <c r="B724" s="187"/>
      <c r="C724" s="187"/>
      <c r="D724" s="187"/>
      <c r="E724" s="187"/>
      <c r="F724" s="187"/>
      <c r="G724" s="187"/>
      <c r="H724" s="187"/>
      <c r="I724" s="187"/>
      <c r="J724" s="187"/>
      <c r="K724" s="187"/>
      <c r="L724" s="187"/>
      <c r="M724" s="192"/>
      <c r="N724" s="187"/>
      <c r="O724" s="187"/>
      <c r="P724" s="187"/>
      <c r="Q724" s="187"/>
      <c r="R724" s="187"/>
      <c r="S724" s="187"/>
      <c r="T724" s="187"/>
      <c r="U724" s="187"/>
      <c r="V724" s="187"/>
      <c r="W724" s="187"/>
      <c r="X724" s="187"/>
      <c r="Y724" s="187"/>
      <c r="Z724" s="187"/>
      <c r="AA724" s="187"/>
      <c r="AB724" s="187"/>
      <c r="AC724" s="187"/>
      <c r="AD724" s="187"/>
      <c r="AE724" s="187"/>
      <c r="AF724" s="187"/>
      <c r="AG724" s="187"/>
      <c r="AH724" s="187"/>
      <c r="AI724" s="187"/>
    </row>
    <row r="725">
      <c r="A725" s="187"/>
      <c r="B725" s="187"/>
      <c r="C725" s="187"/>
      <c r="D725" s="187"/>
      <c r="E725" s="187"/>
      <c r="F725" s="187"/>
      <c r="G725" s="187"/>
      <c r="H725" s="187"/>
      <c r="I725" s="187"/>
      <c r="J725" s="187"/>
      <c r="K725" s="187"/>
      <c r="L725" s="187"/>
      <c r="M725" s="192"/>
      <c r="N725" s="187"/>
      <c r="O725" s="187"/>
      <c r="P725" s="187"/>
      <c r="Q725" s="187"/>
      <c r="R725" s="187"/>
      <c r="S725" s="187"/>
      <c r="T725" s="187"/>
      <c r="U725" s="187"/>
      <c r="V725" s="187"/>
      <c r="W725" s="187"/>
      <c r="X725" s="187"/>
      <c r="Y725" s="187"/>
      <c r="Z725" s="187"/>
      <c r="AA725" s="187"/>
      <c r="AB725" s="187"/>
      <c r="AC725" s="187"/>
      <c r="AD725" s="187"/>
      <c r="AE725" s="187"/>
      <c r="AF725" s="187"/>
      <c r="AG725" s="187"/>
      <c r="AH725" s="187"/>
      <c r="AI725" s="187"/>
    </row>
    <row r="726">
      <c r="A726" s="187"/>
      <c r="B726" s="187"/>
      <c r="C726" s="187"/>
      <c r="D726" s="187"/>
      <c r="E726" s="187"/>
      <c r="F726" s="187"/>
      <c r="G726" s="187"/>
      <c r="H726" s="187"/>
      <c r="I726" s="187"/>
      <c r="J726" s="187"/>
      <c r="K726" s="187"/>
      <c r="L726" s="187"/>
      <c r="M726" s="192"/>
      <c r="N726" s="187"/>
      <c r="O726" s="187"/>
      <c r="P726" s="187"/>
      <c r="Q726" s="187"/>
      <c r="R726" s="187"/>
      <c r="S726" s="187"/>
      <c r="T726" s="187"/>
      <c r="U726" s="187"/>
      <c r="V726" s="187"/>
      <c r="W726" s="187"/>
      <c r="X726" s="187"/>
      <c r="Y726" s="187"/>
      <c r="Z726" s="187"/>
      <c r="AA726" s="187"/>
      <c r="AB726" s="187"/>
      <c r="AC726" s="187"/>
      <c r="AD726" s="187"/>
      <c r="AE726" s="187"/>
      <c r="AF726" s="187"/>
      <c r="AG726" s="187"/>
      <c r="AH726" s="187"/>
      <c r="AI726" s="187"/>
    </row>
    <row r="727">
      <c r="A727" s="187"/>
      <c r="B727" s="187"/>
      <c r="C727" s="187"/>
      <c r="D727" s="187"/>
      <c r="E727" s="187"/>
      <c r="F727" s="187"/>
      <c r="G727" s="187"/>
      <c r="H727" s="187"/>
      <c r="I727" s="187"/>
      <c r="J727" s="187"/>
      <c r="K727" s="187"/>
      <c r="L727" s="187"/>
      <c r="M727" s="192"/>
      <c r="N727" s="187"/>
      <c r="O727" s="187"/>
      <c r="P727" s="187"/>
      <c r="Q727" s="187"/>
      <c r="R727" s="187"/>
      <c r="S727" s="187"/>
      <c r="T727" s="187"/>
      <c r="U727" s="187"/>
      <c r="V727" s="187"/>
      <c r="W727" s="187"/>
      <c r="X727" s="187"/>
      <c r="Y727" s="187"/>
      <c r="Z727" s="187"/>
      <c r="AA727" s="187"/>
      <c r="AB727" s="187"/>
      <c r="AC727" s="187"/>
      <c r="AD727" s="187"/>
      <c r="AE727" s="187"/>
      <c r="AF727" s="187"/>
      <c r="AG727" s="187"/>
      <c r="AH727" s="187"/>
      <c r="AI727" s="187"/>
    </row>
    <row r="728">
      <c r="A728" s="187"/>
      <c r="B728" s="187"/>
      <c r="C728" s="187"/>
      <c r="D728" s="187"/>
      <c r="E728" s="187"/>
      <c r="F728" s="187"/>
      <c r="G728" s="187"/>
      <c r="H728" s="187"/>
      <c r="I728" s="187"/>
      <c r="J728" s="187"/>
      <c r="K728" s="187"/>
      <c r="L728" s="187"/>
      <c r="M728" s="192"/>
      <c r="N728" s="187"/>
      <c r="O728" s="187"/>
      <c r="P728" s="187"/>
      <c r="Q728" s="187"/>
      <c r="R728" s="187"/>
      <c r="S728" s="187"/>
      <c r="T728" s="187"/>
      <c r="U728" s="187"/>
      <c r="V728" s="187"/>
      <c r="W728" s="187"/>
      <c r="X728" s="187"/>
      <c r="Y728" s="187"/>
      <c r="Z728" s="187"/>
      <c r="AA728" s="187"/>
      <c r="AB728" s="187"/>
      <c r="AC728" s="187"/>
      <c r="AD728" s="187"/>
      <c r="AE728" s="187"/>
      <c r="AF728" s="187"/>
      <c r="AG728" s="187"/>
      <c r="AH728" s="187"/>
      <c r="AI728" s="187"/>
    </row>
    <row r="729">
      <c r="A729" s="187"/>
      <c r="B729" s="187"/>
      <c r="C729" s="187"/>
      <c r="D729" s="187"/>
      <c r="E729" s="187"/>
      <c r="F729" s="187"/>
      <c r="G729" s="187"/>
      <c r="H729" s="187"/>
      <c r="I729" s="187"/>
      <c r="J729" s="187"/>
      <c r="K729" s="187"/>
      <c r="L729" s="187"/>
      <c r="M729" s="192"/>
      <c r="N729" s="187"/>
      <c r="O729" s="187"/>
      <c r="P729" s="187"/>
      <c r="Q729" s="187"/>
      <c r="R729" s="187"/>
      <c r="S729" s="187"/>
      <c r="T729" s="187"/>
      <c r="U729" s="187"/>
      <c r="V729" s="187"/>
      <c r="W729" s="187"/>
      <c r="X729" s="187"/>
      <c r="Y729" s="187"/>
      <c r="Z729" s="187"/>
      <c r="AA729" s="187"/>
      <c r="AB729" s="187"/>
      <c r="AC729" s="187"/>
      <c r="AD729" s="187"/>
      <c r="AE729" s="187"/>
      <c r="AF729" s="187"/>
      <c r="AG729" s="187"/>
      <c r="AH729" s="187"/>
      <c r="AI729" s="187"/>
    </row>
    <row r="730">
      <c r="A730" s="187"/>
      <c r="B730" s="187"/>
      <c r="C730" s="187"/>
      <c r="D730" s="187"/>
      <c r="E730" s="187"/>
      <c r="F730" s="187"/>
      <c r="G730" s="187"/>
      <c r="H730" s="187"/>
      <c r="I730" s="187"/>
      <c r="J730" s="187"/>
      <c r="K730" s="187"/>
      <c r="L730" s="187"/>
      <c r="M730" s="192"/>
      <c r="N730" s="187"/>
      <c r="O730" s="187"/>
      <c r="P730" s="187"/>
      <c r="Q730" s="187"/>
      <c r="R730" s="187"/>
      <c r="S730" s="187"/>
      <c r="T730" s="187"/>
      <c r="U730" s="187"/>
      <c r="V730" s="187"/>
      <c r="W730" s="187"/>
      <c r="X730" s="187"/>
      <c r="Y730" s="187"/>
      <c r="Z730" s="187"/>
      <c r="AA730" s="187"/>
      <c r="AB730" s="187"/>
      <c r="AC730" s="187"/>
      <c r="AD730" s="187"/>
      <c r="AE730" s="187"/>
      <c r="AF730" s="187"/>
      <c r="AG730" s="187"/>
      <c r="AH730" s="187"/>
      <c r="AI730" s="187"/>
    </row>
    <row r="731">
      <c r="A731" s="187"/>
      <c r="B731" s="187"/>
      <c r="C731" s="187"/>
      <c r="D731" s="187"/>
      <c r="E731" s="187"/>
      <c r="F731" s="187"/>
      <c r="G731" s="187"/>
      <c r="H731" s="187"/>
      <c r="I731" s="187"/>
      <c r="J731" s="187"/>
      <c r="K731" s="187"/>
      <c r="L731" s="187"/>
      <c r="M731" s="192"/>
      <c r="N731" s="187"/>
      <c r="O731" s="187"/>
      <c r="P731" s="187"/>
      <c r="Q731" s="187"/>
      <c r="R731" s="187"/>
      <c r="S731" s="187"/>
      <c r="T731" s="187"/>
      <c r="U731" s="187"/>
      <c r="V731" s="187"/>
      <c r="W731" s="187"/>
      <c r="X731" s="187"/>
      <c r="Y731" s="187"/>
      <c r="Z731" s="187"/>
      <c r="AA731" s="187"/>
      <c r="AB731" s="187"/>
      <c r="AC731" s="187"/>
      <c r="AD731" s="187"/>
      <c r="AE731" s="187"/>
      <c r="AF731" s="187"/>
      <c r="AG731" s="187"/>
      <c r="AH731" s="187"/>
      <c r="AI731" s="187"/>
    </row>
    <row r="732">
      <c r="A732" s="187"/>
      <c r="B732" s="187"/>
      <c r="C732" s="187"/>
      <c r="D732" s="187"/>
      <c r="E732" s="187"/>
      <c r="F732" s="187"/>
      <c r="G732" s="187"/>
      <c r="H732" s="187"/>
      <c r="I732" s="187"/>
      <c r="J732" s="187"/>
      <c r="K732" s="187"/>
      <c r="L732" s="187"/>
      <c r="M732" s="192"/>
      <c r="N732" s="187"/>
      <c r="O732" s="187"/>
      <c r="P732" s="187"/>
      <c r="Q732" s="187"/>
      <c r="R732" s="187"/>
      <c r="S732" s="187"/>
      <c r="T732" s="187"/>
      <c r="U732" s="187"/>
      <c r="V732" s="187"/>
      <c r="W732" s="187"/>
      <c r="X732" s="187"/>
      <c r="Y732" s="187"/>
      <c r="Z732" s="187"/>
      <c r="AA732" s="187"/>
      <c r="AB732" s="187"/>
      <c r="AC732" s="187"/>
      <c r="AD732" s="187"/>
      <c r="AE732" s="187"/>
      <c r="AF732" s="187"/>
      <c r="AG732" s="187"/>
      <c r="AH732" s="187"/>
      <c r="AI732" s="187"/>
    </row>
    <row r="733">
      <c r="A733" s="187"/>
      <c r="B733" s="187"/>
      <c r="C733" s="187"/>
      <c r="D733" s="187"/>
      <c r="E733" s="187"/>
      <c r="F733" s="187"/>
      <c r="G733" s="187"/>
      <c r="H733" s="187"/>
      <c r="I733" s="187"/>
      <c r="J733" s="187"/>
      <c r="K733" s="187"/>
      <c r="L733" s="187"/>
      <c r="M733" s="192"/>
      <c r="N733" s="187"/>
      <c r="O733" s="187"/>
      <c r="P733" s="187"/>
      <c r="Q733" s="187"/>
      <c r="R733" s="187"/>
      <c r="S733" s="187"/>
      <c r="T733" s="187"/>
      <c r="U733" s="187"/>
      <c r="V733" s="187"/>
      <c r="W733" s="187"/>
      <c r="X733" s="187"/>
      <c r="Y733" s="187"/>
      <c r="Z733" s="187"/>
      <c r="AA733" s="187"/>
      <c r="AB733" s="187"/>
      <c r="AC733" s="187"/>
      <c r="AD733" s="187"/>
      <c r="AE733" s="187"/>
      <c r="AF733" s="187"/>
      <c r="AG733" s="187"/>
      <c r="AH733" s="187"/>
      <c r="AI733" s="187"/>
    </row>
    <row r="734">
      <c r="A734" s="187"/>
      <c r="B734" s="187"/>
      <c r="C734" s="187"/>
      <c r="D734" s="187"/>
      <c r="E734" s="187"/>
      <c r="F734" s="187"/>
      <c r="G734" s="187"/>
      <c r="H734" s="187"/>
      <c r="I734" s="187"/>
      <c r="J734" s="187"/>
      <c r="K734" s="187"/>
      <c r="L734" s="187"/>
      <c r="M734" s="192"/>
      <c r="N734" s="187"/>
      <c r="O734" s="187"/>
      <c r="P734" s="187"/>
      <c r="Q734" s="187"/>
      <c r="R734" s="187"/>
      <c r="S734" s="187"/>
      <c r="T734" s="187"/>
      <c r="U734" s="187"/>
      <c r="V734" s="187"/>
      <c r="W734" s="187"/>
      <c r="X734" s="187"/>
      <c r="Y734" s="187"/>
      <c r="Z734" s="187"/>
      <c r="AA734" s="187"/>
      <c r="AB734" s="187"/>
      <c r="AC734" s="187"/>
      <c r="AD734" s="187"/>
      <c r="AE734" s="187"/>
      <c r="AF734" s="187"/>
      <c r="AG734" s="187"/>
      <c r="AH734" s="187"/>
      <c r="AI734" s="187"/>
    </row>
    <row r="735">
      <c r="A735" s="187"/>
      <c r="B735" s="187"/>
      <c r="C735" s="187"/>
      <c r="D735" s="187"/>
      <c r="E735" s="187"/>
      <c r="F735" s="187"/>
      <c r="G735" s="187"/>
      <c r="H735" s="187"/>
      <c r="I735" s="187"/>
      <c r="J735" s="187"/>
      <c r="K735" s="187"/>
      <c r="L735" s="187"/>
      <c r="M735" s="192"/>
      <c r="N735" s="187"/>
      <c r="O735" s="187"/>
      <c r="P735" s="187"/>
      <c r="Q735" s="187"/>
      <c r="R735" s="187"/>
      <c r="S735" s="187"/>
      <c r="T735" s="187"/>
      <c r="U735" s="187"/>
      <c r="V735" s="187"/>
      <c r="W735" s="187"/>
      <c r="X735" s="187"/>
      <c r="Y735" s="187"/>
      <c r="Z735" s="187"/>
      <c r="AA735" s="187"/>
      <c r="AB735" s="187"/>
      <c r="AC735" s="187"/>
      <c r="AD735" s="187"/>
      <c r="AE735" s="187"/>
      <c r="AF735" s="187"/>
      <c r="AG735" s="187"/>
      <c r="AH735" s="187"/>
      <c r="AI735" s="187"/>
    </row>
    <row r="736">
      <c r="A736" s="187"/>
      <c r="B736" s="187"/>
      <c r="C736" s="187"/>
      <c r="D736" s="187"/>
      <c r="E736" s="187"/>
      <c r="F736" s="187"/>
      <c r="G736" s="187"/>
      <c r="H736" s="187"/>
      <c r="I736" s="187"/>
      <c r="J736" s="187"/>
      <c r="K736" s="187"/>
      <c r="L736" s="187"/>
      <c r="M736" s="192"/>
      <c r="N736" s="187"/>
      <c r="O736" s="187"/>
      <c r="P736" s="187"/>
      <c r="Q736" s="187"/>
      <c r="R736" s="187"/>
      <c r="S736" s="187"/>
      <c r="T736" s="187"/>
      <c r="U736" s="187"/>
      <c r="V736" s="187"/>
      <c r="W736" s="187"/>
      <c r="X736" s="187"/>
      <c r="Y736" s="187"/>
      <c r="Z736" s="187"/>
      <c r="AA736" s="187"/>
      <c r="AB736" s="187"/>
      <c r="AC736" s="187"/>
      <c r="AD736" s="187"/>
      <c r="AE736" s="187"/>
      <c r="AF736" s="187"/>
      <c r="AG736" s="187"/>
      <c r="AH736" s="187"/>
      <c r="AI736" s="187"/>
    </row>
    <row r="737">
      <c r="A737" s="187"/>
      <c r="B737" s="187"/>
      <c r="C737" s="187"/>
      <c r="D737" s="187"/>
      <c r="E737" s="187"/>
      <c r="F737" s="187"/>
      <c r="G737" s="187"/>
      <c r="H737" s="187"/>
      <c r="I737" s="187"/>
      <c r="J737" s="187"/>
      <c r="K737" s="187"/>
      <c r="L737" s="187"/>
      <c r="M737" s="192"/>
      <c r="N737" s="187"/>
      <c r="O737" s="187"/>
      <c r="P737" s="187"/>
      <c r="Q737" s="187"/>
      <c r="R737" s="187"/>
      <c r="S737" s="187"/>
      <c r="T737" s="187"/>
      <c r="U737" s="187"/>
      <c r="V737" s="187"/>
      <c r="W737" s="187"/>
      <c r="X737" s="187"/>
      <c r="Y737" s="187"/>
      <c r="Z737" s="187"/>
      <c r="AA737" s="187"/>
      <c r="AB737" s="187"/>
      <c r="AC737" s="187"/>
      <c r="AD737" s="187"/>
      <c r="AE737" s="187"/>
      <c r="AF737" s="187"/>
      <c r="AG737" s="187"/>
      <c r="AH737" s="187"/>
      <c r="AI737" s="187"/>
    </row>
    <row r="738">
      <c r="A738" s="187"/>
      <c r="B738" s="187"/>
      <c r="C738" s="187"/>
      <c r="D738" s="187"/>
      <c r="E738" s="187"/>
      <c r="F738" s="187"/>
      <c r="G738" s="187"/>
      <c r="H738" s="187"/>
      <c r="I738" s="187"/>
      <c r="J738" s="187"/>
      <c r="K738" s="187"/>
      <c r="L738" s="187"/>
      <c r="M738" s="192"/>
      <c r="N738" s="187"/>
      <c r="O738" s="187"/>
      <c r="P738" s="187"/>
      <c r="Q738" s="187"/>
      <c r="R738" s="187"/>
      <c r="S738" s="187"/>
      <c r="T738" s="187"/>
      <c r="U738" s="187"/>
      <c r="V738" s="187"/>
      <c r="W738" s="187"/>
      <c r="X738" s="187"/>
      <c r="Y738" s="187"/>
      <c r="Z738" s="187"/>
      <c r="AA738" s="187"/>
      <c r="AB738" s="187"/>
      <c r="AC738" s="187"/>
      <c r="AD738" s="187"/>
      <c r="AE738" s="187"/>
      <c r="AF738" s="187"/>
      <c r="AG738" s="187"/>
      <c r="AH738" s="187"/>
      <c r="AI738" s="187"/>
    </row>
    <row r="739">
      <c r="A739" s="187"/>
      <c r="B739" s="187"/>
      <c r="C739" s="187"/>
      <c r="D739" s="187"/>
      <c r="E739" s="187"/>
      <c r="F739" s="187"/>
      <c r="G739" s="187"/>
      <c r="H739" s="187"/>
      <c r="I739" s="187"/>
      <c r="J739" s="187"/>
      <c r="K739" s="187"/>
      <c r="L739" s="187"/>
      <c r="M739" s="192"/>
      <c r="N739" s="187"/>
      <c r="O739" s="187"/>
      <c r="P739" s="187"/>
      <c r="Q739" s="187"/>
      <c r="R739" s="187"/>
      <c r="S739" s="187"/>
      <c r="T739" s="187"/>
      <c r="U739" s="187"/>
      <c r="V739" s="187"/>
      <c r="W739" s="187"/>
      <c r="X739" s="187"/>
      <c r="Y739" s="187"/>
      <c r="Z739" s="187"/>
      <c r="AA739" s="187"/>
      <c r="AB739" s="187"/>
      <c r="AC739" s="187"/>
      <c r="AD739" s="187"/>
      <c r="AE739" s="187"/>
      <c r="AF739" s="187"/>
      <c r="AG739" s="187"/>
      <c r="AH739" s="187"/>
      <c r="AI739" s="187"/>
    </row>
    <row r="740">
      <c r="A740" s="187"/>
      <c r="B740" s="187"/>
      <c r="C740" s="187"/>
      <c r="D740" s="187"/>
      <c r="E740" s="187"/>
      <c r="F740" s="187"/>
      <c r="G740" s="187"/>
      <c r="H740" s="187"/>
      <c r="I740" s="187"/>
      <c r="J740" s="187"/>
      <c r="K740" s="187"/>
      <c r="L740" s="187"/>
      <c r="M740" s="192"/>
      <c r="N740" s="187"/>
      <c r="O740" s="187"/>
      <c r="P740" s="187"/>
      <c r="Q740" s="187"/>
      <c r="R740" s="187"/>
      <c r="S740" s="187"/>
      <c r="T740" s="187"/>
      <c r="U740" s="187"/>
      <c r="V740" s="187"/>
      <c r="W740" s="187"/>
      <c r="X740" s="187"/>
      <c r="Y740" s="187"/>
      <c r="Z740" s="187"/>
      <c r="AA740" s="187"/>
      <c r="AB740" s="187"/>
      <c r="AC740" s="187"/>
      <c r="AD740" s="187"/>
      <c r="AE740" s="187"/>
      <c r="AF740" s="187"/>
      <c r="AG740" s="187"/>
      <c r="AH740" s="187"/>
      <c r="AI740" s="187"/>
    </row>
    <row r="741">
      <c r="A741" s="187"/>
      <c r="B741" s="187"/>
      <c r="C741" s="187"/>
      <c r="D741" s="187"/>
      <c r="E741" s="187"/>
      <c r="F741" s="187"/>
      <c r="G741" s="187"/>
      <c r="H741" s="187"/>
      <c r="I741" s="187"/>
      <c r="J741" s="187"/>
      <c r="K741" s="187"/>
      <c r="L741" s="187"/>
      <c r="M741" s="192"/>
      <c r="N741" s="187"/>
      <c r="O741" s="187"/>
      <c r="P741" s="187"/>
      <c r="Q741" s="187"/>
      <c r="R741" s="187"/>
      <c r="S741" s="187"/>
      <c r="T741" s="187"/>
      <c r="U741" s="187"/>
      <c r="V741" s="187"/>
      <c r="W741" s="187"/>
      <c r="X741" s="187"/>
      <c r="Y741" s="187"/>
      <c r="Z741" s="187"/>
      <c r="AA741" s="187"/>
      <c r="AB741" s="187"/>
      <c r="AC741" s="187"/>
      <c r="AD741" s="187"/>
      <c r="AE741" s="187"/>
      <c r="AF741" s="187"/>
      <c r="AG741" s="187"/>
      <c r="AH741" s="187"/>
      <c r="AI741" s="187"/>
    </row>
    <row r="742">
      <c r="A742" s="187"/>
      <c r="B742" s="187"/>
      <c r="C742" s="187"/>
      <c r="D742" s="187"/>
      <c r="E742" s="187"/>
      <c r="F742" s="187"/>
      <c r="G742" s="187"/>
      <c r="H742" s="187"/>
      <c r="I742" s="187"/>
      <c r="J742" s="187"/>
      <c r="K742" s="187"/>
      <c r="L742" s="187"/>
      <c r="M742" s="192"/>
      <c r="N742" s="187"/>
      <c r="O742" s="187"/>
      <c r="P742" s="187"/>
      <c r="Q742" s="187"/>
      <c r="R742" s="187"/>
      <c r="S742" s="187"/>
      <c r="T742" s="187"/>
      <c r="U742" s="187"/>
      <c r="V742" s="187"/>
      <c r="W742" s="187"/>
      <c r="X742" s="187"/>
      <c r="Y742" s="187"/>
      <c r="Z742" s="187"/>
      <c r="AA742" s="187"/>
      <c r="AB742" s="187"/>
      <c r="AC742" s="187"/>
      <c r="AD742" s="187"/>
      <c r="AE742" s="187"/>
      <c r="AF742" s="187"/>
      <c r="AG742" s="187"/>
      <c r="AH742" s="187"/>
      <c r="AI742" s="187"/>
    </row>
    <row r="743">
      <c r="A743" s="187"/>
      <c r="B743" s="187"/>
      <c r="C743" s="187"/>
      <c r="D743" s="187"/>
      <c r="E743" s="187"/>
      <c r="F743" s="187"/>
      <c r="G743" s="187"/>
      <c r="H743" s="187"/>
      <c r="I743" s="187"/>
      <c r="J743" s="187"/>
      <c r="K743" s="187"/>
      <c r="L743" s="187"/>
      <c r="M743" s="192"/>
      <c r="N743" s="187"/>
      <c r="O743" s="187"/>
      <c r="P743" s="187"/>
      <c r="Q743" s="187"/>
      <c r="R743" s="187"/>
      <c r="S743" s="187"/>
      <c r="T743" s="187"/>
      <c r="U743" s="187"/>
      <c r="V743" s="187"/>
      <c r="W743" s="187"/>
      <c r="X743" s="187"/>
      <c r="Y743" s="187"/>
      <c r="Z743" s="187"/>
      <c r="AA743" s="187"/>
      <c r="AB743" s="187"/>
      <c r="AC743" s="187"/>
      <c r="AD743" s="187"/>
      <c r="AE743" s="187"/>
      <c r="AF743" s="187"/>
      <c r="AG743" s="187"/>
      <c r="AH743" s="187"/>
      <c r="AI743" s="187"/>
    </row>
    <row r="744">
      <c r="A744" s="187"/>
      <c r="B744" s="187"/>
      <c r="C744" s="187"/>
      <c r="D744" s="187"/>
      <c r="E744" s="187"/>
      <c r="F744" s="187"/>
      <c r="G744" s="187"/>
      <c r="H744" s="187"/>
      <c r="I744" s="187"/>
      <c r="J744" s="187"/>
      <c r="K744" s="187"/>
      <c r="L744" s="187"/>
      <c r="M744" s="192"/>
      <c r="N744" s="187"/>
      <c r="O744" s="187"/>
      <c r="P744" s="187"/>
      <c r="Q744" s="187"/>
      <c r="R744" s="187"/>
      <c r="S744" s="187"/>
      <c r="T744" s="187"/>
      <c r="U744" s="187"/>
      <c r="V744" s="187"/>
      <c r="W744" s="187"/>
      <c r="X744" s="187"/>
      <c r="Y744" s="187"/>
      <c r="Z744" s="187"/>
      <c r="AA744" s="187"/>
      <c r="AB744" s="187"/>
      <c r="AC744" s="187"/>
      <c r="AD744" s="187"/>
      <c r="AE744" s="187"/>
      <c r="AF744" s="187"/>
      <c r="AG744" s="187"/>
      <c r="AH744" s="187"/>
      <c r="AI744" s="187"/>
    </row>
    <row r="745">
      <c r="A745" s="187"/>
      <c r="B745" s="187"/>
      <c r="C745" s="187"/>
      <c r="D745" s="187"/>
      <c r="E745" s="187"/>
      <c r="F745" s="187"/>
      <c r="G745" s="187"/>
      <c r="H745" s="187"/>
      <c r="I745" s="187"/>
      <c r="J745" s="187"/>
      <c r="K745" s="187"/>
      <c r="L745" s="187"/>
      <c r="M745" s="192"/>
      <c r="N745" s="187"/>
      <c r="O745" s="187"/>
      <c r="P745" s="187"/>
      <c r="Q745" s="187"/>
      <c r="R745" s="187"/>
      <c r="S745" s="187"/>
      <c r="T745" s="187"/>
      <c r="U745" s="187"/>
      <c r="V745" s="187"/>
      <c r="W745" s="187"/>
      <c r="X745" s="187"/>
      <c r="Y745" s="187"/>
      <c r="Z745" s="187"/>
      <c r="AA745" s="187"/>
      <c r="AB745" s="187"/>
      <c r="AC745" s="187"/>
      <c r="AD745" s="187"/>
      <c r="AE745" s="187"/>
      <c r="AF745" s="187"/>
      <c r="AG745" s="187"/>
      <c r="AH745" s="187"/>
      <c r="AI745" s="187"/>
    </row>
    <row r="746">
      <c r="A746" s="187"/>
      <c r="B746" s="187"/>
      <c r="C746" s="187"/>
      <c r="D746" s="187"/>
      <c r="E746" s="187"/>
      <c r="F746" s="187"/>
      <c r="G746" s="187"/>
      <c r="H746" s="187"/>
      <c r="I746" s="187"/>
      <c r="J746" s="187"/>
      <c r="K746" s="187"/>
      <c r="L746" s="187"/>
      <c r="M746" s="192"/>
      <c r="N746" s="187"/>
      <c r="O746" s="187"/>
      <c r="P746" s="187"/>
      <c r="Q746" s="187"/>
      <c r="R746" s="187"/>
      <c r="S746" s="187"/>
      <c r="T746" s="187"/>
      <c r="U746" s="187"/>
      <c r="V746" s="187"/>
      <c r="W746" s="187"/>
      <c r="X746" s="187"/>
      <c r="Y746" s="187"/>
      <c r="Z746" s="187"/>
      <c r="AA746" s="187"/>
      <c r="AB746" s="187"/>
      <c r="AC746" s="187"/>
      <c r="AD746" s="187"/>
      <c r="AE746" s="187"/>
      <c r="AF746" s="187"/>
      <c r="AG746" s="187"/>
      <c r="AH746" s="187"/>
      <c r="AI746" s="187"/>
    </row>
    <row r="747">
      <c r="A747" s="187"/>
      <c r="B747" s="187"/>
      <c r="C747" s="187"/>
      <c r="D747" s="187"/>
      <c r="E747" s="187"/>
      <c r="F747" s="187"/>
      <c r="G747" s="187"/>
      <c r="H747" s="187"/>
      <c r="I747" s="187"/>
      <c r="J747" s="187"/>
      <c r="K747" s="187"/>
      <c r="L747" s="187"/>
      <c r="M747" s="192"/>
      <c r="N747" s="187"/>
      <c r="O747" s="187"/>
      <c r="P747" s="187"/>
      <c r="Q747" s="187"/>
      <c r="R747" s="187"/>
      <c r="S747" s="187"/>
      <c r="T747" s="187"/>
      <c r="U747" s="187"/>
      <c r="V747" s="187"/>
      <c r="W747" s="187"/>
      <c r="X747" s="187"/>
      <c r="Y747" s="187"/>
      <c r="Z747" s="187"/>
      <c r="AA747" s="187"/>
      <c r="AB747" s="187"/>
      <c r="AC747" s="187"/>
      <c r="AD747" s="187"/>
      <c r="AE747" s="187"/>
      <c r="AF747" s="187"/>
      <c r="AG747" s="187"/>
      <c r="AH747" s="187"/>
      <c r="AI747" s="187"/>
    </row>
    <row r="748">
      <c r="A748" s="187"/>
      <c r="B748" s="187"/>
      <c r="C748" s="187"/>
      <c r="D748" s="187"/>
      <c r="E748" s="187"/>
      <c r="F748" s="187"/>
      <c r="G748" s="187"/>
      <c r="H748" s="187"/>
      <c r="I748" s="187"/>
      <c r="J748" s="187"/>
      <c r="K748" s="187"/>
      <c r="L748" s="187"/>
      <c r="M748" s="192"/>
      <c r="N748" s="187"/>
      <c r="O748" s="187"/>
      <c r="P748" s="187"/>
      <c r="Q748" s="187"/>
      <c r="R748" s="187"/>
      <c r="S748" s="187"/>
      <c r="T748" s="187"/>
      <c r="U748" s="187"/>
      <c r="V748" s="187"/>
      <c r="W748" s="187"/>
      <c r="X748" s="187"/>
      <c r="Y748" s="187"/>
      <c r="Z748" s="187"/>
      <c r="AA748" s="187"/>
      <c r="AB748" s="187"/>
      <c r="AC748" s="187"/>
      <c r="AD748" s="187"/>
      <c r="AE748" s="187"/>
      <c r="AF748" s="187"/>
      <c r="AG748" s="187"/>
      <c r="AH748" s="187"/>
      <c r="AI748" s="187"/>
    </row>
    <row r="749">
      <c r="A749" s="187"/>
      <c r="B749" s="187"/>
      <c r="C749" s="187"/>
      <c r="D749" s="187"/>
      <c r="E749" s="187"/>
      <c r="F749" s="187"/>
      <c r="G749" s="187"/>
      <c r="H749" s="187"/>
      <c r="I749" s="187"/>
      <c r="J749" s="187"/>
      <c r="K749" s="187"/>
      <c r="L749" s="187"/>
      <c r="M749" s="192"/>
      <c r="N749" s="187"/>
      <c r="O749" s="187"/>
      <c r="P749" s="187"/>
      <c r="Q749" s="187"/>
      <c r="R749" s="187"/>
      <c r="S749" s="187"/>
      <c r="T749" s="187"/>
      <c r="U749" s="187"/>
      <c r="V749" s="187"/>
      <c r="W749" s="187"/>
      <c r="X749" s="187"/>
      <c r="Y749" s="187"/>
      <c r="Z749" s="187"/>
      <c r="AA749" s="187"/>
      <c r="AB749" s="187"/>
      <c r="AC749" s="187"/>
      <c r="AD749" s="187"/>
      <c r="AE749" s="187"/>
      <c r="AF749" s="187"/>
      <c r="AG749" s="187"/>
      <c r="AH749" s="187"/>
      <c r="AI749" s="187"/>
    </row>
    <row r="750">
      <c r="A750" s="187"/>
      <c r="B750" s="187"/>
      <c r="C750" s="187"/>
      <c r="D750" s="187"/>
      <c r="E750" s="187"/>
      <c r="F750" s="187"/>
      <c r="G750" s="187"/>
      <c r="H750" s="187"/>
      <c r="I750" s="187"/>
      <c r="J750" s="187"/>
      <c r="K750" s="187"/>
      <c r="L750" s="187"/>
      <c r="M750" s="192"/>
      <c r="N750" s="187"/>
      <c r="O750" s="187"/>
      <c r="P750" s="187"/>
      <c r="Q750" s="187"/>
      <c r="R750" s="187"/>
      <c r="S750" s="187"/>
      <c r="T750" s="187"/>
      <c r="U750" s="187"/>
      <c r="V750" s="187"/>
      <c r="W750" s="187"/>
      <c r="X750" s="187"/>
      <c r="Y750" s="187"/>
      <c r="Z750" s="187"/>
      <c r="AA750" s="187"/>
      <c r="AB750" s="187"/>
      <c r="AC750" s="187"/>
      <c r="AD750" s="187"/>
      <c r="AE750" s="187"/>
      <c r="AF750" s="187"/>
      <c r="AG750" s="187"/>
      <c r="AH750" s="187"/>
      <c r="AI750" s="187"/>
    </row>
    <row r="751">
      <c r="A751" s="187"/>
      <c r="B751" s="187"/>
      <c r="C751" s="187"/>
      <c r="D751" s="187"/>
      <c r="E751" s="187"/>
      <c r="F751" s="187"/>
      <c r="G751" s="187"/>
      <c r="H751" s="187"/>
      <c r="I751" s="187"/>
      <c r="J751" s="187"/>
      <c r="K751" s="187"/>
      <c r="L751" s="187"/>
      <c r="M751" s="192"/>
      <c r="N751" s="187"/>
      <c r="O751" s="187"/>
      <c r="P751" s="187"/>
      <c r="Q751" s="187"/>
      <c r="R751" s="187"/>
      <c r="S751" s="187"/>
      <c r="T751" s="187"/>
      <c r="U751" s="187"/>
      <c r="V751" s="187"/>
      <c r="W751" s="187"/>
      <c r="X751" s="187"/>
      <c r="Y751" s="187"/>
      <c r="Z751" s="187"/>
      <c r="AA751" s="187"/>
      <c r="AB751" s="187"/>
      <c r="AC751" s="187"/>
      <c r="AD751" s="187"/>
      <c r="AE751" s="187"/>
      <c r="AF751" s="187"/>
      <c r="AG751" s="187"/>
      <c r="AH751" s="187"/>
      <c r="AI751" s="187"/>
    </row>
    <row r="752">
      <c r="A752" s="187"/>
      <c r="B752" s="187"/>
      <c r="C752" s="187"/>
      <c r="D752" s="187"/>
      <c r="E752" s="187"/>
      <c r="F752" s="187"/>
      <c r="G752" s="187"/>
      <c r="H752" s="187"/>
      <c r="I752" s="187"/>
      <c r="J752" s="187"/>
      <c r="K752" s="187"/>
      <c r="L752" s="187"/>
      <c r="M752" s="192"/>
      <c r="N752" s="187"/>
      <c r="O752" s="187"/>
      <c r="P752" s="187"/>
      <c r="Q752" s="187"/>
      <c r="R752" s="187"/>
      <c r="S752" s="187"/>
      <c r="T752" s="187"/>
      <c r="U752" s="187"/>
      <c r="V752" s="187"/>
      <c r="W752" s="187"/>
      <c r="X752" s="187"/>
      <c r="Y752" s="187"/>
      <c r="Z752" s="187"/>
      <c r="AA752" s="187"/>
      <c r="AB752" s="187"/>
      <c r="AC752" s="187"/>
      <c r="AD752" s="187"/>
      <c r="AE752" s="187"/>
      <c r="AF752" s="187"/>
      <c r="AG752" s="187"/>
      <c r="AH752" s="187"/>
      <c r="AI752" s="187"/>
    </row>
    <row r="753">
      <c r="A753" s="187"/>
      <c r="B753" s="187"/>
      <c r="C753" s="187"/>
      <c r="D753" s="187"/>
      <c r="E753" s="187"/>
      <c r="F753" s="187"/>
      <c r="G753" s="187"/>
      <c r="H753" s="187"/>
      <c r="I753" s="187"/>
      <c r="J753" s="187"/>
      <c r="K753" s="187"/>
      <c r="L753" s="187"/>
      <c r="M753" s="192"/>
      <c r="N753" s="187"/>
      <c r="O753" s="187"/>
      <c r="P753" s="187"/>
      <c r="Q753" s="187"/>
      <c r="R753" s="187"/>
      <c r="S753" s="187"/>
      <c r="T753" s="187"/>
      <c r="U753" s="187"/>
      <c r="V753" s="187"/>
      <c r="W753" s="187"/>
      <c r="X753" s="187"/>
      <c r="Y753" s="187"/>
      <c r="Z753" s="187"/>
      <c r="AA753" s="187"/>
      <c r="AB753" s="187"/>
      <c r="AC753" s="187"/>
      <c r="AD753" s="187"/>
      <c r="AE753" s="187"/>
      <c r="AF753" s="187"/>
      <c r="AG753" s="187"/>
      <c r="AH753" s="187"/>
      <c r="AI753" s="187"/>
    </row>
    <row r="754">
      <c r="A754" s="187"/>
      <c r="B754" s="187"/>
      <c r="C754" s="187"/>
      <c r="D754" s="187"/>
      <c r="E754" s="187"/>
      <c r="F754" s="187"/>
      <c r="G754" s="187"/>
      <c r="H754" s="187"/>
      <c r="I754" s="187"/>
      <c r="J754" s="187"/>
      <c r="K754" s="187"/>
      <c r="L754" s="187"/>
      <c r="M754" s="192"/>
      <c r="N754" s="187"/>
      <c r="O754" s="187"/>
      <c r="P754" s="187"/>
      <c r="Q754" s="187"/>
      <c r="R754" s="187"/>
      <c r="S754" s="187"/>
      <c r="T754" s="187"/>
      <c r="U754" s="187"/>
      <c r="V754" s="187"/>
      <c r="W754" s="187"/>
      <c r="X754" s="187"/>
      <c r="Y754" s="187"/>
      <c r="Z754" s="187"/>
      <c r="AA754" s="187"/>
      <c r="AB754" s="187"/>
      <c r="AC754" s="187"/>
      <c r="AD754" s="187"/>
      <c r="AE754" s="187"/>
      <c r="AF754" s="187"/>
      <c r="AG754" s="187"/>
      <c r="AH754" s="187"/>
      <c r="AI754" s="187"/>
    </row>
    <row r="755">
      <c r="A755" s="187"/>
      <c r="B755" s="187"/>
      <c r="C755" s="187"/>
      <c r="D755" s="187"/>
      <c r="E755" s="187"/>
      <c r="F755" s="187"/>
      <c r="G755" s="187"/>
      <c r="H755" s="187"/>
      <c r="I755" s="187"/>
      <c r="J755" s="187"/>
      <c r="K755" s="187"/>
      <c r="L755" s="187"/>
      <c r="M755" s="192"/>
      <c r="N755" s="187"/>
      <c r="O755" s="187"/>
      <c r="P755" s="187"/>
      <c r="Q755" s="187"/>
      <c r="R755" s="187"/>
      <c r="S755" s="187"/>
      <c r="T755" s="187"/>
      <c r="U755" s="187"/>
      <c r="V755" s="187"/>
      <c r="W755" s="187"/>
      <c r="X755" s="187"/>
      <c r="Y755" s="187"/>
      <c r="Z755" s="187"/>
      <c r="AA755" s="187"/>
      <c r="AB755" s="187"/>
      <c r="AC755" s="187"/>
      <c r="AD755" s="187"/>
      <c r="AE755" s="187"/>
      <c r="AF755" s="187"/>
      <c r="AG755" s="187"/>
      <c r="AH755" s="187"/>
      <c r="AI755" s="187"/>
    </row>
    <row r="756">
      <c r="A756" s="187"/>
      <c r="B756" s="187"/>
      <c r="C756" s="187"/>
      <c r="D756" s="187"/>
      <c r="E756" s="187"/>
      <c r="F756" s="187"/>
      <c r="G756" s="187"/>
      <c r="H756" s="187"/>
      <c r="I756" s="187"/>
      <c r="J756" s="187"/>
      <c r="K756" s="187"/>
      <c r="L756" s="187"/>
      <c r="M756" s="192"/>
      <c r="N756" s="187"/>
      <c r="O756" s="187"/>
      <c r="P756" s="187"/>
      <c r="Q756" s="187"/>
      <c r="R756" s="187"/>
      <c r="S756" s="187"/>
      <c r="T756" s="187"/>
      <c r="U756" s="187"/>
      <c r="V756" s="187"/>
      <c r="W756" s="187"/>
      <c r="X756" s="187"/>
      <c r="Y756" s="187"/>
      <c r="Z756" s="187"/>
      <c r="AA756" s="187"/>
      <c r="AB756" s="187"/>
      <c r="AC756" s="187"/>
      <c r="AD756" s="187"/>
      <c r="AE756" s="187"/>
      <c r="AF756" s="187"/>
      <c r="AG756" s="187"/>
      <c r="AH756" s="187"/>
      <c r="AI756" s="187"/>
    </row>
    <row r="757">
      <c r="A757" s="187"/>
      <c r="B757" s="187"/>
      <c r="C757" s="187"/>
      <c r="D757" s="187"/>
      <c r="E757" s="187"/>
      <c r="F757" s="187"/>
      <c r="G757" s="187"/>
      <c r="H757" s="187"/>
      <c r="I757" s="187"/>
      <c r="J757" s="187"/>
      <c r="K757" s="187"/>
      <c r="L757" s="187"/>
      <c r="M757" s="192"/>
      <c r="N757" s="187"/>
      <c r="O757" s="187"/>
      <c r="P757" s="187"/>
      <c r="Q757" s="187"/>
      <c r="R757" s="187"/>
      <c r="S757" s="187"/>
      <c r="T757" s="187"/>
      <c r="U757" s="187"/>
      <c r="V757" s="187"/>
      <c r="W757" s="187"/>
      <c r="X757" s="187"/>
      <c r="Y757" s="187"/>
      <c r="Z757" s="187"/>
      <c r="AA757" s="187"/>
      <c r="AB757" s="187"/>
      <c r="AC757" s="187"/>
      <c r="AD757" s="187"/>
      <c r="AE757" s="187"/>
      <c r="AF757" s="187"/>
      <c r="AG757" s="187"/>
      <c r="AH757" s="187"/>
      <c r="AI757" s="187"/>
    </row>
    <row r="758">
      <c r="A758" s="187"/>
      <c r="B758" s="187"/>
      <c r="C758" s="187"/>
      <c r="D758" s="187"/>
      <c r="E758" s="187"/>
      <c r="F758" s="187"/>
      <c r="G758" s="187"/>
      <c r="H758" s="187"/>
      <c r="I758" s="187"/>
      <c r="J758" s="187"/>
      <c r="K758" s="187"/>
      <c r="L758" s="187"/>
      <c r="M758" s="192"/>
      <c r="N758" s="187"/>
      <c r="O758" s="187"/>
      <c r="P758" s="187"/>
      <c r="Q758" s="187"/>
      <c r="R758" s="187"/>
      <c r="S758" s="187"/>
      <c r="T758" s="187"/>
      <c r="U758" s="187"/>
      <c r="V758" s="187"/>
      <c r="W758" s="187"/>
      <c r="X758" s="187"/>
      <c r="Y758" s="187"/>
      <c r="Z758" s="187"/>
      <c r="AA758" s="187"/>
      <c r="AB758" s="187"/>
      <c r="AC758" s="187"/>
      <c r="AD758" s="187"/>
      <c r="AE758" s="187"/>
      <c r="AF758" s="187"/>
      <c r="AG758" s="187"/>
      <c r="AH758" s="187"/>
      <c r="AI758" s="187"/>
    </row>
    <row r="759">
      <c r="A759" s="187"/>
      <c r="B759" s="187"/>
      <c r="C759" s="187"/>
      <c r="D759" s="187"/>
      <c r="E759" s="187"/>
      <c r="F759" s="187"/>
      <c r="G759" s="187"/>
      <c r="H759" s="187"/>
      <c r="I759" s="187"/>
      <c r="J759" s="187"/>
      <c r="K759" s="187"/>
      <c r="L759" s="187"/>
      <c r="M759" s="192"/>
      <c r="N759" s="187"/>
      <c r="O759" s="187"/>
      <c r="P759" s="187"/>
      <c r="Q759" s="187"/>
      <c r="R759" s="187"/>
      <c r="S759" s="187"/>
      <c r="T759" s="187"/>
      <c r="U759" s="187"/>
      <c r="V759" s="187"/>
      <c r="W759" s="187"/>
      <c r="X759" s="187"/>
      <c r="Y759" s="187"/>
      <c r="Z759" s="187"/>
      <c r="AA759" s="187"/>
      <c r="AB759" s="187"/>
      <c r="AC759" s="187"/>
      <c r="AD759" s="187"/>
      <c r="AE759" s="187"/>
      <c r="AF759" s="187"/>
      <c r="AG759" s="187"/>
      <c r="AH759" s="187"/>
      <c r="AI759" s="187"/>
    </row>
    <row r="760">
      <c r="A760" s="187"/>
      <c r="B760" s="187"/>
      <c r="C760" s="187"/>
      <c r="D760" s="187"/>
      <c r="E760" s="187"/>
      <c r="F760" s="187"/>
      <c r="G760" s="187"/>
      <c r="H760" s="187"/>
      <c r="I760" s="187"/>
      <c r="J760" s="187"/>
      <c r="K760" s="187"/>
      <c r="L760" s="187"/>
      <c r="M760" s="192"/>
      <c r="N760" s="187"/>
      <c r="O760" s="187"/>
      <c r="P760" s="187"/>
      <c r="Q760" s="187"/>
      <c r="R760" s="187"/>
      <c r="S760" s="187"/>
      <c r="T760" s="187"/>
      <c r="U760" s="187"/>
      <c r="V760" s="187"/>
      <c r="W760" s="187"/>
      <c r="X760" s="187"/>
      <c r="Y760" s="187"/>
      <c r="Z760" s="187"/>
      <c r="AA760" s="187"/>
      <c r="AB760" s="187"/>
      <c r="AC760" s="187"/>
      <c r="AD760" s="187"/>
      <c r="AE760" s="187"/>
      <c r="AF760" s="187"/>
      <c r="AG760" s="187"/>
      <c r="AH760" s="187"/>
      <c r="AI760" s="187"/>
    </row>
    <row r="761">
      <c r="A761" s="187"/>
      <c r="B761" s="187"/>
      <c r="C761" s="187"/>
      <c r="D761" s="187"/>
      <c r="E761" s="187"/>
      <c r="F761" s="187"/>
      <c r="G761" s="187"/>
      <c r="H761" s="187"/>
      <c r="I761" s="187"/>
      <c r="J761" s="187"/>
      <c r="K761" s="187"/>
      <c r="L761" s="187"/>
      <c r="M761" s="192"/>
      <c r="N761" s="187"/>
      <c r="O761" s="187"/>
      <c r="P761" s="187"/>
      <c r="Q761" s="187"/>
      <c r="R761" s="187"/>
      <c r="S761" s="187"/>
      <c r="T761" s="187"/>
      <c r="U761" s="187"/>
      <c r="V761" s="187"/>
      <c r="W761" s="187"/>
      <c r="X761" s="187"/>
      <c r="Y761" s="187"/>
      <c r="Z761" s="187"/>
      <c r="AA761" s="187"/>
      <c r="AB761" s="187"/>
      <c r="AC761" s="187"/>
      <c r="AD761" s="187"/>
      <c r="AE761" s="187"/>
      <c r="AF761" s="187"/>
      <c r="AG761" s="187"/>
      <c r="AH761" s="187"/>
      <c r="AI761" s="187"/>
    </row>
    <row r="762">
      <c r="A762" s="187"/>
      <c r="B762" s="187"/>
      <c r="C762" s="187"/>
      <c r="D762" s="187"/>
      <c r="E762" s="187"/>
      <c r="F762" s="187"/>
      <c r="G762" s="187"/>
      <c r="H762" s="187"/>
      <c r="I762" s="187"/>
      <c r="J762" s="187"/>
      <c r="K762" s="187"/>
      <c r="L762" s="187"/>
      <c r="M762" s="192"/>
      <c r="N762" s="187"/>
      <c r="O762" s="187"/>
      <c r="P762" s="187"/>
      <c r="Q762" s="187"/>
      <c r="R762" s="187"/>
      <c r="S762" s="187"/>
      <c r="T762" s="187"/>
      <c r="U762" s="187"/>
      <c r="V762" s="187"/>
      <c r="W762" s="187"/>
      <c r="X762" s="187"/>
      <c r="Y762" s="187"/>
      <c r="Z762" s="187"/>
      <c r="AA762" s="187"/>
      <c r="AB762" s="187"/>
      <c r="AC762" s="187"/>
      <c r="AD762" s="187"/>
      <c r="AE762" s="187"/>
      <c r="AF762" s="187"/>
      <c r="AG762" s="187"/>
      <c r="AH762" s="187"/>
      <c r="AI762" s="187"/>
    </row>
    <row r="763">
      <c r="A763" s="187"/>
      <c r="B763" s="187"/>
      <c r="C763" s="187"/>
      <c r="D763" s="187"/>
      <c r="E763" s="187"/>
      <c r="F763" s="187"/>
      <c r="G763" s="187"/>
      <c r="H763" s="187"/>
      <c r="I763" s="187"/>
      <c r="J763" s="187"/>
      <c r="K763" s="187"/>
      <c r="L763" s="187"/>
      <c r="M763" s="192"/>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row>
    <row r="764">
      <c r="A764" s="187"/>
      <c r="B764" s="187"/>
      <c r="C764" s="187"/>
      <c r="D764" s="187"/>
      <c r="E764" s="187"/>
      <c r="F764" s="187"/>
      <c r="G764" s="187"/>
      <c r="H764" s="187"/>
      <c r="I764" s="187"/>
      <c r="J764" s="187"/>
      <c r="K764" s="187"/>
      <c r="L764" s="187"/>
      <c r="M764" s="192"/>
      <c r="N764" s="187"/>
      <c r="O764" s="187"/>
      <c r="P764" s="187"/>
      <c r="Q764" s="187"/>
      <c r="R764" s="187"/>
      <c r="S764" s="187"/>
      <c r="T764" s="187"/>
      <c r="U764" s="187"/>
      <c r="V764" s="187"/>
      <c r="W764" s="187"/>
      <c r="X764" s="187"/>
      <c r="Y764" s="187"/>
      <c r="Z764" s="187"/>
      <c r="AA764" s="187"/>
      <c r="AB764" s="187"/>
      <c r="AC764" s="187"/>
      <c r="AD764" s="187"/>
      <c r="AE764" s="187"/>
      <c r="AF764" s="187"/>
      <c r="AG764" s="187"/>
      <c r="AH764" s="187"/>
      <c r="AI764" s="187"/>
    </row>
    <row r="765">
      <c r="A765" s="187"/>
      <c r="B765" s="187"/>
      <c r="C765" s="187"/>
      <c r="D765" s="187"/>
      <c r="E765" s="187"/>
      <c r="F765" s="187"/>
      <c r="G765" s="187"/>
      <c r="H765" s="187"/>
      <c r="I765" s="187"/>
      <c r="J765" s="187"/>
      <c r="K765" s="187"/>
      <c r="L765" s="187"/>
      <c r="M765" s="192"/>
      <c r="N765" s="187"/>
      <c r="O765" s="187"/>
      <c r="P765" s="187"/>
      <c r="Q765" s="187"/>
      <c r="R765" s="187"/>
      <c r="S765" s="187"/>
      <c r="T765" s="187"/>
      <c r="U765" s="187"/>
      <c r="V765" s="187"/>
      <c r="W765" s="187"/>
      <c r="X765" s="187"/>
      <c r="Y765" s="187"/>
      <c r="Z765" s="187"/>
      <c r="AA765" s="187"/>
      <c r="AB765" s="187"/>
      <c r="AC765" s="187"/>
      <c r="AD765" s="187"/>
      <c r="AE765" s="187"/>
      <c r="AF765" s="187"/>
      <c r="AG765" s="187"/>
      <c r="AH765" s="187"/>
      <c r="AI765" s="187"/>
    </row>
    <row r="766">
      <c r="A766" s="187"/>
      <c r="B766" s="187"/>
      <c r="C766" s="187"/>
      <c r="D766" s="187"/>
      <c r="E766" s="187"/>
      <c r="F766" s="187"/>
      <c r="G766" s="187"/>
      <c r="H766" s="187"/>
      <c r="I766" s="187"/>
      <c r="J766" s="187"/>
      <c r="K766" s="187"/>
      <c r="L766" s="187"/>
      <c r="M766" s="192"/>
      <c r="N766" s="187"/>
      <c r="O766" s="187"/>
      <c r="P766" s="187"/>
      <c r="Q766" s="187"/>
      <c r="R766" s="187"/>
      <c r="S766" s="187"/>
      <c r="T766" s="187"/>
      <c r="U766" s="187"/>
      <c r="V766" s="187"/>
      <c r="W766" s="187"/>
      <c r="X766" s="187"/>
      <c r="Y766" s="187"/>
      <c r="Z766" s="187"/>
      <c r="AA766" s="187"/>
      <c r="AB766" s="187"/>
      <c r="AC766" s="187"/>
      <c r="AD766" s="187"/>
      <c r="AE766" s="187"/>
      <c r="AF766" s="187"/>
      <c r="AG766" s="187"/>
      <c r="AH766" s="187"/>
      <c r="AI766" s="187"/>
    </row>
    <row r="767">
      <c r="A767" s="187"/>
      <c r="B767" s="187"/>
      <c r="C767" s="187"/>
      <c r="D767" s="187"/>
      <c r="E767" s="187"/>
      <c r="F767" s="187"/>
      <c r="G767" s="187"/>
      <c r="H767" s="187"/>
      <c r="I767" s="187"/>
      <c r="J767" s="187"/>
      <c r="K767" s="187"/>
      <c r="L767" s="187"/>
      <c r="M767" s="192"/>
      <c r="N767" s="187"/>
      <c r="O767" s="187"/>
      <c r="P767" s="187"/>
      <c r="Q767" s="187"/>
      <c r="R767" s="187"/>
      <c r="S767" s="187"/>
      <c r="T767" s="187"/>
      <c r="U767" s="187"/>
      <c r="V767" s="187"/>
      <c r="W767" s="187"/>
      <c r="X767" s="187"/>
      <c r="Y767" s="187"/>
      <c r="Z767" s="187"/>
      <c r="AA767" s="187"/>
      <c r="AB767" s="187"/>
      <c r="AC767" s="187"/>
      <c r="AD767" s="187"/>
      <c r="AE767" s="187"/>
      <c r="AF767" s="187"/>
      <c r="AG767" s="187"/>
      <c r="AH767" s="187"/>
      <c r="AI767" s="187"/>
    </row>
    <row r="768">
      <c r="A768" s="187"/>
      <c r="B768" s="187"/>
      <c r="C768" s="187"/>
      <c r="D768" s="187"/>
      <c r="E768" s="187"/>
      <c r="F768" s="187"/>
      <c r="G768" s="187"/>
      <c r="H768" s="187"/>
      <c r="I768" s="187"/>
      <c r="J768" s="187"/>
      <c r="K768" s="187"/>
      <c r="L768" s="187"/>
      <c r="M768" s="192"/>
      <c r="N768" s="187"/>
      <c r="O768" s="187"/>
      <c r="P768" s="187"/>
      <c r="Q768" s="187"/>
      <c r="R768" s="187"/>
      <c r="S768" s="187"/>
      <c r="T768" s="187"/>
      <c r="U768" s="187"/>
      <c r="V768" s="187"/>
      <c r="W768" s="187"/>
      <c r="X768" s="187"/>
      <c r="Y768" s="187"/>
      <c r="Z768" s="187"/>
      <c r="AA768" s="187"/>
      <c r="AB768" s="187"/>
      <c r="AC768" s="187"/>
      <c r="AD768" s="187"/>
      <c r="AE768" s="187"/>
      <c r="AF768" s="187"/>
      <c r="AG768" s="187"/>
      <c r="AH768" s="187"/>
      <c r="AI768" s="187"/>
    </row>
    <row r="769">
      <c r="A769" s="187"/>
      <c r="B769" s="187"/>
      <c r="C769" s="187"/>
      <c r="D769" s="187"/>
      <c r="E769" s="187"/>
      <c r="F769" s="187"/>
      <c r="G769" s="187"/>
      <c r="H769" s="187"/>
      <c r="I769" s="187"/>
      <c r="J769" s="187"/>
      <c r="K769" s="187"/>
      <c r="L769" s="187"/>
      <c r="M769" s="192"/>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row>
    <row r="770">
      <c r="A770" s="187"/>
      <c r="B770" s="187"/>
      <c r="C770" s="187"/>
      <c r="D770" s="187"/>
      <c r="E770" s="187"/>
      <c r="F770" s="187"/>
      <c r="G770" s="187"/>
      <c r="H770" s="187"/>
      <c r="I770" s="187"/>
      <c r="J770" s="187"/>
      <c r="K770" s="187"/>
      <c r="L770" s="187"/>
      <c r="M770" s="192"/>
      <c r="N770" s="187"/>
      <c r="O770" s="187"/>
      <c r="P770" s="187"/>
      <c r="Q770" s="187"/>
      <c r="R770" s="187"/>
      <c r="S770" s="187"/>
      <c r="T770" s="187"/>
      <c r="U770" s="187"/>
      <c r="V770" s="187"/>
      <c r="W770" s="187"/>
      <c r="X770" s="187"/>
      <c r="Y770" s="187"/>
      <c r="Z770" s="187"/>
      <c r="AA770" s="187"/>
      <c r="AB770" s="187"/>
      <c r="AC770" s="187"/>
      <c r="AD770" s="187"/>
      <c r="AE770" s="187"/>
      <c r="AF770" s="187"/>
      <c r="AG770" s="187"/>
      <c r="AH770" s="187"/>
      <c r="AI770" s="187"/>
    </row>
    <row r="771">
      <c r="A771" s="187"/>
      <c r="B771" s="187"/>
      <c r="C771" s="187"/>
      <c r="D771" s="187"/>
      <c r="E771" s="187"/>
      <c r="F771" s="187"/>
      <c r="G771" s="187"/>
      <c r="H771" s="187"/>
      <c r="I771" s="187"/>
      <c r="J771" s="187"/>
      <c r="K771" s="187"/>
      <c r="L771" s="187"/>
      <c r="M771" s="192"/>
      <c r="N771" s="187"/>
      <c r="O771" s="187"/>
      <c r="P771" s="187"/>
      <c r="Q771" s="187"/>
      <c r="R771" s="187"/>
      <c r="S771" s="187"/>
      <c r="T771" s="187"/>
      <c r="U771" s="187"/>
      <c r="V771" s="187"/>
      <c r="W771" s="187"/>
      <c r="X771" s="187"/>
      <c r="Y771" s="187"/>
      <c r="Z771" s="187"/>
      <c r="AA771" s="187"/>
      <c r="AB771" s="187"/>
      <c r="AC771" s="187"/>
      <c r="AD771" s="187"/>
      <c r="AE771" s="187"/>
      <c r="AF771" s="187"/>
      <c r="AG771" s="187"/>
      <c r="AH771" s="187"/>
      <c r="AI771" s="187"/>
    </row>
    <row r="772">
      <c r="A772" s="187"/>
      <c r="B772" s="187"/>
      <c r="C772" s="187"/>
      <c r="D772" s="187"/>
      <c r="E772" s="187"/>
      <c r="F772" s="187"/>
      <c r="G772" s="187"/>
      <c r="H772" s="187"/>
      <c r="I772" s="187"/>
      <c r="J772" s="187"/>
      <c r="K772" s="187"/>
      <c r="L772" s="187"/>
      <c r="M772" s="192"/>
      <c r="N772" s="187"/>
      <c r="O772" s="187"/>
      <c r="P772" s="187"/>
      <c r="Q772" s="187"/>
      <c r="R772" s="187"/>
      <c r="S772" s="187"/>
      <c r="T772" s="187"/>
      <c r="U772" s="187"/>
      <c r="V772" s="187"/>
      <c r="W772" s="187"/>
      <c r="X772" s="187"/>
      <c r="Y772" s="187"/>
      <c r="Z772" s="187"/>
      <c r="AA772" s="187"/>
      <c r="AB772" s="187"/>
      <c r="AC772" s="187"/>
      <c r="AD772" s="187"/>
      <c r="AE772" s="187"/>
      <c r="AF772" s="187"/>
      <c r="AG772" s="187"/>
      <c r="AH772" s="187"/>
      <c r="AI772" s="187"/>
    </row>
    <row r="773">
      <c r="A773" s="187"/>
      <c r="B773" s="187"/>
      <c r="C773" s="187"/>
      <c r="D773" s="187"/>
      <c r="E773" s="187"/>
      <c r="F773" s="187"/>
      <c r="G773" s="187"/>
      <c r="H773" s="187"/>
      <c r="I773" s="187"/>
      <c r="J773" s="187"/>
      <c r="K773" s="187"/>
      <c r="L773" s="187"/>
      <c r="M773" s="192"/>
      <c r="N773" s="187"/>
      <c r="O773" s="187"/>
      <c r="P773" s="187"/>
      <c r="Q773" s="187"/>
      <c r="R773" s="187"/>
      <c r="S773" s="187"/>
      <c r="T773" s="187"/>
      <c r="U773" s="187"/>
      <c r="V773" s="187"/>
      <c r="W773" s="187"/>
      <c r="X773" s="187"/>
      <c r="Y773" s="187"/>
      <c r="Z773" s="187"/>
      <c r="AA773" s="187"/>
      <c r="AB773" s="187"/>
      <c r="AC773" s="187"/>
      <c r="AD773" s="187"/>
      <c r="AE773" s="187"/>
      <c r="AF773" s="187"/>
      <c r="AG773" s="187"/>
      <c r="AH773" s="187"/>
      <c r="AI773" s="187"/>
    </row>
    <row r="774">
      <c r="A774" s="187"/>
      <c r="B774" s="187"/>
      <c r="C774" s="187"/>
      <c r="D774" s="187"/>
      <c r="E774" s="187"/>
      <c r="F774" s="187"/>
      <c r="G774" s="187"/>
      <c r="H774" s="187"/>
      <c r="I774" s="187"/>
      <c r="J774" s="187"/>
      <c r="K774" s="187"/>
      <c r="L774" s="187"/>
      <c r="M774" s="192"/>
      <c r="N774" s="187"/>
      <c r="O774" s="187"/>
      <c r="P774" s="187"/>
      <c r="Q774" s="187"/>
      <c r="R774" s="187"/>
      <c r="S774" s="187"/>
      <c r="T774" s="187"/>
      <c r="U774" s="187"/>
      <c r="V774" s="187"/>
      <c r="W774" s="187"/>
      <c r="X774" s="187"/>
      <c r="Y774" s="187"/>
      <c r="Z774" s="187"/>
      <c r="AA774" s="187"/>
      <c r="AB774" s="187"/>
      <c r="AC774" s="187"/>
      <c r="AD774" s="187"/>
      <c r="AE774" s="187"/>
      <c r="AF774" s="187"/>
      <c r="AG774" s="187"/>
      <c r="AH774" s="187"/>
      <c r="AI774" s="187"/>
    </row>
    <row r="775">
      <c r="A775" s="187"/>
      <c r="B775" s="187"/>
      <c r="C775" s="187"/>
      <c r="D775" s="187"/>
      <c r="E775" s="187"/>
      <c r="F775" s="187"/>
      <c r="G775" s="187"/>
      <c r="H775" s="187"/>
      <c r="I775" s="187"/>
      <c r="J775" s="187"/>
      <c r="K775" s="187"/>
      <c r="L775" s="187"/>
      <c r="M775" s="192"/>
      <c r="N775" s="187"/>
      <c r="O775" s="187"/>
      <c r="P775" s="187"/>
      <c r="Q775" s="187"/>
      <c r="R775" s="187"/>
      <c r="S775" s="187"/>
      <c r="T775" s="187"/>
      <c r="U775" s="187"/>
      <c r="V775" s="187"/>
      <c r="W775" s="187"/>
      <c r="X775" s="187"/>
      <c r="Y775" s="187"/>
      <c r="Z775" s="187"/>
      <c r="AA775" s="187"/>
      <c r="AB775" s="187"/>
      <c r="AC775" s="187"/>
      <c r="AD775" s="187"/>
      <c r="AE775" s="187"/>
      <c r="AF775" s="187"/>
      <c r="AG775" s="187"/>
      <c r="AH775" s="187"/>
      <c r="AI775" s="187"/>
    </row>
    <row r="776">
      <c r="A776" s="187"/>
      <c r="B776" s="187"/>
      <c r="C776" s="187"/>
      <c r="D776" s="187"/>
      <c r="E776" s="187"/>
      <c r="F776" s="187"/>
      <c r="G776" s="187"/>
      <c r="H776" s="187"/>
      <c r="I776" s="187"/>
      <c r="J776" s="187"/>
      <c r="K776" s="187"/>
      <c r="L776" s="187"/>
      <c r="M776" s="192"/>
      <c r="N776" s="187"/>
      <c r="O776" s="187"/>
      <c r="P776" s="187"/>
      <c r="Q776" s="187"/>
      <c r="R776" s="187"/>
      <c r="S776" s="187"/>
      <c r="T776" s="187"/>
      <c r="U776" s="187"/>
      <c r="V776" s="187"/>
      <c r="W776" s="187"/>
      <c r="X776" s="187"/>
      <c r="Y776" s="187"/>
      <c r="Z776" s="187"/>
      <c r="AA776" s="187"/>
      <c r="AB776" s="187"/>
      <c r="AC776" s="187"/>
      <c r="AD776" s="187"/>
      <c r="AE776" s="187"/>
      <c r="AF776" s="187"/>
      <c r="AG776" s="187"/>
      <c r="AH776" s="187"/>
      <c r="AI776" s="187"/>
    </row>
    <row r="777">
      <c r="A777" s="187"/>
      <c r="B777" s="187"/>
      <c r="C777" s="187"/>
      <c r="D777" s="187"/>
      <c r="E777" s="187"/>
      <c r="F777" s="187"/>
      <c r="G777" s="187"/>
      <c r="H777" s="187"/>
      <c r="I777" s="187"/>
      <c r="J777" s="187"/>
      <c r="K777" s="187"/>
      <c r="L777" s="187"/>
      <c r="M777" s="192"/>
      <c r="N777" s="187"/>
      <c r="O777" s="187"/>
      <c r="P777" s="187"/>
      <c r="Q777" s="187"/>
      <c r="R777" s="187"/>
      <c r="S777" s="187"/>
      <c r="T777" s="187"/>
      <c r="U777" s="187"/>
      <c r="V777" s="187"/>
      <c r="W777" s="187"/>
      <c r="X777" s="187"/>
      <c r="Y777" s="187"/>
      <c r="Z777" s="187"/>
      <c r="AA777" s="187"/>
      <c r="AB777" s="187"/>
      <c r="AC777" s="187"/>
      <c r="AD777" s="187"/>
      <c r="AE777" s="187"/>
      <c r="AF777" s="187"/>
      <c r="AG777" s="187"/>
      <c r="AH777" s="187"/>
      <c r="AI777" s="187"/>
    </row>
    <row r="778">
      <c r="A778" s="187"/>
      <c r="B778" s="187"/>
      <c r="C778" s="187"/>
      <c r="D778" s="187"/>
      <c r="E778" s="187"/>
      <c r="F778" s="187"/>
      <c r="G778" s="187"/>
      <c r="H778" s="187"/>
      <c r="I778" s="187"/>
      <c r="J778" s="187"/>
      <c r="K778" s="187"/>
      <c r="L778" s="187"/>
      <c r="M778" s="192"/>
      <c r="N778" s="187"/>
      <c r="O778" s="187"/>
      <c r="P778" s="187"/>
      <c r="Q778" s="187"/>
      <c r="R778" s="187"/>
      <c r="S778" s="187"/>
      <c r="T778" s="187"/>
      <c r="U778" s="187"/>
      <c r="V778" s="187"/>
      <c r="W778" s="187"/>
      <c r="X778" s="187"/>
      <c r="Y778" s="187"/>
      <c r="Z778" s="187"/>
      <c r="AA778" s="187"/>
      <c r="AB778" s="187"/>
      <c r="AC778" s="187"/>
      <c r="AD778" s="187"/>
      <c r="AE778" s="187"/>
      <c r="AF778" s="187"/>
      <c r="AG778" s="187"/>
      <c r="AH778" s="187"/>
      <c r="AI778" s="187"/>
    </row>
    <row r="779">
      <c r="A779" s="187"/>
      <c r="B779" s="187"/>
      <c r="C779" s="187"/>
      <c r="D779" s="187"/>
      <c r="E779" s="187"/>
      <c r="F779" s="187"/>
      <c r="G779" s="187"/>
      <c r="H779" s="187"/>
      <c r="I779" s="187"/>
      <c r="J779" s="187"/>
      <c r="K779" s="187"/>
      <c r="L779" s="187"/>
      <c r="M779" s="192"/>
      <c r="N779" s="187"/>
      <c r="O779" s="187"/>
      <c r="P779" s="187"/>
      <c r="Q779" s="187"/>
      <c r="R779" s="187"/>
      <c r="S779" s="187"/>
      <c r="T779" s="187"/>
      <c r="U779" s="187"/>
      <c r="V779" s="187"/>
      <c r="W779" s="187"/>
      <c r="X779" s="187"/>
      <c r="Y779" s="187"/>
      <c r="Z779" s="187"/>
      <c r="AA779" s="187"/>
      <c r="AB779" s="187"/>
      <c r="AC779" s="187"/>
      <c r="AD779" s="187"/>
      <c r="AE779" s="187"/>
      <c r="AF779" s="187"/>
      <c r="AG779" s="187"/>
      <c r="AH779" s="187"/>
      <c r="AI779" s="187"/>
    </row>
    <row r="780">
      <c r="A780" s="187"/>
      <c r="B780" s="187"/>
      <c r="C780" s="187"/>
      <c r="D780" s="187"/>
      <c r="E780" s="187"/>
      <c r="F780" s="187"/>
      <c r="G780" s="187"/>
      <c r="H780" s="187"/>
      <c r="I780" s="187"/>
      <c r="J780" s="187"/>
      <c r="K780" s="187"/>
      <c r="L780" s="187"/>
      <c r="M780" s="192"/>
      <c r="N780" s="187"/>
      <c r="O780" s="187"/>
      <c r="P780" s="187"/>
      <c r="Q780" s="187"/>
      <c r="R780" s="187"/>
      <c r="S780" s="187"/>
      <c r="T780" s="187"/>
      <c r="U780" s="187"/>
      <c r="V780" s="187"/>
      <c r="W780" s="187"/>
      <c r="X780" s="187"/>
      <c r="Y780" s="187"/>
      <c r="Z780" s="187"/>
      <c r="AA780" s="187"/>
      <c r="AB780" s="187"/>
      <c r="AC780" s="187"/>
      <c r="AD780" s="187"/>
      <c r="AE780" s="187"/>
      <c r="AF780" s="187"/>
      <c r="AG780" s="187"/>
      <c r="AH780" s="187"/>
      <c r="AI780" s="187"/>
    </row>
    <row r="781">
      <c r="A781" s="187"/>
      <c r="B781" s="187"/>
      <c r="C781" s="187"/>
      <c r="D781" s="187"/>
      <c r="E781" s="187"/>
      <c r="F781" s="187"/>
      <c r="G781" s="187"/>
      <c r="H781" s="187"/>
      <c r="I781" s="187"/>
      <c r="J781" s="187"/>
      <c r="K781" s="187"/>
      <c r="L781" s="187"/>
      <c r="M781" s="192"/>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row>
    <row r="782">
      <c r="A782" s="187"/>
      <c r="B782" s="187"/>
      <c r="C782" s="187"/>
      <c r="D782" s="187"/>
      <c r="E782" s="187"/>
      <c r="F782" s="187"/>
      <c r="G782" s="187"/>
      <c r="H782" s="187"/>
      <c r="I782" s="187"/>
      <c r="J782" s="187"/>
      <c r="K782" s="187"/>
      <c r="L782" s="187"/>
      <c r="M782" s="192"/>
      <c r="N782" s="187"/>
      <c r="O782" s="187"/>
      <c r="P782" s="187"/>
      <c r="Q782" s="187"/>
      <c r="R782" s="187"/>
      <c r="S782" s="187"/>
      <c r="T782" s="187"/>
      <c r="U782" s="187"/>
      <c r="V782" s="187"/>
      <c r="W782" s="187"/>
      <c r="X782" s="187"/>
      <c r="Y782" s="187"/>
      <c r="Z782" s="187"/>
      <c r="AA782" s="187"/>
      <c r="AB782" s="187"/>
      <c r="AC782" s="187"/>
      <c r="AD782" s="187"/>
      <c r="AE782" s="187"/>
      <c r="AF782" s="187"/>
      <c r="AG782" s="187"/>
      <c r="AH782" s="187"/>
      <c r="AI782" s="187"/>
    </row>
    <row r="783">
      <c r="A783" s="187"/>
      <c r="B783" s="187"/>
      <c r="C783" s="187"/>
      <c r="D783" s="187"/>
      <c r="E783" s="187"/>
      <c r="F783" s="187"/>
      <c r="G783" s="187"/>
      <c r="H783" s="187"/>
      <c r="I783" s="187"/>
      <c r="J783" s="187"/>
      <c r="K783" s="187"/>
      <c r="L783" s="187"/>
      <c r="M783" s="192"/>
      <c r="N783" s="187"/>
      <c r="O783" s="187"/>
      <c r="P783" s="187"/>
      <c r="Q783" s="187"/>
      <c r="R783" s="187"/>
      <c r="S783" s="187"/>
      <c r="T783" s="187"/>
      <c r="U783" s="187"/>
      <c r="V783" s="187"/>
      <c r="W783" s="187"/>
      <c r="X783" s="187"/>
      <c r="Y783" s="187"/>
      <c r="Z783" s="187"/>
      <c r="AA783" s="187"/>
      <c r="AB783" s="187"/>
      <c r="AC783" s="187"/>
      <c r="AD783" s="187"/>
      <c r="AE783" s="187"/>
      <c r="AF783" s="187"/>
      <c r="AG783" s="187"/>
      <c r="AH783" s="187"/>
      <c r="AI783" s="187"/>
    </row>
    <row r="784">
      <c r="A784" s="187"/>
      <c r="B784" s="187"/>
      <c r="C784" s="187"/>
      <c r="D784" s="187"/>
      <c r="E784" s="187"/>
      <c r="F784" s="187"/>
      <c r="G784" s="187"/>
      <c r="H784" s="187"/>
      <c r="I784" s="187"/>
      <c r="J784" s="187"/>
      <c r="K784" s="187"/>
      <c r="L784" s="187"/>
      <c r="M784" s="192"/>
      <c r="N784" s="187"/>
      <c r="O784" s="187"/>
      <c r="P784" s="187"/>
      <c r="Q784" s="187"/>
      <c r="R784" s="187"/>
      <c r="S784" s="187"/>
      <c r="T784" s="187"/>
      <c r="U784" s="187"/>
      <c r="V784" s="187"/>
      <c r="W784" s="187"/>
      <c r="X784" s="187"/>
      <c r="Y784" s="187"/>
      <c r="Z784" s="187"/>
      <c r="AA784" s="187"/>
      <c r="AB784" s="187"/>
      <c r="AC784" s="187"/>
      <c r="AD784" s="187"/>
      <c r="AE784" s="187"/>
      <c r="AF784" s="187"/>
      <c r="AG784" s="187"/>
      <c r="AH784" s="187"/>
      <c r="AI784" s="187"/>
    </row>
    <row r="785">
      <c r="A785" s="187"/>
      <c r="B785" s="187"/>
      <c r="C785" s="187"/>
      <c r="D785" s="187"/>
      <c r="E785" s="187"/>
      <c r="F785" s="187"/>
      <c r="G785" s="187"/>
      <c r="H785" s="187"/>
      <c r="I785" s="187"/>
      <c r="J785" s="187"/>
      <c r="K785" s="187"/>
      <c r="L785" s="187"/>
      <c r="M785" s="192"/>
      <c r="N785" s="187"/>
      <c r="O785" s="187"/>
      <c r="P785" s="187"/>
      <c r="Q785" s="187"/>
      <c r="R785" s="187"/>
      <c r="S785" s="187"/>
      <c r="T785" s="187"/>
      <c r="U785" s="187"/>
      <c r="V785" s="187"/>
      <c r="W785" s="187"/>
      <c r="X785" s="187"/>
      <c r="Y785" s="187"/>
      <c r="Z785" s="187"/>
      <c r="AA785" s="187"/>
      <c r="AB785" s="187"/>
      <c r="AC785" s="187"/>
      <c r="AD785" s="187"/>
      <c r="AE785" s="187"/>
      <c r="AF785" s="187"/>
      <c r="AG785" s="187"/>
      <c r="AH785" s="187"/>
      <c r="AI785" s="187"/>
    </row>
    <row r="786">
      <c r="A786" s="187"/>
      <c r="B786" s="187"/>
      <c r="C786" s="187"/>
      <c r="D786" s="187"/>
      <c r="E786" s="187"/>
      <c r="F786" s="187"/>
      <c r="G786" s="187"/>
      <c r="H786" s="187"/>
      <c r="I786" s="187"/>
      <c r="J786" s="187"/>
      <c r="K786" s="187"/>
      <c r="L786" s="187"/>
      <c r="M786" s="192"/>
      <c r="N786" s="187"/>
      <c r="O786" s="187"/>
      <c r="P786" s="187"/>
      <c r="Q786" s="187"/>
      <c r="R786" s="187"/>
      <c r="S786" s="187"/>
      <c r="T786" s="187"/>
      <c r="U786" s="187"/>
      <c r="V786" s="187"/>
      <c r="W786" s="187"/>
      <c r="X786" s="187"/>
      <c r="Y786" s="187"/>
      <c r="Z786" s="187"/>
      <c r="AA786" s="187"/>
      <c r="AB786" s="187"/>
      <c r="AC786" s="187"/>
      <c r="AD786" s="187"/>
      <c r="AE786" s="187"/>
      <c r="AF786" s="187"/>
      <c r="AG786" s="187"/>
      <c r="AH786" s="187"/>
      <c r="AI786" s="187"/>
    </row>
    <row r="787">
      <c r="A787" s="187"/>
      <c r="B787" s="187"/>
      <c r="C787" s="187"/>
      <c r="D787" s="187"/>
      <c r="E787" s="187"/>
      <c r="F787" s="187"/>
      <c r="G787" s="187"/>
      <c r="H787" s="187"/>
      <c r="I787" s="187"/>
      <c r="J787" s="187"/>
      <c r="K787" s="187"/>
      <c r="L787" s="187"/>
      <c r="M787" s="192"/>
      <c r="N787" s="187"/>
      <c r="O787" s="187"/>
      <c r="P787" s="187"/>
      <c r="Q787" s="187"/>
      <c r="R787" s="187"/>
      <c r="S787" s="187"/>
      <c r="T787" s="187"/>
      <c r="U787" s="187"/>
      <c r="V787" s="187"/>
      <c r="W787" s="187"/>
      <c r="X787" s="187"/>
      <c r="Y787" s="187"/>
      <c r="Z787" s="187"/>
      <c r="AA787" s="187"/>
      <c r="AB787" s="187"/>
      <c r="AC787" s="187"/>
      <c r="AD787" s="187"/>
      <c r="AE787" s="187"/>
      <c r="AF787" s="187"/>
      <c r="AG787" s="187"/>
      <c r="AH787" s="187"/>
      <c r="AI787" s="187"/>
    </row>
    <row r="788">
      <c r="A788" s="187"/>
      <c r="B788" s="187"/>
      <c r="C788" s="187"/>
      <c r="D788" s="187"/>
      <c r="E788" s="187"/>
      <c r="F788" s="187"/>
      <c r="G788" s="187"/>
      <c r="H788" s="187"/>
      <c r="I788" s="187"/>
      <c r="J788" s="187"/>
      <c r="K788" s="187"/>
      <c r="L788" s="187"/>
      <c r="M788" s="192"/>
      <c r="N788" s="187"/>
      <c r="O788" s="187"/>
      <c r="P788" s="187"/>
      <c r="Q788" s="187"/>
      <c r="R788" s="187"/>
      <c r="S788" s="187"/>
      <c r="T788" s="187"/>
      <c r="U788" s="187"/>
      <c r="V788" s="187"/>
      <c r="W788" s="187"/>
      <c r="X788" s="187"/>
      <c r="Y788" s="187"/>
      <c r="Z788" s="187"/>
      <c r="AA788" s="187"/>
      <c r="AB788" s="187"/>
      <c r="AC788" s="187"/>
      <c r="AD788" s="187"/>
      <c r="AE788" s="187"/>
      <c r="AF788" s="187"/>
      <c r="AG788" s="187"/>
      <c r="AH788" s="187"/>
      <c r="AI788" s="187"/>
    </row>
    <row r="789">
      <c r="A789" s="187"/>
      <c r="B789" s="187"/>
      <c r="C789" s="187"/>
      <c r="D789" s="187"/>
      <c r="E789" s="187"/>
      <c r="F789" s="187"/>
      <c r="G789" s="187"/>
      <c r="H789" s="187"/>
      <c r="I789" s="187"/>
      <c r="J789" s="187"/>
      <c r="K789" s="187"/>
      <c r="L789" s="187"/>
      <c r="M789" s="192"/>
      <c r="N789" s="187"/>
      <c r="O789" s="187"/>
      <c r="P789" s="187"/>
      <c r="Q789" s="187"/>
      <c r="R789" s="187"/>
      <c r="S789" s="187"/>
      <c r="T789" s="187"/>
      <c r="U789" s="187"/>
      <c r="V789" s="187"/>
      <c r="W789" s="187"/>
      <c r="X789" s="187"/>
      <c r="Y789" s="187"/>
      <c r="Z789" s="187"/>
      <c r="AA789" s="187"/>
      <c r="AB789" s="187"/>
      <c r="AC789" s="187"/>
      <c r="AD789" s="187"/>
      <c r="AE789" s="187"/>
      <c r="AF789" s="187"/>
      <c r="AG789" s="187"/>
      <c r="AH789" s="187"/>
      <c r="AI789" s="187"/>
    </row>
    <row r="790">
      <c r="A790" s="187"/>
      <c r="B790" s="187"/>
      <c r="C790" s="187"/>
      <c r="D790" s="187"/>
      <c r="E790" s="187"/>
      <c r="F790" s="187"/>
      <c r="G790" s="187"/>
      <c r="H790" s="187"/>
      <c r="I790" s="187"/>
      <c r="J790" s="187"/>
      <c r="K790" s="187"/>
      <c r="L790" s="187"/>
      <c r="M790" s="192"/>
      <c r="N790" s="187"/>
      <c r="O790" s="187"/>
      <c r="P790" s="187"/>
      <c r="Q790" s="187"/>
      <c r="R790" s="187"/>
      <c r="S790" s="187"/>
      <c r="T790" s="187"/>
      <c r="U790" s="187"/>
      <c r="V790" s="187"/>
      <c r="W790" s="187"/>
      <c r="X790" s="187"/>
      <c r="Y790" s="187"/>
      <c r="Z790" s="187"/>
      <c r="AA790" s="187"/>
      <c r="AB790" s="187"/>
      <c r="AC790" s="187"/>
      <c r="AD790" s="187"/>
      <c r="AE790" s="187"/>
      <c r="AF790" s="187"/>
      <c r="AG790" s="187"/>
      <c r="AH790" s="187"/>
      <c r="AI790" s="187"/>
    </row>
    <row r="791">
      <c r="A791" s="187"/>
      <c r="B791" s="187"/>
      <c r="C791" s="187"/>
      <c r="D791" s="187"/>
      <c r="E791" s="187"/>
      <c r="F791" s="187"/>
      <c r="G791" s="187"/>
      <c r="H791" s="187"/>
      <c r="I791" s="187"/>
      <c r="J791" s="187"/>
      <c r="K791" s="187"/>
      <c r="L791" s="187"/>
      <c r="M791" s="192"/>
      <c r="N791" s="187"/>
      <c r="O791" s="187"/>
      <c r="P791" s="187"/>
      <c r="Q791" s="187"/>
      <c r="R791" s="187"/>
      <c r="S791" s="187"/>
      <c r="T791" s="187"/>
      <c r="U791" s="187"/>
      <c r="V791" s="187"/>
      <c r="W791" s="187"/>
      <c r="X791" s="187"/>
      <c r="Y791" s="187"/>
      <c r="Z791" s="187"/>
      <c r="AA791" s="187"/>
      <c r="AB791" s="187"/>
      <c r="AC791" s="187"/>
      <c r="AD791" s="187"/>
      <c r="AE791" s="187"/>
      <c r="AF791" s="187"/>
      <c r="AG791" s="187"/>
      <c r="AH791" s="187"/>
      <c r="AI791" s="187"/>
    </row>
    <row r="792">
      <c r="A792" s="187"/>
      <c r="B792" s="187"/>
      <c r="C792" s="187"/>
      <c r="D792" s="187"/>
      <c r="E792" s="187"/>
      <c r="F792" s="187"/>
      <c r="G792" s="187"/>
      <c r="H792" s="187"/>
      <c r="I792" s="187"/>
      <c r="J792" s="187"/>
      <c r="K792" s="187"/>
      <c r="L792" s="187"/>
      <c r="M792" s="192"/>
      <c r="N792" s="187"/>
      <c r="O792" s="187"/>
      <c r="P792" s="187"/>
      <c r="Q792" s="187"/>
      <c r="R792" s="187"/>
      <c r="S792" s="187"/>
      <c r="T792" s="187"/>
      <c r="U792" s="187"/>
      <c r="V792" s="187"/>
      <c r="W792" s="187"/>
      <c r="X792" s="187"/>
      <c r="Y792" s="187"/>
      <c r="Z792" s="187"/>
      <c r="AA792" s="187"/>
      <c r="AB792" s="187"/>
      <c r="AC792" s="187"/>
      <c r="AD792" s="187"/>
      <c r="AE792" s="187"/>
      <c r="AF792" s="187"/>
      <c r="AG792" s="187"/>
      <c r="AH792" s="187"/>
      <c r="AI792" s="187"/>
    </row>
    <row r="793">
      <c r="A793" s="187"/>
      <c r="B793" s="187"/>
      <c r="C793" s="187"/>
      <c r="D793" s="187"/>
      <c r="E793" s="187"/>
      <c r="F793" s="187"/>
      <c r="G793" s="187"/>
      <c r="H793" s="187"/>
      <c r="I793" s="187"/>
      <c r="J793" s="187"/>
      <c r="K793" s="187"/>
      <c r="L793" s="187"/>
      <c r="M793" s="192"/>
      <c r="N793" s="187"/>
      <c r="O793" s="187"/>
      <c r="P793" s="187"/>
      <c r="Q793" s="187"/>
      <c r="R793" s="187"/>
      <c r="S793" s="187"/>
      <c r="T793" s="187"/>
      <c r="U793" s="187"/>
      <c r="V793" s="187"/>
      <c r="W793" s="187"/>
      <c r="X793" s="187"/>
      <c r="Y793" s="187"/>
      <c r="Z793" s="187"/>
      <c r="AA793" s="187"/>
      <c r="AB793" s="187"/>
      <c r="AC793" s="187"/>
      <c r="AD793" s="187"/>
      <c r="AE793" s="187"/>
      <c r="AF793" s="187"/>
      <c r="AG793" s="187"/>
      <c r="AH793" s="187"/>
      <c r="AI793" s="187"/>
    </row>
    <row r="794">
      <c r="A794" s="187"/>
      <c r="B794" s="187"/>
      <c r="C794" s="187"/>
      <c r="D794" s="187"/>
      <c r="E794" s="187"/>
      <c r="F794" s="187"/>
      <c r="G794" s="187"/>
      <c r="H794" s="187"/>
      <c r="I794" s="187"/>
      <c r="J794" s="187"/>
      <c r="K794" s="187"/>
      <c r="L794" s="187"/>
      <c r="M794" s="192"/>
      <c r="N794" s="187"/>
      <c r="O794" s="187"/>
      <c r="P794" s="187"/>
      <c r="Q794" s="187"/>
      <c r="R794" s="187"/>
      <c r="S794" s="187"/>
      <c r="T794" s="187"/>
      <c r="U794" s="187"/>
      <c r="V794" s="187"/>
      <c r="W794" s="187"/>
      <c r="X794" s="187"/>
      <c r="Y794" s="187"/>
      <c r="Z794" s="187"/>
      <c r="AA794" s="187"/>
      <c r="AB794" s="187"/>
      <c r="AC794" s="187"/>
      <c r="AD794" s="187"/>
      <c r="AE794" s="187"/>
      <c r="AF794" s="187"/>
      <c r="AG794" s="187"/>
      <c r="AH794" s="187"/>
      <c r="AI794" s="187"/>
    </row>
    <row r="795">
      <c r="A795" s="187"/>
      <c r="B795" s="187"/>
      <c r="C795" s="187"/>
      <c r="D795" s="187"/>
      <c r="E795" s="187"/>
      <c r="F795" s="187"/>
      <c r="G795" s="187"/>
      <c r="H795" s="187"/>
      <c r="I795" s="187"/>
      <c r="J795" s="187"/>
      <c r="K795" s="187"/>
      <c r="L795" s="187"/>
      <c r="M795" s="192"/>
      <c r="N795" s="187"/>
      <c r="O795" s="187"/>
      <c r="P795" s="187"/>
      <c r="Q795" s="187"/>
      <c r="R795" s="187"/>
      <c r="S795" s="187"/>
      <c r="T795" s="187"/>
      <c r="U795" s="187"/>
      <c r="V795" s="187"/>
      <c r="W795" s="187"/>
      <c r="X795" s="187"/>
      <c r="Y795" s="187"/>
      <c r="Z795" s="187"/>
      <c r="AA795" s="187"/>
      <c r="AB795" s="187"/>
      <c r="AC795" s="187"/>
      <c r="AD795" s="187"/>
      <c r="AE795" s="187"/>
      <c r="AF795" s="187"/>
      <c r="AG795" s="187"/>
      <c r="AH795" s="187"/>
      <c r="AI795" s="187"/>
    </row>
    <row r="796">
      <c r="A796" s="187"/>
      <c r="B796" s="187"/>
      <c r="C796" s="187"/>
      <c r="D796" s="187"/>
      <c r="E796" s="187"/>
      <c r="F796" s="187"/>
      <c r="G796" s="187"/>
      <c r="H796" s="187"/>
      <c r="I796" s="187"/>
      <c r="J796" s="187"/>
      <c r="K796" s="187"/>
      <c r="L796" s="187"/>
      <c r="M796" s="192"/>
      <c r="N796" s="187"/>
      <c r="O796" s="187"/>
      <c r="P796" s="187"/>
      <c r="Q796" s="187"/>
      <c r="R796" s="187"/>
      <c r="S796" s="187"/>
      <c r="T796" s="187"/>
      <c r="U796" s="187"/>
      <c r="V796" s="187"/>
      <c r="W796" s="187"/>
      <c r="X796" s="187"/>
      <c r="Y796" s="187"/>
      <c r="Z796" s="187"/>
      <c r="AA796" s="187"/>
      <c r="AB796" s="187"/>
      <c r="AC796" s="187"/>
      <c r="AD796" s="187"/>
      <c r="AE796" s="187"/>
      <c r="AF796" s="187"/>
      <c r="AG796" s="187"/>
      <c r="AH796" s="187"/>
      <c r="AI796" s="187"/>
    </row>
    <row r="797">
      <c r="A797" s="187"/>
      <c r="B797" s="187"/>
      <c r="C797" s="187"/>
      <c r="D797" s="187"/>
      <c r="E797" s="187"/>
      <c r="F797" s="187"/>
      <c r="G797" s="187"/>
      <c r="H797" s="187"/>
      <c r="I797" s="187"/>
      <c r="J797" s="187"/>
      <c r="K797" s="187"/>
      <c r="L797" s="187"/>
      <c r="M797" s="192"/>
      <c r="N797" s="187"/>
      <c r="O797" s="187"/>
      <c r="P797" s="187"/>
      <c r="Q797" s="187"/>
      <c r="R797" s="187"/>
      <c r="S797" s="187"/>
      <c r="T797" s="187"/>
      <c r="U797" s="187"/>
      <c r="V797" s="187"/>
      <c r="W797" s="187"/>
      <c r="X797" s="187"/>
      <c r="Y797" s="187"/>
      <c r="Z797" s="187"/>
      <c r="AA797" s="187"/>
      <c r="AB797" s="187"/>
      <c r="AC797" s="187"/>
      <c r="AD797" s="187"/>
      <c r="AE797" s="187"/>
      <c r="AF797" s="187"/>
      <c r="AG797" s="187"/>
      <c r="AH797" s="187"/>
      <c r="AI797" s="187"/>
    </row>
    <row r="798">
      <c r="A798" s="187"/>
      <c r="B798" s="187"/>
      <c r="C798" s="187"/>
      <c r="D798" s="187"/>
      <c r="E798" s="187"/>
      <c r="F798" s="187"/>
      <c r="G798" s="187"/>
      <c r="H798" s="187"/>
      <c r="I798" s="187"/>
      <c r="J798" s="187"/>
      <c r="K798" s="187"/>
      <c r="L798" s="187"/>
      <c r="M798" s="192"/>
      <c r="N798" s="187"/>
      <c r="O798" s="187"/>
      <c r="P798" s="187"/>
      <c r="Q798" s="187"/>
      <c r="R798" s="187"/>
      <c r="S798" s="187"/>
      <c r="T798" s="187"/>
      <c r="U798" s="187"/>
      <c r="V798" s="187"/>
      <c r="W798" s="187"/>
      <c r="X798" s="187"/>
      <c r="Y798" s="187"/>
      <c r="Z798" s="187"/>
      <c r="AA798" s="187"/>
      <c r="AB798" s="187"/>
      <c r="AC798" s="187"/>
      <c r="AD798" s="187"/>
      <c r="AE798" s="187"/>
      <c r="AF798" s="187"/>
      <c r="AG798" s="187"/>
      <c r="AH798" s="187"/>
      <c r="AI798" s="187"/>
    </row>
    <row r="799">
      <c r="A799" s="187"/>
      <c r="B799" s="187"/>
      <c r="C799" s="187"/>
      <c r="D799" s="187"/>
      <c r="E799" s="187"/>
      <c r="F799" s="187"/>
      <c r="G799" s="187"/>
      <c r="H799" s="187"/>
      <c r="I799" s="187"/>
      <c r="J799" s="187"/>
      <c r="K799" s="187"/>
      <c r="L799" s="187"/>
      <c r="M799" s="192"/>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row>
    <row r="800">
      <c r="A800" s="187"/>
      <c r="B800" s="187"/>
      <c r="C800" s="187"/>
      <c r="D800" s="187"/>
      <c r="E800" s="187"/>
      <c r="F800" s="187"/>
      <c r="G800" s="187"/>
      <c r="H800" s="187"/>
      <c r="I800" s="187"/>
      <c r="J800" s="187"/>
      <c r="K800" s="187"/>
      <c r="L800" s="187"/>
      <c r="M800" s="192"/>
      <c r="N800" s="187"/>
      <c r="O800" s="187"/>
      <c r="P800" s="187"/>
      <c r="Q800" s="187"/>
      <c r="R800" s="187"/>
      <c r="S800" s="187"/>
      <c r="T800" s="187"/>
      <c r="U800" s="187"/>
      <c r="V800" s="187"/>
      <c r="W800" s="187"/>
      <c r="X800" s="187"/>
      <c r="Y800" s="187"/>
      <c r="Z800" s="187"/>
      <c r="AA800" s="187"/>
      <c r="AB800" s="187"/>
      <c r="AC800" s="187"/>
      <c r="AD800" s="187"/>
      <c r="AE800" s="187"/>
      <c r="AF800" s="187"/>
      <c r="AG800" s="187"/>
      <c r="AH800" s="187"/>
      <c r="AI800" s="187"/>
    </row>
    <row r="801">
      <c r="A801" s="187"/>
      <c r="B801" s="187"/>
      <c r="C801" s="187"/>
      <c r="D801" s="187"/>
      <c r="E801" s="187"/>
      <c r="F801" s="187"/>
      <c r="G801" s="187"/>
      <c r="H801" s="187"/>
      <c r="I801" s="187"/>
      <c r="J801" s="187"/>
      <c r="K801" s="187"/>
      <c r="L801" s="187"/>
      <c r="M801" s="192"/>
      <c r="N801" s="187"/>
      <c r="O801" s="187"/>
      <c r="P801" s="187"/>
      <c r="Q801" s="187"/>
      <c r="R801" s="187"/>
      <c r="S801" s="187"/>
      <c r="T801" s="187"/>
      <c r="U801" s="187"/>
      <c r="V801" s="187"/>
      <c r="W801" s="187"/>
      <c r="X801" s="187"/>
      <c r="Y801" s="187"/>
      <c r="Z801" s="187"/>
      <c r="AA801" s="187"/>
      <c r="AB801" s="187"/>
      <c r="AC801" s="187"/>
      <c r="AD801" s="187"/>
      <c r="AE801" s="187"/>
      <c r="AF801" s="187"/>
      <c r="AG801" s="187"/>
      <c r="AH801" s="187"/>
      <c r="AI801" s="187"/>
    </row>
    <row r="802">
      <c r="A802" s="187"/>
      <c r="B802" s="187"/>
      <c r="C802" s="187"/>
      <c r="D802" s="187"/>
      <c r="E802" s="187"/>
      <c r="F802" s="187"/>
      <c r="G802" s="187"/>
      <c r="H802" s="187"/>
      <c r="I802" s="187"/>
      <c r="J802" s="187"/>
      <c r="K802" s="187"/>
      <c r="L802" s="187"/>
      <c r="M802" s="192"/>
      <c r="N802" s="187"/>
      <c r="O802" s="187"/>
      <c r="P802" s="187"/>
      <c r="Q802" s="187"/>
      <c r="R802" s="187"/>
      <c r="S802" s="187"/>
      <c r="T802" s="187"/>
      <c r="U802" s="187"/>
      <c r="V802" s="187"/>
      <c r="W802" s="187"/>
      <c r="X802" s="187"/>
      <c r="Y802" s="187"/>
      <c r="Z802" s="187"/>
      <c r="AA802" s="187"/>
      <c r="AB802" s="187"/>
      <c r="AC802" s="187"/>
      <c r="AD802" s="187"/>
      <c r="AE802" s="187"/>
      <c r="AF802" s="187"/>
      <c r="AG802" s="187"/>
      <c r="AH802" s="187"/>
      <c r="AI802" s="187"/>
    </row>
    <row r="803">
      <c r="A803" s="187"/>
      <c r="B803" s="187"/>
      <c r="C803" s="187"/>
      <c r="D803" s="187"/>
      <c r="E803" s="187"/>
      <c r="F803" s="187"/>
      <c r="G803" s="187"/>
      <c r="H803" s="187"/>
      <c r="I803" s="187"/>
      <c r="J803" s="187"/>
      <c r="K803" s="187"/>
      <c r="L803" s="187"/>
      <c r="M803" s="192"/>
      <c r="N803" s="187"/>
      <c r="O803" s="187"/>
      <c r="P803" s="187"/>
      <c r="Q803" s="187"/>
      <c r="R803" s="187"/>
      <c r="S803" s="187"/>
      <c r="T803" s="187"/>
      <c r="U803" s="187"/>
      <c r="V803" s="187"/>
      <c r="W803" s="187"/>
      <c r="X803" s="187"/>
      <c r="Y803" s="187"/>
      <c r="Z803" s="187"/>
      <c r="AA803" s="187"/>
      <c r="AB803" s="187"/>
      <c r="AC803" s="187"/>
      <c r="AD803" s="187"/>
      <c r="AE803" s="187"/>
      <c r="AF803" s="187"/>
      <c r="AG803" s="187"/>
      <c r="AH803" s="187"/>
      <c r="AI803" s="187"/>
    </row>
    <row r="804">
      <c r="A804" s="187"/>
      <c r="B804" s="187"/>
      <c r="C804" s="187"/>
      <c r="D804" s="187"/>
      <c r="E804" s="187"/>
      <c r="F804" s="187"/>
      <c r="G804" s="187"/>
      <c r="H804" s="187"/>
      <c r="I804" s="187"/>
      <c r="J804" s="187"/>
      <c r="K804" s="187"/>
      <c r="L804" s="187"/>
      <c r="M804" s="192"/>
      <c r="N804" s="187"/>
      <c r="O804" s="187"/>
      <c r="P804" s="187"/>
      <c r="Q804" s="187"/>
      <c r="R804" s="187"/>
      <c r="S804" s="187"/>
      <c r="T804" s="187"/>
      <c r="U804" s="187"/>
      <c r="V804" s="187"/>
      <c r="W804" s="187"/>
      <c r="X804" s="187"/>
      <c r="Y804" s="187"/>
      <c r="Z804" s="187"/>
      <c r="AA804" s="187"/>
      <c r="AB804" s="187"/>
      <c r="AC804" s="187"/>
      <c r="AD804" s="187"/>
      <c r="AE804" s="187"/>
      <c r="AF804" s="187"/>
      <c r="AG804" s="187"/>
      <c r="AH804" s="187"/>
      <c r="AI804" s="187"/>
    </row>
    <row r="805">
      <c r="A805" s="187"/>
      <c r="B805" s="187"/>
      <c r="C805" s="187"/>
      <c r="D805" s="187"/>
      <c r="E805" s="187"/>
      <c r="F805" s="187"/>
      <c r="G805" s="187"/>
      <c r="H805" s="187"/>
      <c r="I805" s="187"/>
      <c r="J805" s="187"/>
      <c r="K805" s="187"/>
      <c r="L805" s="187"/>
      <c r="M805" s="192"/>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row>
    <row r="806">
      <c r="A806" s="187"/>
      <c r="B806" s="187"/>
      <c r="C806" s="187"/>
      <c r="D806" s="187"/>
      <c r="E806" s="187"/>
      <c r="F806" s="187"/>
      <c r="G806" s="187"/>
      <c r="H806" s="187"/>
      <c r="I806" s="187"/>
      <c r="J806" s="187"/>
      <c r="K806" s="187"/>
      <c r="L806" s="187"/>
      <c r="M806" s="192"/>
      <c r="N806" s="187"/>
      <c r="O806" s="187"/>
      <c r="P806" s="187"/>
      <c r="Q806" s="187"/>
      <c r="R806" s="187"/>
      <c r="S806" s="187"/>
      <c r="T806" s="187"/>
      <c r="U806" s="187"/>
      <c r="V806" s="187"/>
      <c r="W806" s="187"/>
      <c r="X806" s="187"/>
      <c r="Y806" s="187"/>
      <c r="Z806" s="187"/>
      <c r="AA806" s="187"/>
      <c r="AB806" s="187"/>
      <c r="AC806" s="187"/>
      <c r="AD806" s="187"/>
      <c r="AE806" s="187"/>
      <c r="AF806" s="187"/>
      <c r="AG806" s="187"/>
      <c r="AH806" s="187"/>
      <c r="AI806" s="187"/>
    </row>
    <row r="807">
      <c r="A807" s="187"/>
      <c r="B807" s="187"/>
      <c r="C807" s="187"/>
      <c r="D807" s="187"/>
      <c r="E807" s="187"/>
      <c r="F807" s="187"/>
      <c r="G807" s="187"/>
      <c r="H807" s="187"/>
      <c r="I807" s="187"/>
      <c r="J807" s="187"/>
      <c r="K807" s="187"/>
      <c r="L807" s="187"/>
      <c r="M807" s="192"/>
      <c r="N807" s="187"/>
      <c r="O807" s="187"/>
      <c r="P807" s="187"/>
      <c r="Q807" s="187"/>
      <c r="R807" s="187"/>
      <c r="S807" s="187"/>
      <c r="T807" s="187"/>
      <c r="U807" s="187"/>
      <c r="V807" s="187"/>
      <c r="W807" s="187"/>
      <c r="X807" s="187"/>
      <c r="Y807" s="187"/>
      <c r="Z807" s="187"/>
      <c r="AA807" s="187"/>
      <c r="AB807" s="187"/>
      <c r="AC807" s="187"/>
      <c r="AD807" s="187"/>
      <c r="AE807" s="187"/>
      <c r="AF807" s="187"/>
      <c r="AG807" s="187"/>
      <c r="AH807" s="187"/>
      <c r="AI807" s="187"/>
    </row>
    <row r="808">
      <c r="A808" s="187"/>
      <c r="B808" s="187"/>
      <c r="C808" s="187"/>
      <c r="D808" s="187"/>
      <c r="E808" s="187"/>
      <c r="F808" s="187"/>
      <c r="G808" s="187"/>
      <c r="H808" s="187"/>
      <c r="I808" s="187"/>
      <c r="J808" s="187"/>
      <c r="K808" s="187"/>
      <c r="L808" s="187"/>
      <c r="M808" s="192"/>
      <c r="N808" s="187"/>
      <c r="O808" s="187"/>
      <c r="P808" s="187"/>
      <c r="Q808" s="187"/>
      <c r="R808" s="187"/>
      <c r="S808" s="187"/>
      <c r="T808" s="187"/>
      <c r="U808" s="187"/>
      <c r="V808" s="187"/>
      <c r="W808" s="187"/>
      <c r="X808" s="187"/>
      <c r="Y808" s="187"/>
      <c r="Z808" s="187"/>
      <c r="AA808" s="187"/>
      <c r="AB808" s="187"/>
      <c r="AC808" s="187"/>
      <c r="AD808" s="187"/>
      <c r="AE808" s="187"/>
      <c r="AF808" s="187"/>
      <c r="AG808" s="187"/>
      <c r="AH808" s="187"/>
      <c r="AI808" s="187"/>
    </row>
    <row r="809">
      <c r="A809" s="187"/>
      <c r="B809" s="187"/>
      <c r="C809" s="187"/>
      <c r="D809" s="187"/>
      <c r="E809" s="187"/>
      <c r="F809" s="187"/>
      <c r="G809" s="187"/>
      <c r="H809" s="187"/>
      <c r="I809" s="187"/>
      <c r="J809" s="187"/>
      <c r="K809" s="187"/>
      <c r="L809" s="187"/>
      <c r="M809" s="192"/>
      <c r="N809" s="187"/>
      <c r="O809" s="187"/>
      <c r="P809" s="187"/>
      <c r="Q809" s="187"/>
      <c r="R809" s="187"/>
      <c r="S809" s="187"/>
      <c r="T809" s="187"/>
      <c r="U809" s="187"/>
      <c r="V809" s="187"/>
      <c r="W809" s="187"/>
      <c r="X809" s="187"/>
      <c r="Y809" s="187"/>
      <c r="Z809" s="187"/>
      <c r="AA809" s="187"/>
      <c r="AB809" s="187"/>
      <c r="AC809" s="187"/>
      <c r="AD809" s="187"/>
      <c r="AE809" s="187"/>
      <c r="AF809" s="187"/>
      <c r="AG809" s="187"/>
      <c r="AH809" s="187"/>
      <c r="AI809" s="187"/>
    </row>
    <row r="810">
      <c r="A810" s="187"/>
      <c r="B810" s="187"/>
      <c r="C810" s="187"/>
      <c r="D810" s="187"/>
      <c r="E810" s="187"/>
      <c r="F810" s="187"/>
      <c r="G810" s="187"/>
      <c r="H810" s="187"/>
      <c r="I810" s="187"/>
      <c r="J810" s="187"/>
      <c r="K810" s="187"/>
      <c r="L810" s="187"/>
      <c r="M810" s="192"/>
      <c r="N810" s="187"/>
      <c r="O810" s="187"/>
      <c r="P810" s="187"/>
      <c r="Q810" s="187"/>
      <c r="R810" s="187"/>
      <c r="S810" s="187"/>
      <c r="T810" s="187"/>
      <c r="U810" s="187"/>
      <c r="V810" s="187"/>
      <c r="W810" s="187"/>
      <c r="X810" s="187"/>
      <c r="Y810" s="187"/>
      <c r="Z810" s="187"/>
      <c r="AA810" s="187"/>
      <c r="AB810" s="187"/>
      <c r="AC810" s="187"/>
      <c r="AD810" s="187"/>
      <c r="AE810" s="187"/>
      <c r="AF810" s="187"/>
      <c r="AG810" s="187"/>
      <c r="AH810" s="187"/>
      <c r="AI810" s="187"/>
    </row>
    <row r="811">
      <c r="A811" s="187"/>
      <c r="B811" s="187"/>
      <c r="C811" s="187"/>
      <c r="D811" s="187"/>
      <c r="E811" s="187"/>
      <c r="F811" s="187"/>
      <c r="G811" s="187"/>
      <c r="H811" s="187"/>
      <c r="I811" s="187"/>
      <c r="J811" s="187"/>
      <c r="K811" s="187"/>
      <c r="L811" s="187"/>
      <c r="M811" s="192"/>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row>
    <row r="812">
      <c r="A812" s="187"/>
      <c r="B812" s="187"/>
      <c r="C812" s="187"/>
      <c r="D812" s="187"/>
      <c r="E812" s="187"/>
      <c r="F812" s="187"/>
      <c r="G812" s="187"/>
      <c r="H812" s="187"/>
      <c r="I812" s="187"/>
      <c r="J812" s="187"/>
      <c r="K812" s="187"/>
      <c r="L812" s="187"/>
      <c r="M812" s="192"/>
      <c r="N812" s="187"/>
      <c r="O812" s="187"/>
      <c r="P812" s="187"/>
      <c r="Q812" s="187"/>
      <c r="R812" s="187"/>
      <c r="S812" s="187"/>
      <c r="T812" s="187"/>
      <c r="U812" s="187"/>
      <c r="V812" s="187"/>
      <c r="W812" s="187"/>
      <c r="X812" s="187"/>
      <c r="Y812" s="187"/>
      <c r="Z812" s="187"/>
      <c r="AA812" s="187"/>
      <c r="AB812" s="187"/>
      <c r="AC812" s="187"/>
      <c r="AD812" s="187"/>
      <c r="AE812" s="187"/>
      <c r="AF812" s="187"/>
      <c r="AG812" s="187"/>
      <c r="AH812" s="187"/>
      <c r="AI812" s="187"/>
    </row>
    <row r="813">
      <c r="A813" s="187"/>
      <c r="B813" s="187"/>
      <c r="C813" s="187"/>
      <c r="D813" s="187"/>
      <c r="E813" s="187"/>
      <c r="F813" s="187"/>
      <c r="G813" s="187"/>
      <c r="H813" s="187"/>
      <c r="I813" s="187"/>
      <c r="J813" s="187"/>
      <c r="K813" s="187"/>
      <c r="L813" s="187"/>
      <c r="M813" s="192"/>
      <c r="N813" s="187"/>
      <c r="O813" s="187"/>
      <c r="P813" s="187"/>
      <c r="Q813" s="187"/>
      <c r="R813" s="187"/>
      <c r="S813" s="187"/>
      <c r="T813" s="187"/>
      <c r="U813" s="187"/>
      <c r="V813" s="187"/>
      <c r="W813" s="187"/>
      <c r="X813" s="187"/>
      <c r="Y813" s="187"/>
      <c r="Z813" s="187"/>
      <c r="AA813" s="187"/>
      <c r="AB813" s="187"/>
      <c r="AC813" s="187"/>
      <c r="AD813" s="187"/>
      <c r="AE813" s="187"/>
      <c r="AF813" s="187"/>
      <c r="AG813" s="187"/>
      <c r="AH813" s="187"/>
      <c r="AI813" s="187"/>
    </row>
    <row r="814">
      <c r="A814" s="187"/>
      <c r="B814" s="187"/>
      <c r="C814" s="187"/>
      <c r="D814" s="187"/>
      <c r="E814" s="187"/>
      <c r="F814" s="187"/>
      <c r="G814" s="187"/>
      <c r="H814" s="187"/>
      <c r="I814" s="187"/>
      <c r="J814" s="187"/>
      <c r="K814" s="187"/>
      <c r="L814" s="187"/>
      <c r="M814" s="192"/>
      <c r="N814" s="187"/>
      <c r="O814" s="187"/>
      <c r="P814" s="187"/>
      <c r="Q814" s="187"/>
      <c r="R814" s="187"/>
      <c r="S814" s="187"/>
      <c r="T814" s="187"/>
      <c r="U814" s="187"/>
      <c r="V814" s="187"/>
      <c r="W814" s="187"/>
      <c r="X814" s="187"/>
      <c r="Y814" s="187"/>
      <c r="Z814" s="187"/>
      <c r="AA814" s="187"/>
      <c r="AB814" s="187"/>
      <c r="AC814" s="187"/>
      <c r="AD814" s="187"/>
      <c r="AE814" s="187"/>
      <c r="AF814" s="187"/>
      <c r="AG814" s="187"/>
      <c r="AH814" s="187"/>
      <c r="AI814" s="187"/>
    </row>
    <row r="815">
      <c r="A815" s="187"/>
      <c r="B815" s="187"/>
      <c r="C815" s="187"/>
      <c r="D815" s="187"/>
      <c r="E815" s="187"/>
      <c r="F815" s="187"/>
      <c r="G815" s="187"/>
      <c r="H815" s="187"/>
      <c r="I815" s="187"/>
      <c r="J815" s="187"/>
      <c r="K815" s="187"/>
      <c r="L815" s="187"/>
      <c r="M815" s="192"/>
      <c r="N815" s="187"/>
      <c r="O815" s="187"/>
      <c r="P815" s="187"/>
      <c r="Q815" s="187"/>
      <c r="R815" s="187"/>
      <c r="S815" s="187"/>
      <c r="T815" s="187"/>
      <c r="U815" s="187"/>
      <c r="V815" s="187"/>
      <c r="W815" s="187"/>
      <c r="X815" s="187"/>
      <c r="Y815" s="187"/>
      <c r="Z815" s="187"/>
      <c r="AA815" s="187"/>
      <c r="AB815" s="187"/>
      <c r="AC815" s="187"/>
      <c r="AD815" s="187"/>
      <c r="AE815" s="187"/>
      <c r="AF815" s="187"/>
      <c r="AG815" s="187"/>
      <c r="AH815" s="187"/>
      <c r="AI815" s="187"/>
    </row>
    <row r="816">
      <c r="A816" s="187"/>
      <c r="B816" s="187"/>
      <c r="C816" s="187"/>
      <c r="D816" s="187"/>
      <c r="E816" s="187"/>
      <c r="F816" s="187"/>
      <c r="G816" s="187"/>
      <c r="H816" s="187"/>
      <c r="I816" s="187"/>
      <c r="J816" s="187"/>
      <c r="K816" s="187"/>
      <c r="L816" s="187"/>
      <c r="M816" s="192"/>
      <c r="N816" s="187"/>
      <c r="O816" s="187"/>
      <c r="P816" s="187"/>
      <c r="Q816" s="187"/>
      <c r="R816" s="187"/>
      <c r="S816" s="187"/>
      <c r="T816" s="187"/>
      <c r="U816" s="187"/>
      <c r="V816" s="187"/>
      <c r="W816" s="187"/>
      <c r="X816" s="187"/>
      <c r="Y816" s="187"/>
      <c r="Z816" s="187"/>
      <c r="AA816" s="187"/>
      <c r="AB816" s="187"/>
      <c r="AC816" s="187"/>
      <c r="AD816" s="187"/>
      <c r="AE816" s="187"/>
      <c r="AF816" s="187"/>
      <c r="AG816" s="187"/>
      <c r="AH816" s="187"/>
      <c r="AI816" s="187"/>
    </row>
    <row r="817">
      <c r="A817" s="187"/>
      <c r="B817" s="187"/>
      <c r="C817" s="187"/>
      <c r="D817" s="187"/>
      <c r="E817" s="187"/>
      <c r="F817" s="187"/>
      <c r="G817" s="187"/>
      <c r="H817" s="187"/>
      <c r="I817" s="187"/>
      <c r="J817" s="187"/>
      <c r="K817" s="187"/>
      <c r="L817" s="187"/>
      <c r="M817" s="192"/>
      <c r="N817" s="187"/>
      <c r="O817" s="187"/>
      <c r="P817" s="187"/>
      <c r="Q817" s="187"/>
      <c r="R817" s="187"/>
      <c r="S817" s="187"/>
      <c r="T817" s="187"/>
      <c r="U817" s="187"/>
      <c r="V817" s="187"/>
      <c r="W817" s="187"/>
      <c r="X817" s="187"/>
      <c r="Y817" s="187"/>
      <c r="Z817" s="187"/>
      <c r="AA817" s="187"/>
      <c r="AB817" s="187"/>
      <c r="AC817" s="187"/>
      <c r="AD817" s="187"/>
      <c r="AE817" s="187"/>
      <c r="AF817" s="187"/>
      <c r="AG817" s="187"/>
      <c r="AH817" s="187"/>
      <c r="AI817" s="187"/>
    </row>
    <row r="818">
      <c r="A818" s="187"/>
      <c r="B818" s="187"/>
      <c r="C818" s="187"/>
      <c r="D818" s="187"/>
      <c r="E818" s="187"/>
      <c r="F818" s="187"/>
      <c r="G818" s="187"/>
      <c r="H818" s="187"/>
      <c r="I818" s="187"/>
      <c r="J818" s="187"/>
      <c r="K818" s="187"/>
      <c r="L818" s="187"/>
      <c r="M818" s="192"/>
      <c r="N818" s="187"/>
      <c r="O818" s="187"/>
      <c r="P818" s="187"/>
      <c r="Q818" s="187"/>
      <c r="R818" s="187"/>
      <c r="S818" s="187"/>
      <c r="T818" s="187"/>
      <c r="U818" s="187"/>
      <c r="V818" s="187"/>
      <c r="W818" s="187"/>
      <c r="X818" s="187"/>
      <c r="Y818" s="187"/>
      <c r="Z818" s="187"/>
      <c r="AA818" s="187"/>
      <c r="AB818" s="187"/>
      <c r="AC818" s="187"/>
      <c r="AD818" s="187"/>
      <c r="AE818" s="187"/>
      <c r="AF818" s="187"/>
      <c r="AG818" s="187"/>
      <c r="AH818" s="187"/>
      <c r="AI818" s="187"/>
    </row>
    <row r="819">
      <c r="A819" s="187"/>
      <c r="B819" s="187"/>
      <c r="C819" s="187"/>
      <c r="D819" s="187"/>
      <c r="E819" s="187"/>
      <c r="F819" s="187"/>
      <c r="G819" s="187"/>
      <c r="H819" s="187"/>
      <c r="I819" s="187"/>
      <c r="J819" s="187"/>
      <c r="K819" s="187"/>
      <c r="L819" s="187"/>
      <c r="M819" s="192"/>
      <c r="N819" s="187"/>
      <c r="O819" s="187"/>
      <c r="P819" s="187"/>
      <c r="Q819" s="187"/>
      <c r="R819" s="187"/>
      <c r="S819" s="187"/>
      <c r="T819" s="187"/>
      <c r="U819" s="187"/>
      <c r="V819" s="187"/>
      <c r="W819" s="187"/>
      <c r="X819" s="187"/>
      <c r="Y819" s="187"/>
      <c r="Z819" s="187"/>
      <c r="AA819" s="187"/>
      <c r="AB819" s="187"/>
      <c r="AC819" s="187"/>
      <c r="AD819" s="187"/>
      <c r="AE819" s="187"/>
      <c r="AF819" s="187"/>
      <c r="AG819" s="187"/>
      <c r="AH819" s="187"/>
      <c r="AI819" s="187"/>
    </row>
    <row r="820">
      <c r="A820" s="187"/>
      <c r="B820" s="187"/>
      <c r="C820" s="187"/>
      <c r="D820" s="187"/>
      <c r="E820" s="187"/>
      <c r="F820" s="187"/>
      <c r="G820" s="187"/>
      <c r="H820" s="187"/>
      <c r="I820" s="187"/>
      <c r="J820" s="187"/>
      <c r="K820" s="187"/>
      <c r="L820" s="187"/>
      <c r="M820" s="192"/>
      <c r="N820" s="187"/>
      <c r="O820" s="187"/>
      <c r="P820" s="187"/>
      <c r="Q820" s="187"/>
      <c r="R820" s="187"/>
      <c r="S820" s="187"/>
      <c r="T820" s="187"/>
      <c r="U820" s="187"/>
      <c r="V820" s="187"/>
      <c r="W820" s="187"/>
      <c r="X820" s="187"/>
      <c r="Y820" s="187"/>
      <c r="Z820" s="187"/>
      <c r="AA820" s="187"/>
      <c r="AB820" s="187"/>
      <c r="AC820" s="187"/>
      <c r="AD820" s="187"/>
      <c r="AE820" s="187"/>
      <c r="AF820" s="187"/>
      <c r="AG820" s="187"/>
      <c r="AH820" s="187"/>
      <c r="AI820" s="187"/>
    </row>
    <row r="821">
      <c r="A821" s="187"/>
      <c r="B821" s="187"/>
      <c r="C821" s="187"/>
      <c r="D821" s="187"/>
      <c r="E821" s="187"/>
      <c r="F821" s="187"/>
      <c r="G821" s="187"/>
      <c r="H821" s="187"/>
      <c r="I821" s="187"/>
      <c r="J821" s="187"/>
      <c r="K821" s="187"/>
      <c r="L821" s="187"/>
      <c r="M821" s="192"/>
      <c r="N821" s="187"/>
      <c r="O821" s="187"/>
      <c r="P821" s="187"/>
      <c r="Q821" s="187"/>
      <c r="R821" s="187"/>
      <c r="S821" s="187"/>
      <c r="T821" s="187"/>
      <c r="U821" s="187"/>
      <c r="V821" s="187"/>
      <c r="W821" s="187"/>
      <c r="X821" s="187"/>
      <c r="Y821" s="187"/>
      <c r="Z821" s="187"/>
      <c r="AA821" s="187"/>
      <c r="AB821" s="187"/>
      <c r="AC821" s="187"/>
      <c r="AD821" s="187"/>
      <c r="AE821" s="187"/>
      <c r="AF821" s="187"/>
      <c r="AG821" s="187"/>
      <c r="AH821" s="187"/>
      <c r="AI821" s="187"/>
    </row>
    <row r="822">
      <c r="A822" s="187"/>
      <c r="B822" s="187"/>
      <c r="C822" s="187"/>
      <c r="D822" s="187"/>
      <c r="E822" s="187"/>
      <c r="F822" s="187"/>
      <c r="G822" s="187"/>
      <c r="H822" s="187"/>
      <c r="I822" s="187"/>
      <c r="J822" s="187"/>
      <c r="K822" s="187"/>
      <c r="L822" s="187"/>
      <c r="M822" s="192"/>
      <c r="N822" s="187"/>
      <c r="O822" s="187"/>
      <c r="P822" s="187"/>
      <c r="Q822" s="187"/>
      <c r="R822" s="187"/>
      <c r="S822" s="187"/>
      <c r="T822" s="187"/>
      <c r="U822" s="187"/>
      <c r="V822" s="187"/>
      <c r="W822" s="187"/>
      <c r="X822" s="187"/>
      <c r="Y822" s="187"/>
      <c r="Z822" s="187"/>
      <c r="AA822" s="187"/>
      <c r="AB822" s="187"/>
      <c r="AC822" s="187"/>
      <c r="AD822" s="187"/>
      <c r="AE822" s="187"/>
      <c r="AF822" s="187"/>
      <c r="AG822" s="187"/>
      <c r="AH822" s="187"/>
      <c r="AI822" s="187"/>
    </row>
    <row r="823">
      <c r="A823" s="187"/>
      <c r="B823" s="187"/>
      <c r="C823" s="187"/>
      <c r="D823" s="187"/>
      <c r="E823" s="187"/>
      <c r="F823" s="187"/>
      <c r="G823" s="187"/>
      <c r="H823" s="187"/>
      <c r="I823" s="187"/>
      <c r="J823" s="187"/>
      <c r="K823" s="187"/>
      <c r="L823" s="187"/>
      <c r="M823" s="192"/>
      <c r="N823" s="187"/>
      <c r="O823" s="187"/>
      <c r="P823" s="187"/>
      <c r="Q823" s="187"/>
      <c r="R823" s="187"/>
      <c r="S823" s="187"/>
      <c r="T823" s="187"/>
      <c r="U823" s="187"/>
      <c r="V823" s="187"/>
      <c r="W823" s="187"/>
      <c r="X823" s="187"/>
      <c r="Y823" s="187"/>
      <c r="Z823" s="187"/>
      <c r="AA823" s="187"/>
      <c r="AB823" s="187"/>
      <c r="AC823" s="187"/>
      <c r="AD823" s="187"/>
      <c r="AE823" s="187"/>
      <c r="AF823" s="187"/>
      <c r="AG823" s="187"/>
      <c r="AH823" s="187"/>
      <c r="AI823" s="187"/>
    </row>
    <row r="824">
      <c r="A824" s="187"/>
      <c r="B824" s="187"/>
      <c r="C824" s="187"/>
      <c r="D824" s="187"/>
      <c r="E824" s="187"/>
      <c r="F824" s="187"/>
      <c r="G824" s="187"/>
      <c r="H824" s="187"/>
      <c r="I824" s="187"/>
      <c r="J824" s="187"/>
      <c r="K824" s="187"/>
      <c r="L824" s="187"/>
      <c r="M824" s="192"/>
      <c r="N824" s="187"/>
      <c r="O824" s="187"/>
      <c r="P824" s="187"/>
      <c r="Q824" s="187"/>
      <c r="R824" s="187"/>
      <c r="S824" s="187"/>
      <c r="T824" s="187"/>
      <c r="U824" s="187"/>
      <c r="V824" s="187"/>
      <c r="W824" s="187"/>
      <c r="X824" s="187"/>
      <c r="Y824" s="187"/>
      <c r="Z824" s="187"/>
      <c r="AA824" s="187"/>
      <c r="AB824" s="187"/>
      <c r="AC824" s="187"/>
      <c r="AD824" s="187"/>
      <c r="AE824" s="187"/>
      <c r="AF824" s="187"/>
      <c r="AG824" s="187"/>
      <c r="AH824" s="187"/>
      <c r="AI824" s="187"/>
    </row>
    <row r="825">
      <c r="A825" s="187"/>
      <c r="B825" s="187"/>
      <c r="C825" s="187"/>
      <c r="D825" s="187"/>
      <c r="E825" s="187"/>
      <c r="F825" s="187"/>
      <c r="G825" s="187"/>
      <c r="H825" s="187"/>
      <c r="I825" s="187"/>
      <c r="J825" s="187"/>
      <c r="K825" s="187"/>
      <c r="L825" s="187"/>
      <c r="M825" s="192"/>
      <c r="N825" s="187"/>
      <c r="O825" s="187"/>
      <c r="P825" s="187"/>
      <c r="Q825" s="187"/>
      <c r="R825" s="187"/>
      <c r="S825" s="187"/>
      <c r="T825" s="187"/>
      <c r="U825" s="187"/>
      <c r="V825" s="187"/>
      <c r="W825" s="187"/>
      <c r="X825" s="187"/>
      <c r="Y825" s="187"/>
      <c r="Z825" s="187"/>
      <c r="AA825" s="187"/>
      <c r="AB825" s="187"/>
      <c r="AC825" s="187"/>
      <c r="AD825" s="187"/>
      <c r="AE825" s="187"/>
      <c r="AF825" s="187"/>
      <c r="AG825" s="187"/>
      <c r="AH825" s="187"/>
      <c r="AI825" s="187"/>
    </row>
    <row r="826">
      <c r="A826" s="187"/>
      <c r="B826" s="187"/>
      <c r="C826" s="187"/>
      <c r="D826" s="187"/>
      <c r="E826" s="187"/>
      <c r="F826" s="187"/>
      <c r="G826" s="187"/>
      <c r="H826" s="187"/>
      <c r="I826" s="187"/>
      <c r="J826" s="187"/>
      <c r="K826" s="187"/>
      <c r="L826" s="187"/>
      <c r="M826" s="192"/>
      <c r="N826" s="187"/>
      <c r="O826" s="187"/>
      <c r="P826" s="187"/>
      <c r="Q826" s="187"/>
      <c r="R826" s="187"/>
      <c r="S826" s="187"/>
      <c r="T826" s="187"/>
      <c r="U826" s="187"/>
      <c r="V826" s="187"/>
      <c r="W826" s="187"/>
      <c r="X826" s="187"/>
      <c r="Y826" s="187"/>
      <c r="Z826" s="187"/>
      <c r="AA826" s="187"/>
      <c r="AB826" s="187"/>
      <c r="AC826" s="187"/>
      <c r="AD826" s="187"/>
      <c r="AE826" s="187"/>
      <c r="AF826" s="187"/>
      <c r="AG826" s="187"/>
      <c r="AH826" s="187"/>
      <c r="AI826" s="187"/>
    </row>
    <row r="827">
      <c r="A827" s="187"/>
      <c r="B827" s="187"/>
      <c r="C827" s="187"/>
      <c r="D827" s="187"/>
      <c r="E827" s="187"/>
      <c r="F827" s="187"/>
      <c r="G827" s="187"/>
      <c r="H827" s="187"/>
      <c r="I827" s="187"/>
      <c r="J827" s="187"/>
      <c r="K827" s="187"/>
      <c r="L827" s="187"/>
      <c r="M827" s="192"/>
      <c r="N827" s="187"/>
      <c r="O827" s="187"/>
      <c r="P827" s="187"/>
      <c r="Q827" s="187"/>
      <c r="R827" s="187"/>
      <c r="S827" s="187"/>
      <c r="T827" s="187"/>
      <c r="U827" s="187"/>
      <c r="V827" s="187"/>
      <c r="W827" s="187"/>
      <c r="X827" s="187"/>
      <c r="Y827" s="187"/>
      <c r="Z827" s="187"/>
      <c r="AA827" s="187"/>
      <c r="AB827" s="187"/>
      <c r="AC827" s="187"/>
      <c r="AD827" s="187"/>
      <c r="AE827" s="187"/>
      <c r="AF827" s="187"/>
      <c r="AG827" s="187"/>
      <c r="AH827" s="187"/>
      <c r="AI827" s="187"/>
    </row>
    <row r="828">
      <c r="A828" s="187"/>
      <c r="B828" s="187"/>
      <c r="C828" s="187"/>
      <c r="D828" s="187"/>
      <c r="E828" s="187"/>
      <c r="F828" s="187"/>
      <c r="G828" s="187"/>
      <c r="H828" s="187"/>
      <c r="I828" s="187"/>
      <c r="J828" s="187"/>
      <c r="K828" s="187"/>
      <c r="L828" s="187"/>
      <c r="M828" s="192"/>
      <c r="N828" s="187"/>
      <c r="O828" s="187"/>
      <c r="P828" s="187"/>
      <c r="Q828" s="187"/>
      <c r="R828" s="187"/>
      <c r="S828" s="187"/>
      <c r="T828" s="187"/>
      <c r="U828" s="187"/>
      <c r="V828" s="187"/>
      <c r="W828" s="187"/>
      <c r="X828" s="187"/>
      <c r="Y828" s="187"/>
      <c r="Z828" s="187"/>
      <c r="AA828" s="187"/>
      <c r="AB828" s="187"/>
      <c r="AC828" s="187"/>
      <c r="AD828" s="187"/>
      <c r="AE828" s="187"/>
      <c r="AF828" s="187"/>
      <c r="AG828" s="187"/>
      <c r="AH828" s="187"/>
      <c r="AI828" s="187"/>
    </row>
    <row r="829">
      <c r="A829" s="187"/>
      <c r="B829" s="187"/>
      <c r="C829" s="187"/>
      <c r="D829" s="187"/>
      <c r="E829" s="187"/>
      <c r="F829" s="187"/>
      <c r="G829" s="187"/>
      <c r="H829" s="187"/>
      <c r="I829" s="187"/>
      <c r="J829" s="187"/>
      <c r="K829" s="187"/>
      <c r="L829" s="187"/>
      <c r="M829" s="192"/>
      <c r="N829" s="187"/>
      <c r="O829" s="187"/>
      <c r="P829" s="187"/>
      <c r="Q829" s="187"/>
      <c r="R829" s="187"/>
      <c r="S829" s="187"/>
      <c r="T829" s="187"/>
      <c r="U829" s="187"/>
      <c r="V829" s="187"/>
      <c r="W829" s="187"/>
      <c r="X829" s="187"/>
      <c r="Y829" s="187"/>
      <c r="Z829" s="187"/>
      <c r="AA829" s="187"/>
      <c r="AB829" s="187"/>
      <c r="AC829" s="187"/>
      <c r="AD829" s="187"/>
      <c r="AE829" s="187"/>
      <c r="AF829" s="187"/>
      <c r="AG829" s="187"/>
      <c r="AH829" s="187"/>
      <c r="AI829" s="187"/>
    </row>
    <row r="830">
      <c r="A830" s="187"/>
      <c r="B830" s="187"/>
      <c r="C830" s="187"/>
      <c r="D830" s="187"/>
      <c r="E830" s="187"/>
      <c r="F830" s="187"/>
      <c r="G830" s="187"/>
      <c r="H830" s="187"/>
      <c r="I830" s="187"/>
      <c r="J830" s="187"/>
      <c r="K830" s="187"/>
      <c r="L830" s="187"/>
      <c r="M830" s="192"/>
      <c r="N830" s="187"/>
      <c r="O830" s="187"/>
      <c r="P830" s="187"/>
      <c r="Q830" s="187"/>
      <c r="R830" s="187"/>
      <c r="S830" s="187"/>
      <c r="T830" s="187"/>
      <c r="U830" s="187"/>
      <c r="V830" s="187"/>
      <c r="W830" s="187"/>
      <c r="X830" s="187"/>
      <c r="Y830" s="187"/>
      <c r="Z830" s="187"/>
      <c r="AA830" s="187"/>
      <c r="AB830" s="187"/>
      <c r="AC830" s="187"/>
      <c r="AD830" s="187"/>
      <c r="AE830" s="187"/>
      <c r="AF830" s="187"/>
      <c r="AG830" s="187"/>
      <c r="AH830" s="187"/>
      <c r="AI830" s="187"/>
    </row>
    <row r="831">
      <c r="A831" s="187"/>
      <c r="B831" s="187"/>
      <c r="C831" s="187"/>
      <c r="D831" s="187"/>
      <c r="E831" s="187"/>
      <c r="F831" s="187"/>
      <c r="G831" s="187"/>
      <c r="H831" s="187"/>
      <c r="I831" s="187"/>
      <c r="J831" s="187"/>
      <c r="K831" s="187"/>
      <c r="L831" s="187"/>
      <c r="M831" s="192"/>
      <c r="N831" s="187"/>
      <c r="O831" s="187"/>
      <c r="P831" s="187"/>
      <c r="Q831" s="187"/>
      <c r="R831" s="187"/>
      <c r="S831" s="187"/>
      <c r="T831" s="187"/>
      <c r="U831" s="187"/>
      <c r="V831" s="187"/>
      <c r="W831" s="187"/>
      <c r="X831" s="187"/>
      <c r="Y831" s="187"/>
      <c r="Z831" s="187"/>
      <c r="AA831" s="187"/>
      <c r="AB831" s="187"/>
      <c r="AC831" s="187"/>
      <c r="AD831" s="187"/>
      <c r="AE831" s="187"/>
      <c r="AF831" s="187"/>
      <c r="AG831" s="187"/>
      <c r="AH831" s="187"/>
      <c r="AI831" s="187"/>
    </row>
    <row r="832">
      <c r="A832" s="187"/>
      <c r="B832" s="187"/>
      <c r="C832" s="187"/>
      <c r="D832" s="187"/>
      <c r="E832" s="187"/>
      <c r="F832" s="187"/>
      <c r="G832" s="187"/>
      <c r="H832" s="187"/>
      <c r="I832" s="187"/>
      <c r="J832" s="187"/>
      <c r="K832" s="187"/>
      <c r="L832" s="187"/>
      <c r="M832" s="192"/>
      <c r="N832" s="187"/>
      <c r="O832" s="187"/>
      <c r="P832" s="187"/>
      <c r="Q832" s="187"/>
      <c r="R832" s="187"/>
      <c r="S832" s="187"/>
      <c r="T832" s="187"/>
      <c r="U832" s="187"/>
      <c r="V832" s="187"/>
      <c r="W832" s="187"/>
      <c r="X832" s="187"/>
      <c r="Y832" s="187"/>
      <c r="Z832" s="187"/>
      <c r="AA832" s="187"/>
      <c r="AB832" s="187"/>
      <c r="AC832" s="187"/>
      <c r="AD832" s="187"/>
      <c r="AE832" s="187"/>
      <c r="AF832" s="187"/>
      <c r="AG832" s="187"/>
      <c r="AH832" s="187"/>
      <c r="AI832" s="187"/>
    </row>
    <row r="833">
      <c r="A833" s="187"/>
      <c r="B833" s="187"/>
      <c r="C833" s="187"/>
      <c r="D833" s="187"/>
      <c r="E833" s="187"/>
      <c r="F833" s="187"/>
      <c r="G833" s="187"/>
      <c r="H833" s="187"/>
      <c r="I833" s="187"/>
      <c r="J833" s="187"/>
      <c r="K833" s="187"/>
      <c r="L833" s="187"/>
      <c r="M833" s="192"/>
      <c r="N833" s="187"/>
      <c r="O833" s="187"/>
      <c r="P833" s="187"/>
      <c r="Q833" s="187"/>
      <c r="R833" s="187"/>
      <c r="S833" s="187"/>
      <c r="T833" s="187"/>
      <c r="U833" s="187"/>
      <c r="V833" s="187"/>
      <c r="W833" s="187"/>
      <c r="X833" s="187"/>
      <c r="Y833" s="187"/>
      <c r="Z833" s="187"/>
      <c r="AA833" s="187"/>
      <c r="AB833" s="187"/>
      <c r="AC833" s="187"/>
      <c r="AD833" s="187"/>
      <c r="AE833" s="187"/>
      <c r="AF833" s="187"/>
      <c r="AG833" s="187"/>
      <c r="AH833" s="187"/>
      <c r="AI833" s="187"/>
    </row>
    <row r="834">
      <c r="A834" s="187"/>
      <c r="B834" s="187"/>
      <c r="C834" s="187"/>
      <c r="D834" s="187"/>
      <c r="E834" s="187"/>
      <c r="F834" s="187"/>
      <c r="G834" s="187"/>
      <c r="H834" s="187"/>
      <c r="I834" s="187"/>
      <c r="J834" s="187"/>
      <c r="K834" s="187"/>
      <c r="L834" s="187"/>
      <c r="M834" s="192"/>
      <c r="N834" s="187"/>
      <c r="O834" s="187"/>
      <c r="P834" s="187"/>
      <c r="Q834" s="187"/>
      <c r="R834" s="187"/>
      <c r="S834" s="187"/>
      <c r="T834" s="187"/>
      <c r="U834" s="187"/>
      <c r="V834" s="187"/>
      <c r="W834" s="187"/>
      <c r="X834" s="187"/>
      <c r="Y834" s="187"/>
      <c r="Z834" s="187"/>
      <c r="AA834" s="187"/>
      <c r="AB834" s="187"/>
      <c r="AC834" s="187"/>
      <c r="AD834" s="187"/>
      <c r="AE834" s="187"/>
      <c r="AF834" s="187"/>
      <c r="AG834" s="187"/>
      <c r="AH834" s="187"/>
      <c r="AI834" s="187"/>
    </row>
    <row r="835">
      <c r="A835" s="187"/>
      <c r="B835" s="187"/>
      <c r="C835" s="187"/>
      <c r="D835" s="187"/>
      <c r="E835" s="187"/>
      <c r="F835" s="187"/>
      <c r="G835" s="187"/>
      <c r="H835" s="187"/>
      <c r="I835" s="187"/>
      <c r="J835" s="187"/>
      <c r="K835" s="187"/>
      <c r="L835" s="187"/>
      <c r="M835" s="192"/>
      <c r="N835" s="187"/>
      <c r="O835" s="187"/>
      <c r="P835" s="187"/>
      <c r="Q835" s="187"/>
      <c r="R835" s="187"/>
      <c r="S835" s="187"/>
      <c r="T835" s="187"/>
      <c r="U835" s="187"/>
      <c r="V835" s="187"/>
      <c r="W835" s="187"/>
      <c r="X835" s="187"/>
      <c r="Y835" s="187"/>
      <c r="Z835" s="187"/>
      <c r="AA835" s="187"/>
      <c r="AB835" s="187"/>
      <c r="AC835" s="187"/>
      <c r="AD835" s="187"/>
      <c r="AE835" s="187"/>
      <c r="AF835" s="187"/>
      <c r="AG835" s="187"/>
      <c r="AH835" s="187"/>
      <c r="AI835" s="187"/>
    </row>
    <row r="836">
      <c r="A836" s="187"/>
      <c r="B836" s="187"/>
      <c r="C836" s="187"/>
      <c r="D836" s="187"/>
      <c r="E836" s="187"/>
      <c r="F836" s="187"/>
      <c r="G836" s="187"/>
      <c r="H836" s="187"/>
      <c r="I836" s="187"/>
      <c r="J836" s="187"/>
      <c r="K836" s="187"/>
      <c r="L836" s="187"/>
      <c r="M836" s="192"/>
      <c r="N836" s="187"/>
      <c r="O836" s="187"/>
      <c r="P836" s="187"/>
      <c r="Q836" s="187"/>
      <c r="R836" s="187"/>
      <c r="S836" s="187"/>
      <c r="T836" s="187"/>
      <c r="U836" s="187"/>
      <c r="V836" s="187"/>
      <c r="W836" s="187"/>
      <c r="X836" s="187"/>
      <c r="Y836" s="187"/>
      <c r="Z836" s="187"/>
      <c r="AA836" s="187"/>
      <c r="AB836" s="187"/>
      <c r="AC836" s="187"/>
      <c r="AD836" s="187"/>
      <c r="AE836" s="187"/>
      <c r="AF836" s="187"/>
      <c r="AG836" s="187"/>
      <c r="AH836" s="187"/>
      <c r="AI836" s="187"/>
    </row>
    <row r="837">
      <c r="A837" s="187"/>
      <c r="B837" s="187"/>
      <c r="C837" s="187"/>
      <c r="D837" s="187"/>
      <c r="E837" s="187"/>
      <c r="F837" s="187"/>
      <c r="G837" s="187"/>
      <c r="H837" s="187"/>
      <c r="I837" s="187"/>
      <c r="J837" s="187"/>
      <c r="K837" s="187"/>
      <c r="L837" s="187"/>
      <c r="M837" s="192"/>
      <c r="N837" s="187"/>
      <c r="O837" s="187"/>
      <c r="P837" s="187"/>
      <c r="Q837" s="187"/>
      <c r="R837" s="187"/>
      <c r="S837" s="187"/>
      <c r="T837" s="187"/>
      <c r="U837" s="187"/>
      <c r="V837" s="187"/>
      <c r="W837" s="187"/>
      <c r="X837" s="187"/>
      <c r="Y837" s="187"/>
      <c r="Z837" s="187"/>
      <c r="AA837" s="187"/>
      <c r="AB837" s="187"/>
      <c r="AC837" s="187"/>
      <c r="AD837" s="187"/>
      <c r="AE837" s="187"/>
      <c r="AF837" s="187"/>
      <c r="AG837" s="187"/>
      <c r="AH837" s="187"/>
      <c r="AI837" s="187"/>
    </row>
    <row r="838">
      <c r="A838" s="187"/>
      <c r="B838" s="187"/>
      <c r="C838" s="187"/>
      <c r="D838" s="187"/>
      <c r="E838" s="187"/>
      <c r="F838" s="187"/>
      <c r="G838" s="187"/>
      <c r="H838" s="187"/>
      <c r="I838" s="187"/>
      <c r="J838" s="187"/>
      <c r="K838" s="187"/>
      <c r="L838" s="187"/>
      <c r="M838" s="192"/>
      <c r="N838" s="187"/>
      <c r="O838" s="187"/>
      <c r="P838" s="187"/>
      <c r="Q838" s="187"/>
      <c r="R838" s="187"/>
      <c r="S838" s="187"/>
      <c r="T838" s="187"/>
      <c r="U838" s="187"/>
      <c r="V838" s="187"/>
      <c r="W838" s="187"/>
      <c r="X838" s="187"/>
      <c r="Y838" s="187"/>
      <c r="Z838" s="187"/>
      <c r="AA838" s="187"/>
      <c r="AB838" s="187"/>
      <c r="AC838" s="187"/>
      <c r="AD838" s="187"/>
      <c r="AE838" s="187"/>
      <c r="AF838" s="187"/>
      <c r="AG838" s="187"/>
      <c r="AH838" s="187"/>
      <c r="AI838" s="187"/>
    </row>
    <row r="839">
      <c r="A839" s="187"/>
      <c r="B839" s="187"/>
      <c r="C839" s="187"/>
      <c r="D839" s="187"/>
      <c r="E839" s="187"/>
      <c r="F839" s="187"/>
      <c r="G839" s="187"/>
      <c r="H839" s="187"/>
      <c r="I839" s="187"/>
      <c r="J839" s="187"/>
      <c r="K839" s="187"/>
      <c r="L839" s="187"/>
      <c r="M839" s="192"/>
      <c r="N839" s="187"/>
      <c r="O839" s="187"/>
      <c r="P839" s="187"/>
      <c r="Q839" s="187"/>
      <c r="R839" s="187"/>
      <c r="S839" s="187"/>
      <c r="T839" s="187"/>
      <c r="U839" s="187"/>
      <c r="V839" s="187"/>
      <c r="W839" s="187"/>
      <c r="X839" s="187"/>
      <c r="Y839" s="187"/>
      <c r="Z839" s="187"/>
      <c r="AA839" s="187"/>
      <c r="AB839" s="187"/>
      <c r="AC839" s="187"/>
      <c r="AD839" s="187"/>
      <c r="AE839" s="187"/>
      <c r="AF839" s="187"/>
      <c r="AG839" s="187"/>
      <c r="AH839" s="187"/>
      <c r="AI839" s="187"/>
    </row>
    <row r="840">
      <c r="A840" s="187"/>
      <c r="B840" s="187"/>
      <c r="C840" s="187"/>
      <c r="D840" s="187"/>
      <c r="E840" s="187"/>
      <c r="F840" s="187"/>
      <c r="G840" s="187"/>
      <c r="H840" s="187"/>
      <c r="I840" s="187"/>
      <c r="J840" s="187"/>
      <c r="K840" s="187"/>
      <c r="L840" s="187"/>
      <c r="M840" s="192"/>
      <c r="N840" s="187"/>
      <c r="O840" s="187"/>
      <c r="P840" s="187"/>
      <c r="Q840" s="187"/>
      <c r="R840" s="187"/>
      <c r="S840" s="187"/>
      <c r="T840" s="187"/>
      <c r="U840" s="187"/>
      <c r="V840" s="187"/>
      <c r="W840" s="187"/>
      <c r="X840" s="187"/>
      <c r="Y840" s="187"/>
      <c r="Z840" s="187"/>
      <c r="AA840" s="187"/>
      <c r="AB840" s="187"/>
      <c r="AC840" s="187"/>
      <c r="AD840" s="187"/>
      <c r="AE840" s="187"/>
      <c r="AF840" s="187"/>
      <c r="AG840" s="187"/>
      <c r="AH840" s="187"/>
      <c r="AI840" s="187"/>
    </row>
    <row r="841">
      <c r="A841" s="187"/>
      <c r="B841" s="187"/>
      <c r="C841" s="187"/>
      <c r="D841" s="187"/>
      <c r="E841" s="187"/>
      <c r="F841" s="187"/>
      <c r="G841" s="187"/>
      <c r="H841" s="187"/>
      <c r="I841" s="187"/>
      <c r="J841" s="187"/>
      <c r="K841" s="187"/>
      <c r="L841" s="187"/>
      <c r="M841" s="192"/>
      <c r="N841" s="187"/>
      <c r="O841" s="187"/>
      <c r="P841" s="187"/>
      <c r="Q841" s="187"/>
      <c r="R841" s="187"/>
      <c r="S841" s="187"/>
      <c r="T841" s="187"/>
      <c r="U841" s="187"/>
      <c r="V841" s="187"/>
      <c r="W841" s="187"/>
      <c r="X841" s="187"/>
      <c r="Y841" s="187"/>
      <c r="Z841" s="187"/>
      <c r="AA841" s="187"/>
      <c r="AB841" s="187"/>
      <c r="AC841" s="187"/>
      <c r="AD841" s="187"/>
      <c r="AE841" s="187"/>
      <c r="AF841" s="187"/>
      <c r="AG841" s="187"/>
      <c r="AH841" s="187"/>
      <c r="AI841" s="187"/>
    </row>
    <row r="842">
      <c r="A842" s="187"/>
      <c r="B842" s="187"/>
      <c r="C842" s="187"/>
      <c r="D842" s="187"/>
      <c r="E842" s="187"/>
      <c r="F842" s="187"/>
      <c r="G842" s="187"/>
      <c r="H842" s="187"/>
      <c r="I842" s="187"/>
      <c r="J842" s="187"/>
      <c r="K842" s="187"/>
      <c r="L842" s="187"/>
      <c r="M842" s="192"/>
      <c r="N842" s="187"/>
      <c r="O842" s="187"/>
      <c r="P842" s="187"/>
      <c r="Q842" s="187"/>
      <c r="R842" s="187"/>
      <c r="S842" s="187"/>
      <c r="T842" s="187"/>
      <c r="U842" s="187"/>
      <c r="V842" s="187"/>
      <c r="W842" s="187"/>
      <c r="X842" s="187"/>
      <c r="Y842" s="187"/>
      <c r="Z842" s="187"/>
      <c r="AA842" s="187"/>
      <c r="AB842" s="187"/>
      <c r="AC842" s="187"/>
      <c r="AD842" s="187"/>
      <c r="AE842" s="187"/>
      <c r="AF842" s="187"/>
      <c r="AG842" s="187"/>
      <c r="AH842" s="187"/>
      <c r="AI842" s="187"/>
    </row>
    <row r="843">
      <c r="A843" s="187"/>
      <c r="B843" s="187"/>
      <c r="C843" s="187"/>
      <c r="D843" s="187"/>
      <c r="E843" s="187"/>
      <c r="F843" s="187"/>
      <c r="G843" s="187"/>
      <c r="H843" s="187"/>
      <c r="I843" s="187"/>
      <c r="J843" s="187"/>
      <c r="K843" s="187"/>
      <c r="L843" s="187"/>
      <c r="M843" s="192"/>
      <c r="N843" s="187"/>
      <c r="O843" s="187"/>
      <c r="P843" s="187"/>
      <c r="Q843" s="187"/>
      <c r="R843" s="187"/>
      <c r="S843" s="187"/>
      <c r="T843" s="187"/>
      <c r="U843" s="187"/>
      <c r="V843" s="187"/>
      <c r="W843" s="187"/>
      <c r="X843" s="187"/>
      <c r="Y843" s="187"/>
      <c r="Z843" s="187"/>
      <c r="AA843" s="187"/>
      <c r="AB843" s="187"/>
      <c r="AC843" s="187"/>
      <c r="AD843" s="187"/>
      <c r="AE843" s="187"/>
      <c r="AF843" s="187"/>
      <c r="AG843" s="187"/>
      <c r="AH843" s="187"/>
      <c r="AI843" s="187"/>
    </row>
    <row r="844">
      <c r="A844" s="187"/>
      <c r="B844" s="187"/>
      <c r="C844" s="187"/>
      <c r="D844" s="187"/>
      <c r="E844" s="187"/>
      <c r="F844" s="187"/>
      <c r="G844" s="187"/>
      <c r="H844" s="187"/>
      <c r="I844" s="187"/>
      <c r="J844" s="187"/>
      <c r="K844" s="187"/>
      <c r="L844" s="187"/>
      <c r="M844" s="192"/>
      <c r="N844" s="187"/>
      <c r="O844" s="187"/>
      <c r="P844" s="187"/>
      <c r="Q844" s="187"/>
      <c r="R844" s="187"/>
      <c r="S844" s="187"/>
      <c r="T844" s="187"/>
      <c r="U844" s="187"/>
      <c r="V844" s="187"/>
      <c r="W844" s="187"/>
      <c r="X844" s="187"/>
      <c r="Y844" s="187"/>
      <c r="Z844" s="187"/>
      <c r="AA844" s="187"/>
      <c r="AB844" s="187"/>
      <c r="AC844" s="187"/>
      <c r="AD844" s="187"/>
      <c r="AE844" s="187"/>
      <c r="AF844" s="187"/>
      <c r="AG844" s="187"/>
      <c r="AH844" s="187"/>
      <c r="AI844" s="187"/>
    </row>
    <row r="845">
      <c r="A845" s="187"/>
      <c r="B845" s="187"/>
      <c r="C845" s="187"/>
      <c r="D845" s="187"/>
      <c r="E845" s="187"/>
      <c r="F845" s="187"/>
      <c r="G845" s="187"/>
      <c r="H845" s="187"/>
      <c r="I845" s="187"/>
      <c r="J845" s="187"/>
      <c r="K845" s="187"/>
      <c r="L845" s="187"/>
      <c r="M845" s="192"/>
      <c r="N845" s="187"/>
      <c r="O845" s="187"/>
      <c r="P845" s="187"/>
      <c r="Q845" s="187"/>
      <c r="R845" s="187"/>
      <c r="S845" s="187"/>
      <c r="T845" s="187"/>
      <c r="U845" s="187"/>
      <c r="V845" s="187"/>
      <c r="W845" s="187"/>
      <c r="X845" s="187"/>
      <c r="Y845" s="187"/>
      <c r="Z845" s="187"/>
      <c r="AA845" s="187"/>
      <c r="AB845" s="187"/>
      <c r="AC845" s="187"/>
      <c r="AD845" s="187"/>
      <c r="AE845" s="187"/>
      <c r="AF845" s="187"/>
      <c r="AG845" s="187"/>
      <c r="AH845" s="187"/>
      <c r="AI845" s="187"/>
    </row>
    <row r="846">
      <c r="A846" s="187"/>
      <c r="B846" s="187"/>
      <c r="C846" s="187"/>
      <c r="D846" s="187"/>
      <c r="E846" s="187"/>
      <c r="F846" s="187"/>
      <c r="G846" s="187"/>
      <c r="H846" s="187"/>
      <c r="I846" s="187"/>
      <c r="J846" s="187"/>
      <c r="K846" s="187"/>
      <c r="L846" s="187"/>
      <c r="M846" s="192"/>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row>
    <row r="847">
      <c r="A847" s="187"/>
      <c r="B847" s="187"/>
      <c r="C847" s="187"/>
      <c r="D847" s="187"/>
      <c r="E847" s="187"/>
      <c r="F847" s="187"/>
      <c r="G847" s="187"/>
      <c r="H847" s="187"/>
      <c r="I847" s="187"/>
      <c r="J847" s="187"/>
      <c r="K847" s="187"/>
      <c r="L847" s="187"/>
      <c r="M847" s="192"/>
      <c r="N847" s="187"/>
      <c r="O847" s="187"/>
      <c r="P847" s="187"/>
      <c r="Q847" s="187"/>
      <c r="R847" s="187"/>
      <c r="S847" s="187"/>
      <c r="T847" s="187"/>
      <c r="U847" s="187"/>
      <c r="V847" s="187"/>
      <c r="W847" s="187"/>
      <c r="X847" s="187"/>
      <c r="Y847" s="187"/>
      <c r="Z847" s="187"/>
      <c r="AA847" s="187"/>
      <c r="AB847" s="187"/>
      <c r="AC847" s="187"/>
      <c r="AD847" s="187"/>
      <c r="AE847" s="187"/>
      <c r="AF847" s="187"/>
      <c r="AG847" s="187"/>
      <c r="AH847" s="187"/>
      <c r="AI847" s="187"/>
    </row>
    <row r="848">
      <c r="A848" s="187"/>
      <c r="B848" s="187"/>
      <c r="C848" s="187"/>
      <c r="D848" s="187"/>
      <c r="E848" s="187"/>
      <c r="F848" s="187"/>
      <c r="G848" s="187"/>
      <c r="H848" s="187"/>
      <c r="I848" s="187"/>
      <c r="J848" s="187"/>
      <c r="K848" s="187"/>
      <c r="L848" s="187"/>
      <c r="M848" s="192"/>
      <c r="N848" s="187"/>
      <c r="O848" s="187"/>
      <c r="P848" s="187"/>
      <c r="Q848" s="187"/>
      <c r="R848" s="187"/>
      <c r="S848" s="187"/>
      <c r="T848" s="187"/>
      <c r="U848" s="187"/>
      <c r="V848" s="187"/>
      <c r="W848" s="187"/>
      <c r="X848" s="187"/>
      <c r="Y848" s="187"/>
      <c r="Z848" s="187"/>
      <c r="AA848" s="187"/>
      <c r="AB848" s="187"/>
      <c r="AC848" s="187"/>
      <c r="AD848" s="187"/>
      <c r="AE848" s="187"/>
      <c r="AF848" s="187"/>
      <c r="AG848" s="187"/>
      <c r="AH848" s="187"/>
      <c r="AI848" s="187"/>
    </row>
    <row r="849">
      <c r="A849" s="187"/>
      <c r="B849" s="187"/>
      <c r="C849" s="187"/>
      <c r="D849" s="187"/>
      <c r="E849" s="187"/>
      <c r="F849" s="187"/>
      <c r="G849" s="187"/>
      <c r="H849" s="187"/>
      <c r="I849" s="187"/>
      <c r="J849" s="187"/>
      <c r="K849" s="187"/>
      <c r="L849" s="187"/>
      <c r="M849" s="192"/>
      <c r="N849" s="187"/>
      <c r="O849" s="187"/>
      <c r="P849" s="187"/>
      <c r="Q849" s="187"/>
      <c r="R849" s="187"/>
      <c r="S849" s="187"/>
      <c r="T849" s="187"/>
      <c r="U849" s="187"/>
      <c r="V849" s="187"/>
      <c r="W849" s="187"/>
      <c r="X849" s="187"/>
      <c r="Y849" s="187"/>
      <c r="Z849" s="187"/>
      <c r="AA849" s="187"/>
      <c r="AB849" s="187"/>
      <c r="AC849" s="187"/>
      <c r="AD849" s="187"/>
      <c r="AE849" s="187"/>
      <c r="AF849" s="187"/>
      <c r="AG849" s="187"/>
      <c r="AH849" s="187"/>
      <c r="AI849" s="187"/>
    </row>
    <row r="850">
      <c r="A850" s="187"/>
      <c r="B850" s="187"/>
      <c r="C850" s="187"/>
      <c r="D850" s="187"/>
      <c r="E850" s="187"/>
      <c r="F850" s="187"/>
      <c r="G850" s="187"/>
      <c r="H850" s="187"/>
      <c r="I850" s="187"/>
      <c r="J850" s="187"/>
      <c r="K850" s="187"/>
      <c r="L850" s="187"/>
      <c r="M850" s="192"/>
      <c r="N850" s="187"/>
      <c r="O850" s="187"/>
      <c r="P850" s="187"/>
      <c r="Q850" s="187"/>
      <c r="R850" s="187"/>
      <c r="S850" s="187"/>
      <c r="T850" s="187"/>
      <c r="U850" s="187"/>
      <c r="V850" s="187"/>
      <c r="W850" s="187"/>
      <c r="X850" s="187"/>
      <c r="Y850" s="187"/>
      <c r="Z850" s="187"/>
      <c r="AA850" s="187"/>
      <c r="AB850" s="187"/>
      <c r="AC850" s="187"/>
      <c r="AD850" s="187"/>
      <c r="AE850" s="187"/>
      <c r="AF850" s="187"/>
      <c r="AG850" s="187"/>
      <c r="AH850" s="187"/>
      <c r="AI850" s="187"/>
    </row>
    <row r="851">
      <c r="A851" s="187"/>
      <c r="B851" s="187"/>
      <c r="C851" s="187"/>
      <c r="D851" s="187"/>
      <c r="E851" s="187"/>
      <c r="F851" s="187"/>
      <c r="G851" s="187"/>
      <c r="H851" s="187"/>
      <c r="I851" s="187"/>
      <c r="J851" s="187"/>
      <c r="K851" s="187"/>
      <c r="L851" s="187"/>
      <c r="M851" s="192"/>
      <c r="N851" s="187"/>
      <c r="O851" s="187"/>
      <c r="P851" s="187"/>
      <c r="Q851" s="187"/>
      <c r="R851" s="187"/>
      <c r="S851" s="187"/>
      <c r="T851" s="187"/>
      <c r="U851" s="187"/>
      <c r="V851" s="187"/>
      <c r="W851" s="187"/>
      <c r="X851" s="187"/>
      <c r="Y851" s="187"/>
      <c r="Z851" s="187"/>
      <c r="AA851" s="187"/>
      <c r="AB851" s="187"/>
      <c r="AC851" s="187"/>
      <c r="AD851" s="187"/>
      <c r="AE851" s="187"/>
      <c r="AF851" s="187"/>
      <c r="AG851" s="187"/>
      <c r="AH851" s="187"/>
      <c r="AI851" s="187"/>
    </row>
    <row r="852">
      <c r="A852" s="187"/>
      <c r="B852" s="187"/>
      <c r="C852" s="187"/>
      <c r="D852" s="187"/>
      <c r="E852" s="187"/>
      <c r="F852" s="187"/>
      <c r="G852" s="187"/>
      <c r="H852" s="187"/>
      <c r="I852" s="187"/>
      <c r="J852" s="187"/>
      <c r="K852" s="187"/>
      <c r="L852" s="187"/>
      <c r="M852" s="192"/>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row>
    <row r="853">
      <c r="A853" s="187"/>
      <c r="B853" s="187"/>
      <c r="C853" s="187"/>
      <c r="D853" s="187"/>
      <c r="E853" s="187"/>
      <c r="F853" s="187"/>
      <c r="G853" s="187"/>
      <c r="H853" s="187"/>
      <c r="I853" s="187"/>
      <c r="J853" s="187"/>
      <c r="K853" s="187"/>
      <c r="L853" s="187"/>
      <c r="M853" s="192"/>
      <c r="N853" s="187"/>
      <c r="O853" s="187"/>
      <c r="P853" s="187"/>
      <c r="Q853" s="187"/>
      <c r="R853" s="187"/>
      <c r="S853" s="187"/>
      <c r="T853" s="187"/>
      <c r="U853" s="187"/>
      <c r="V853" s="187"/>
      <c r="W853" s="187"/>
      <c r="X853" s="187"/>
      <c r="Y853" s="187"/>
      <c r="Z853" s="187"/>
      <c r="AA853" s="187"/>
      <c r="AB853" s="187"/>
      <c r="AC853" s="187"/>
      <c r="AD853" s="187"/>
      <c r="AE853" s="187"/>
      <c r="AF853" s="187"/>
      <c r="AG853" s="187"/>
      <c r="AH853" s="187"/>
      <c r="AI853" s="187"/>
    </row>
    <row r="854">
      <c r="A854" s="187"/>
      <c r="B854" s="187"/>
      <c r="C854" s="187"/>
      <c r="D854" s="187"/>
      <c r="E854" s="187"/>
      <c r="F854" s="187"/>
      <c r="G854" s="187"/>
      <c r="H854" s="187"/>
      <c r="I854" s="187"/>
      <c r="J854" s="187"/>
      <c r="K854" s="187"/>
      <c r="L854" s="187"/>
      <c r="M854" s="192"/>
      <c r="N854" s="187"/>
      <c r="O854" s="187"/>
      <c r="P854" s="187"/>
      <c r="Q854" s="187"/>
      <c r="R854" s="187"/>
      <c r="S854" s="187"/>
      <c r="T854" s="187"/>
      <c r="U854" s="187"/>
      <c r="V854" s="187"/>
      <c r="W854" s="187"/>
      <c r="X854" s="187"/>
      <c r="Y854" s="187"/>
      <c r="Z854" s="187"/>
      <c r="AA854" s="187"/>
      <c r="AB854" s="187"/>
      <c r="AC854" s="187"/>
      <c r="AD854" s="187"/>
      <c r="AE854" s="187"/>
      <c r="AF854" s="187"/>
      <c r="AG854" s="187"/>
      <c r="AH854" s="187"/>
      <c r="AI854" s="187"/>
    </row>
    <row r="855">
      <c r="A855" s="187"/>
      <c r="B855" s="187"/>
      <c r="C855" s="187"/>
      <c r="D855" s="187"/>
      <c r="E855" s="187"/>
      <c r="F855" s="187"/>
      <c r="G855" s="187"/>
      <c r="H855" s="187"/>
      <c r="I855" s="187"/>
      <c r="J855" s="187"/>
      <c r="K855" s="187"/>
      <c r="L855" s="187"/>
      <c r="M855" s="192"/>
      <c r="N855" s="187"/>
      <c r="O855" s="187"/>
      <c r="P855" s="187"/>
      <c r="Q855" s="187"/>
      <c r="R855" s="187"/>
      <c r="S855" s="187"/>
      <c r="T855" s="187"/>
      <c r="U855" s="187"/>
      <c r="V855" s="187"/>
      <c r="W855" s="187"/>
      <c r="X855" s="187"/>
      <c r="Y855" s="187"/>
      <c r="Z855" s="187"/>
      <c r="AA855" s="187"/>
      <c r="AB855" s="187"/>
      <c r="AC855" s="187"/>
      <c r="AD855" s="187"/>
      <c r="AE855" s="187"/>
      <c r="AF855" s="187"/>
      <c r="AG855" s="187"/>
      <c r="AH855" s="187"/>
      <c r="AI855" s="187"/>
    </row>
    <row r="856">
      <c r="A856" s="187"/>
      <c r="B856" s="187"/>
      <c r="C856" s="187"/>
      <c r="D856" s="187"/>
      <c r="E856" s="187"/>
      <c r="F856" s="187"/>
      <c r="G856" s="187"/>
      <c r="H856" s="187"/>
      <c r="I856" s="187"/>
      <c r="J856" s="187"/>
      <c r="K856" s="187"/>
      <c r="L856" s="187"/>
      <c r="M856" s="192"/>
      <c r="N856" s="187"/>
      <c r="O856" s="187"/>
      <c r="P856" s="187"/>
      <c r="Q856" s="187"/>
      <c r="R856" s="187"/>
      <c r="S856" s="187"/>
      <c r="T856" s="187"/>
      <c r="U856" s="187"/>
      <c r="V856" s="187"/>
      <c r="W856" s="187"/>
      <c r="X856" s="187"/>
      <c r="Y856" s="187"/>
      <c r="Z856" s="187"/>
      <c r="AA856" s="187"/>
      <c r="AB856" s="187"/>
      <c r="AC856" s="187"/>
      <c r="AD856" s="187"/>
      <c r="AE856" s="187"/>
      <c r="AF856" s="187"/>
      <c r="AG856" s="187"/>
      <c r="AH856" s="187"/>
      <c r="AI856" s="187"/>
    </row>
    <row r="857">
      <c r="A857" s="187"/>
      <c r="B857" s="187"/>
      <c r="C857" s="187"/>
      <c r="D857" s="187"/>
      <c r="E857" s="187"/>
      <c r="F857" s="187"/>
      <c r="G857" s="187"/>
      <c r="H857" s="187"/>
      <c r="I857" s="187"/>
      <c r="J857" s="187"/>
      <c r="K857" s="187"/>
      <c r="L857" s="187"/>
      <c r="M857" s="192"/>
      <c r="N857" s="187"/>
      <c r="O857" s="187"/>
      <c r="P857" s="187"/>
      <c r="Q857" s="187"/>
      <c r="R857" s="187"/>
      <c r="S857" s="187"/>
      <c r="T857" s="187"/>
      <c r="U857" s="187"/>
      <c r="V857" s="187"/>
      <c r="W857" s="187"/>
      <c r="X857" s="187"/>
      <c r="Y857" s="187"/>
      <c r="Z857" s="187"/>
      <c r="AA857" s="187"/>
      <c r="AB857" s="187"/>
      <c r="AC857" s="187"/>
      <c r="AD857" s="187"/>
      <c r="AE857" s="187"/>
      <c r="AF857" s="187"/>
      <c r="AG857" s="187"/>
      <c r="AH857" s="187"/>
      <c r="AI857" s="187"/>
    </row>
    <row r="858">
      <c r="A858" s="187"/>
      <c r="B858" s="187"/>
      <c r="C858" s="187"/>
      <c r="D858" s="187"/>
      <c r="E858" s="187"/>
      <c r="F858" s="187"/>
      <c r="G858" s="187"/>
      <c r="H858" s="187"/>
      <c r="I858" s="187"/>
      <c r="J858" s="187"/>
      <c r="K858" s="187"/>
      <c r="L858" s="187"/>
      <c r="M858" s="192"/>
      <c r="N858" s="187"/>
      <c r="O858" s="187"/>
      <c r="P858" s="187"/>
      <c r="Q858" s="187"/>
      <c r="R858" s="187"/>
      <c r="S858" s="187"/>
      <c r="T858" s="187"/>
      <c r="U858" s="187"/>
      <c r="V858" s="187"/>
      <c r="W858" s="187"/>
      <c r="X858" s="187"/>
      <c r="Y858" s="187"/>
      <c r="Z858" s="187"/>
      <c r="AA858" s="187"/>
      <c r="AB858" s="187"/>
      <c r="AC858" s="187"/>
      <c r="AD858" s="187"/>
      <c r="AE858" s="187"/>
      <c r="AF858" s="187"/>
      <c r="AG858" s="187"/>
      <c r="AH858" s="187"/>
      <c r="AI858" s="187"/>
    </row>
    <row r="859">
      <c r="A859" s="187"/>
      <c r="B859" s="187"/>
      <c r="C859" s="187"/>
      <c r="D859" s="187"/>
      <c r="E859" s="187"/>
      <c r="F859" s="187"/>
      <c r="G859" s="187"/>
      <c r="H859" s="187"/>
      <c r="I859" s="187"/>
      <c r="J859" s="187"/>
      <c r="K859" s="187"/>
      <c r="L859" s="187"/>
      <c r="M859" s="192"/>
      <c r="N859" s="187"/>
      <c r="O859" s="187"/>
      <c r="P859" s="187"/>
      <c r="Q859" s="187"/>
      <c r="R859" s="187"/>
      <c r="S859" s="187"/>
      <c r="T859" s="187"/>
      <c r="U859" s="187"/>
      <c r="V859" s="187"/>
      <c r="W859" s="187"/>
      <c r="X859" s="187"/>
      <c r="Y859" s="187"/>
      <c r="Z859" s="187"/>
      <c r="AA859" s="187"/>
      <c r="AB859" s="187"/>
      <c r="AC859" s="187"/>
      <c r="AD859" s="187"/>
      <c r="AE859" s="187"/>
      <c r="AF859" s="187"/>
      <c r="AG859" s="187"/>
      <c r="AH859" s="187"/>
      <c r="AI859" s="187"/>
    </row>
    <row r="860">
      <c r="A860" s="187"/>
      <c r="B860" s="187"/>
      <c r="C860" s="187"/>
      <c r="D860" s="187"/>
      <c r="E860" s="187"/>
      <c r="F860" s="187"/>
      <c r="G860" s="187"/>
      <c r="H860" s="187"/>
      <c r="I860" s="187"/>
      <c r="J860" s="187"/>
      <c r="K860" s="187"/>
      <c r="L860" s="187"/>
      <c r="M860" s="192"/>
      <c r="N860" s="187"/>
      <c r="O860" s="187"/>
      <c r="P860" s="187"/>
      <c r="Q860" s="187"/>
      <c r="R860" s="187"/>
      <c r="S860" s="187"/>
      <c r="T860" s="187"/>
      <c r="U860" s="187"/>
      <c r="V860" s="187"/>
      <c r="W860" s="187"/>
      <c r="X860" s="187"/>
      <c r="Y860" s="187"/>
      <c r="Z860" s="187"/>
      <c r="AA860" s="187"/>
      <c r="AB860" s="187"/>
      <c r="AC860" s="187"/>
      <c r="AD860" s="187"/>
      <c r="AE860" s="187"/>
      <c r="AF860" s="187"/>
      <c r="AG860" s="187"/>
      <c r="AH860" s="187"/>
      <c r="AI860" s="187"/>
    </row>
    <row r="861">
      <c r="A861" s="187"/>
      <c r="B861" s="187"/>
      <c r="C861" s="187"/>
      <c r="D861" s="187"/>
      <c r="E861" s="187"/>
      <c r="F861" s="187"/>
      <c r="G861" s="187"/>
      <c r="H861" s="187"/>
      <c r="I861" s="187"/>
      <c r="J861" s="187"/>
      <c r="K861" s="187"/>
      <c r="L861" s="187"/>
      <c r="M861" s="192"/>
      <c r="N861" s="187"/>
      <c r="O861" s="187"/>
      <c r="P861" s="187"/>
      <c r="Q861" s="187"/>
      <c r="R861" s="187"/>
      <c r="S861" s="187"/>
      <c r="T861" s="187"/>
      <c r="U861" s="187"/>
      <c r="V861" s="187"/>
      <c r="W861" s="187"/>
      <c r="X861" s="187"/>
      <c r="Y861" s="187"/>
      <c r="Z861" s="187"/>
      <c r="AA861" s="187"/>
      <c r="AB861" s="187"/>
      <c r="AC861" s="187"/>
      <c r="AD861" s="187"/>
      <c r="AE861" s="187"/>
      <c r="AF861" s="187"/>
      <c r="AG861" s="187"/>
      <c r="AH861" s="187"/>
      <c r="AI861" s="187"/>
    </row>
    <row r="862">
      <c r="A862" s="187"/>
      <c r="B862" s="187"/>
      <c r="C862" s="187"/>
      <c r="D862" s="187"/>
      <c r="E862" s="187"/>
      <c r="F862" s="187"/>
      <c r="G862" s="187"/>
      <c r="H862" s="187"/>
      <c r="I862" s="187"/>
      <c r="J862" s="187"/>
      <c r="K862" s="187"/>
      <c r="L862" s="187"/>
      <c r="M862" s="192"/>
      <c r="N862" s="187"/>
      <c r="O862" s="187"/>
      <c r="P862" s="187"/>
      <c r="Q862" s="187"/>
      <c r="R862" s="187"/>
      <c r="S862" s="187"/>
      <c r="T862" s="187"/>
      <c r="U862" s="187"/>
      <c r="V862" s="187"/>
      <c r="W862" s="187"/>
      <c r="X862" s="187"/>
      <c r="Y862" s="187"/>
      <c r="Z862" s="187"/>
      <c r="AA862" s="187"/>
      <c r="AB862" s="187"/>
      <c r="AC862" s="187"/>
      <c r="AD862" s="187"/>
      <c r="AE862" s="187"/>
      <c r="AF862" s="187"/>
      <c r="AG862" s="187"/>
      <c r="AH862" s="187"/>
      <c r="AI862" s="187"/>
    </row>
    <row r="863">
      <c r="A863" s="187"/>
      <c r="B863" s="187"/>
      <c r="C863" s="187"/>
      <c r="D863" s="187"/>
      <c r="E863" s="187"/>
      <c r="F863" s="187"/>
      <c r="G863" s="187"/>
      <c r="H863" s="187"/>
      <c r="I863" s="187"/>
      <c r="J863" s="187"/>
      <c r="K863" s="187"/>
      <c r="L863" s="187"/>
      <c r="M863" s="192"/>
      <c r="N863" s="187"/>
      <c r="O863" s="187"/>
      <c r="P863" s="187"/>
      <c r="Q863" s="187"/>
      <c r="R863" s="187"/>
      <c r="S863" s="187"/>
      <c r="T863" s="187"/>
      <c r="U863" s="187"/>
      <c r="V863" s="187"/>
      <c r="W863" s="187"/>
      <c r="X863" s="187"/>
      <c r="Y863" s="187"/>
      <c r="Z863" s="187"/>
      <c r="AA863" s="187"/>
      <c r="AB863" s="187"/>
      <c r="AC863" s="187"/>
      <c r="AD863" s="187"/>
      <c r="AE863" s="187"/>
      <c r="AF863" s="187"/>
      <c r="AG863" s="187"/>
      <c r="AH863" s="187"/>
      <c r="AI863" s="187"/>
    </row>
    <row r="864">
      <c r="A864" s="187"/>
      <c r="B864" s="187"/>
      <c r="C864" s="187"/>
      <c r="D864" s="187"/>
      <c r="E864" s="187"/>
      <c r="F864" s="187"/>
      <c r="G864" s="187"/>
      <c r="H864" s="187"/>
      <c r="I864" s="187"/>
      <c r="J864" s="187"/>
      <c r="K864" s="187"/>
      <c r="L864" s="187"/>
      <c r="M864" s="192"/>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row>
    <row r="865">
      <c r="A865" s="187"/>
      <c r="B865" s="187"/>
      <c r="C865" s="187"/>
      <c r="D865" s="187"/>
      <c r="E865" s="187"/>
      <c r="F865" s="187"/>
      <c r="G865" s="187"/>
      <c r="H865" s="187"/>
      <c r="I865" s="187"/>
      <c r="J865" s="187"/>
      <c r="K865" s="187"/>
      <c r="L865" s="187"/>
      <c r="M865" s="192"/>
      <c r="N865" s="187"/>
      <c r="O865" s="187"/>
      <c r="P865" s="187"/>
      <c r="Q865" s="187"/>
      <c r="R865" s="187"/>
      <c r="S865" s="187"/>
      <c r="T865" s="187"/>
      <c r="U865" s="187"/>
      <c r="V865" s="187"/>
      <c r="W865" s="187"/>
      <c r="X865" s="187"/>
      <c r="Y865" s="187"/>
      <c r="Z865" s="187"/>
      <c r="AA865" s="187"/>
      <c r="AB865" s="187"/>
      <c r="AC865" s="187"/>
      <c r="AD865" s="187"/>
      <c r="AE865" s="187"/>
      <c r="AF865" s="187"/>
      <c r="AG865" s="187"/>
      <c r="AH865" s="187"/>
      <c r="AI865" s="187"/>
    </row>
    <row r="866">
      <c r="A866" s="187"/>
      <c r="B866" s="187"/>
      <c r="C866" s="187"/>
      <c r="D866" s="187"/>
      <c r="E866" s="187"/>
      <c r="F866" s="187"/>
      <c r="G866" s="187"/>
      <c r="H866" s="187"/>
      <c r="I866" s="187"/>
      <c r="J866" s="187"/>
      <c r="K866" s="187"/>
      <c r="L866" s="187"/>
      <c r="M866" s="192"/>
      <c r="N866" s="187"/>
      <c r="O866" s="187"/>
      <c r="P866" s="187"/>
      <c r="Q866" s="187"/>
      <c r="R866" s="187"/>
      <c r="S866" s="187"/>
      <c r="T866" s="187"/>
      <c r="U866" s="187"/>
      <c r="V866" s="187"/>
      <c r="W866" s="187"/>
      <c r="X866" s="187"/>
      <c r="Y866" s="187"/>
      <c r="Z866" s="187"/>
      <c r="AA866" s="187"/>
      <c r="AB866" s="187"/>
      <c r="AC866" s="187"/>
      <c r="AD866" s="187"/>
      <c r="AE866" s="187"/>
      <c r="AF866" s="187"/>
      <c r="AG866" s="187"/>
      <c r="AH866" s="187"/>
      <c r="AI866" s="187"/>
    </row>
    <row r="867">
      <c r="A867" s="187"/>
      <c r="B867" s="187"/>
      <c r="C867" s="187"/>
      <c r="D867" s="187"/>
      <c r="E867" s="187"/>
      <c r="F867" s="187"/>
      <c r="G867" s="187"/>
      <c r="H867" s="187"/>
      <c r="I867" s="187"/>
      <c r="J867" s="187"/>
      <c r="K867" s="187"/>
      <c r="L867" s="187"/>
      <c r="M867" s="192"/>
      <c r="N867" s="187"/>
      <c r="O867" s="187"/>
      <c r="P867" s="187"/>
      <c r="Q867" s="187"/>
      <c r="R867" s="187"/>
      <c r="S867" s="187"/>
      <c r="T867" s="187"/>
      <c r="U867" s="187"/>
      <c r="V867" s="187"/>
      <c r="W867" s="187"/>
      <c r="X867" s="187"/>
      <c r="Y867" s="187"/>
      <c r="Z867" s="187"/>
      <c r="AA867" s="187"/>
      <c r="AB867" s="187"/>
      <c r="AC867" s="187"/>
      <c r="AD867" s="187"/>
      <c r="AE867" s="187"/>
      <c r="AF867" s="187"/>
      <c r="AG867" s="187"/>
      <c r="AH867" s="187"/>
      <c r="AI867" s="187"/>
    </row>
    <row r="868">
      <c r="A868" s="187"/>
      <c r="B868" s="187"/>
      <c r="C868" s="187"/>
      <c r="D868" s="187"/>
      <c r="E868" s="187"/>
      <c r="F868" s="187"/>
      <c r="G868" s="187"/>
      <c r="H868" s="187"/>
      <c r="I868" s="187"/>
      <c r="J868" s="187"/>
      <c r="K868" s="187"/>
      <c r="L868" s="187"/>
      <c r="M868" s="192"/>
      <c r="N868" s="187"/>
      <c r="O868" s="187"/>
      <c r="P868" s="187"/>
      <c r="Q868" s="187"/>
      <c r="R868" s="187"/>
      <c r="S868" s="187"/>
      <c r="T868" s="187"/>
      <c r="U868" s="187"/>
      <c r="V868" s="187"/>
      <c r="W868" s="187"/>
      <c r="X868" s="187"/>
      <c r="Y868" s="187"/>
      <c r="Z868" s="187"/>
      <c r="AA868" s="187"/>
      <c r="AB868" s="187"/>
      <c r="AC868" s="187"/>
      <c r="AD868" s="187"/>
      <c r="AE868" s="187"/>
      <c r="AF868" s="187"/>
      <c r="AG868" s="187"/>
      <c r="AH868" s="187"/>
      <c r="AI868" s="187"/>
    </row>
    <row r="869">
      <c r="A869" s="187"/>
      <c r="B869" s="187"/>
      <c r="C869" s="187"/>
      <c r="D869" s="187"/>
      <c r="E869" s="187"/>
      <c r="F869" s="187"/>
      <c r="G869" s="187"/>
      <c r="H869" s="187"/>
      <c r="I869" s="187"/>
      <c r="J869" s="187"/>
      <c r="K869" s="187"/>
      <c r="L869" s="187"/>
      <c r="M869" s="192"/>
      <c r="N869" s="187"/>
      <c r="O869" s="187"/>
      <c r="P869" s="187"/>
      <c r="Q869" s="187"/>
      <c r="R869" s="187"/>
      <c r="S869" s="187"/>
      <c r="T869" s="187"/>
      <c r="U869" s="187"/>
      <c r="V869" s="187"/>
      <c r="W869" s="187"/>
      <c r="X869" s="187"/>
      <c r="Y869" s="187"/>
      <c r="Z869" s="187"/>
      <c r="AA869" s="187"/>
      <c r="AB869" s="187"/>
      <c r="AC869" s="187"/>
      <c r="AD869" s="187"/>
      <c r="AE869" s="187"/>
      <c r="AF869" s="187"/>
      <c r="AG869" s="187"/>
      <c r="AH869" s="187"/>
      <c r="AI869" s="187"/>
    </row>
    <row r="870">
      <c r="A870" s="187"/>
      <c r="B870" s="187"/>
      <c r="C870" s="187"/>
      <c r="D870" s="187"/>
      <c r="E870" s="187"/>
      <c r="F870" s="187"/>
      <c r="G870" s="187"/>
      <c r="H870" s="187"/>
      <c r="I870" s="187"/>
      <c r="J870" s="187"/>
      <c r="K870" s="187"/>
      <c r="L870" s="187"/>
      <c r="M870" s="192"/>
      <c r="N870" s="187"/>
      <c r="O870" s="187"/>
      <c r="P870" s="187"/>
      <c r="Q870" s="187"/>
      <c r="R870" s="187"/>
      <c r="S870" s="187"/>
      <c r="T870" s="187"/>
      <c r="U870" s="187"/>
      <c r="V870" s="187"/>
      <c r="W870" s="187"/>
      <c r="X870" s="187"/>
      <c r="Y870" s="187"/>
      <c r="Z870" s="187"/>
      <c r="AA870" s="187"/>
      <c r="AB870" s="187"/>
      <c r="AC870" s="187"/>
      <c r="AD870" s="187"/>
      <c r="AE870" s="187"/>
      <c r="AF870" s="187"/>
      <c r="AG870" s="187"/>
      <c r="AH870" s="187"/>
      <c r="AI870" s="187"/>
    </row>
    <row r="871">
      <c r="A871" s="187"/>
      <c r="B871" s="187"/>
      <c r="C871" s="187"/>
      <c r="D871" s="187"/>
      <c r="E871" s="187"/>
      <c r="F871" s="187"/>
      <c r="G871" s="187"/>
      <c r="H871" s="187"/>
      <c r="I871" s="187"/>
      <c r="J871" s="187"/>
      <c r="K871" s="187"/>
      <c r="L871" s="187"/>
      <c r="M871" s="192"/>
      <c r="N871" s="187"/>
      <c r="O871" s="187"/>
      <c r="P871" s="187"/>
      <c r="Q871" s="187"/>
      <c r="R871" s="187"/>
      <c r="S871" s="187"/>
      <c r="T871" s="187"/>
      <c r="U871" s="187"/>
      <c r="V871" s="187"/>
      <c r="W871" s="187"/>
      <c r="X871" s="187"/>
      <c r="Y871" s="187"/>
      <c r="Z871" s="187"/>
      <c r="AA871" s="187"/>
      <c r="AB871" s="187"/>
      <c r="AC871" s="187"/>
      <c r="AD871" s="187"/>
      <c r="AE871" s="187"/>
      <c r="AF871" s="187"/>
      <c r="AG871" s="187"/>
      <c r="AH871" s="187"/>
      <c r="AI871" s="187"/>
    </row>
    <row r="872">
      <c r="A872" s="187"/>
      <c r="B872" s="187"/>
      <c r="C872" s="187"/>
      <c r="D872" s="187"/>
      <c r="E872" s="187"/>
      <c r="F872" s="187"/>
      <c r="G872" s="187"/>
      <c r="H872" s="187"/>
      <c r="I872" s="187"/>
      <c r="J872" s="187"/>
      <c r="K872" s="187"/>
      <c r="L872" s="187"/>
      <c r="M872" s="192"/>
      <c r="N872" s="187"/>
      <c r="O872" s="187"/>
      <c r="P872" s="187"/>
      <c r="Q872" s="187"/>
      <c r="R872" s="187"/>
      <c r="S872" s="187"/>
      <c r="T872" s="187"/>
      <c r="U872" s="187"/>
      <c r="V872" s="187"/>
      <c r="W872" s="187"/>
      <c r="X872" s="187"/>
      <c r="Y872" s="187"/>
      <c r="Z872" s="187"/>
      <c r="AA872" s="187"/>
      <c r="AB872" s="187"/>
      <c r="AC872" s="187"/>
      <c r="AD872" s="187"/>
      <c r="AE872" s="187"/>
      <c r="AF872" s="187"/>
      <c r="AG872" s="187"/>
      <c r="AH872" s="187"/>
      <c r="AI872" s="187"/>
    </row>
    <row r="873">
      <c r="A873" s="187"/>
      <c r="B873" s="187"/>
      <c r="C873" s="187"/>
      <c r="D873" s="187"/>
      <c r="E873" s="187"/>
      <c r="F873" s="187"/>
      <c r="G873" s="187"/>
      <c r="H873" s="187"/>
      <c r="I873" s="187"/>
      <c r="J873" s="187"/>
      <c r="K873" s="187"/>
      <c r="L873" s="187"/>
      <c r="M873" s="192"/>
      <c r="N873" s="187"/>
      <c r="O873" s="187"/>
      <c r="P873" s="187"/>
      <c r="Q873" s="187"/>
      <c r="R873" s="187"/>
      <c r="S873" s="187"/>
      <c r="T873" s="187"/>
      <c r="U873" s="187"/>
      <c r="V873" s="187"/>
      <c r="W873" s="187"/>
      <c r="X873" s="187"/>
      <c r="Y873" s="187"/>
      <c r="Z873" s="187"/>
      <c r="AA873" s="187"/>
      <c r="AB873" s="187"/>
      <c r="AC873" s="187"/>
      <c r="AD873" s="187"/>
      <c r="AE873" s="187"/>
      <c r="AF873" s="187"/>
      <c r="AG873" s="187"/>
      <c r="AH873" s="187"/>
      <c r="AI873" s="187"/>
    </row>
    <row r="874">
      <c r="A874" s="187"/>
      <c r="B874" s="187"/>
      <c r="C874" s="187"/>
      <c r="D874" s="187"/>
      <c r="E874" s="187"/>
      <c r="F874" s="187"/>
      <c r="G874" s="187"/>
      <c r="H874" s="187"/>
      <c r="I874" s="187"/>
      <c r="J874" s="187"/>
      <c r="K874" s="187"/>
      <c r="L874" s="187"/>
      <c r="M874" s="192"/>
      <c r="N874" s="187"/>
      <c r="O874" s="187"/>
      <c r="P874" s="187"/>
      <c r="Q874" s="187"/>
      <c r="R874" s="187"/>
      <c r="S874" s="187"/>
      <c r="T874" s="187"/>
      <c r="U874" s="187"/>
      <c r="V874" s="187"/>
      <c r="W874" s="187"/>
      <c r="X874" s="187"/>
      <c r="Y874" s="187"/>
      <c r="Z874" s="187"/>
      <c r="AA874" s="187"/>
      <c r="AB874" s="187"/>
      <c r="AC874" s="187"/>
      <c r="AD874" s="187"/>
      <c r="AE874" s="187"/>
      <c r="AF874" s="187"/>
      <c r="AG874" s="187"/>
      <c r="AH874" s="187"/>
      <c r="AI874" s="187"/>
    </row>
    <row r="875">
      <c r="A875" s="187"/>
      <c r="B875" s="187"/>
      <c r="C875" s="187"/>
      <c r="D875" s="187"/>
      <c r="E875" s="187"/>
      <c r="F875" s="187"/>
      <c r="G875" s="187"/>
      <c r="H875" s="187"/>
      <c r="I875" s="187"/>
      <c r="J875" s="187"/>
      <c r="K875" s="187"/>
      <c r="L875" s="187"/>
      <c r="M875" s="192"/>
      <c r="N875" s="187"/>
      <c r="O875" s="187"/>
      <c r="P875" s="187"/>
      <c r="Q875" s="187"/>
      <c r="R875" s="187"/>
      <c r="S875" s="187"/>
      <c r="T875" s="187"/>
      <c r="U875" s="187"/>
      <c r="V875" s="187"/>
      <c r="W875" s="187"/>
      <c r="X875" s="187"/>
      <c r="Y875" s="187"/>
      <c r="Z875" s="187"/>
      <c r="AA875" s="187"/>
      <c r="AB875" s="187"/>
      <c r="AC875" s="187"/>
      <c r="AD875" s="187"/>
      <c r="AE875" s="187"/>
      <c r="AF875" s="187"/>
      <c r="AG875" s="187"/>
      <c r="AH875" s="187"/>
      <c r="AI875" s="187"/>
    </row>
    <row r="876">
      <c r="A876" s="187"/>
      <c r="B876" s="187"/>
      <c r="C876" s="187"/>
      <c r="D876" s="187"/>
      <c r="E876" s="187"/>
      <c r="F876" s="187"/>
      <c r="G876" s="187"/>
      <c r="H876" s="187"/>
      <c r="I876" s="187"/>
      <c r="J876" s="187"/>
      <c r="K876" s="187"/>
      <c r="L876" s="187"/>
      <c r="M876" s="192"/>
      <c r="N876" s="187"/>
      <c r="O876" s="187"/>
      <c r="P876" s="187"/>
      <c r="Q876" s="187"/>
      <c r="R876" s="187"/>
      <c r="S876" s="187"/>
      <c r="T876" s="187"/>
      <c r="U876" s="187"/>
      <c r="V876" s="187"/>
      <c r="W876" s="187"/>
      <c r="X876" s="187"/>
      <c r="Y876" s="187"/>
      <c r="Z876" s="187"/>
      <c r="AA876" s="187"/>
      <c r="AB876" s="187"/>
      <c r="AC876" s="187"/>
      <c r="AD876" s="187"/>
      <c r="AE876" s="187"/>
      <c r="AF876" s="187"/>
      <c r="AG876" s="187"/>
      <c r="AH876" s="187"/>
      <c r="AI876" s="187"/>
    </row>
    <row r="877">
      <c r="A877" s="187"/>
      <c r="B877" s="187"/>
      <c r="C877" s="187"/>
      <c r="D877" s="187"/>
      <c r="E877" s="187"/>
      <c r="F877" s="187"/>
      <c r="G877" s="187"/>
      <c r="H877" s="187"/>
      <c r="I877" s="187"/>
      <c r="J877" s="187"/>
      <c r="K877" s="187"/>
      <c r="L877" s="187"/>
      <c r="M877" s="192"/>
      <c r="N877" s="187"/>
      <c r="O877" s="187"/>
      <c r="P877" s="187"/>
      <c r="Q877" s="187"/>
      <c r="R877" s="187"/>
      <c r="S877" s="187"/>
      <c r="T877" s="187"/>
      <c r="U877" s="187"/>
      <c r="V877" s="187"/>
      <c r="W877" s="187"/>
      <c r="X877" s="187"/>
      <c r="Y877" s="187"/>
      <c r="Z877" s="187"/>
      <c r="AA877" s="187"/>
      <c r="AB877" s="187"/>
      <c r="AC877" s="187"/>
      <c r="AD877" s="187"/>
      <c r="AE877" s="187"/>
      <c r="AF877" s="187"/>
      <c r="AG877" s="187"/>
      <c r="AH877" s="187"/>
      <c r="AI877" s="187"/>
    </row>
    <row r="878">
      <c r="A878" s="187"/>
      <c r="B878" s="187"/>
      <c r="C878" s="187"/>
      <c r="D878" s="187"/>
      <c r="E878" s="187"/>
      <c r="F878" s="187"/>
      <c r="G878" s="187"/>
      <c r="H878" s="187"/>
      <c r="I878" s="187"/>
      <c r="J878" s="187"/>
      <c r="K878" s="187"/>
      <c r="L878" s="187"/>
      <c r="M878" s="192"/>
      <c r="N878" s="187"/>
      <c r="O878" s="187"/>
      <c r="P878" s="187"/>
      <c r="Q878" s="187"/>
      <c r="R878" s="187"/>
      <c r="S878" s="187"/>
      <c r="T878" s="187"/>
      <c r="U878" s="187"/>
      <c r="V878" s="187"/>
      <c r="W878" s="187"/>
      <c r="X878" s="187"/>
      <c r="Y878" s="187"/>
      <c r="Z878" s="187"/>
      <c r="AA878" s="187"/>
      <c r="AB878" s="187"/>
      <c r="AC878" s="187"/>
      <c r="AD878" s="187"/>
      <c r="AE878" s="187"/>
      <c r="AF878" s="187"/>
      <c r="AG878" s="187"/>
      <c r="AH878" s="187"/>
      <c r="AI878" s="187"/>
    </row>
    <row r="879">
      <c r="A879" s="187"/>
      <c r="B879" s="187"/>
      <c r="C879" s="187"/>
      <c r="D879" s="187"/>
      <c r="E879" s="187"/>
      <c r="F879" s="187"/>
      <c r="G879" s="187"/>
      <c r="H879" s="187"/>
      <c r="I879" s="187"/>
      <c r="J879" s="187"/>
      <c r="K879" s="187"/>
      <c r="L879" s="187"/>
      <c r="M879" s="192"/>
      <c r="N879" s="187"/>
      <c r="O879" s="187"/>
      <c r="P879" s="187"/>
      <c r="Q879" s="187"/>
      <c r="R879" s="187"/>
      <c r="S879" s="187"/>
      <c r="T879" s="187"/>
      <c r="U879" s="187"/>
      <c r="V879" s="187"/>
      <c r="W879" s="187"/>
      <c r="X879" s="187"/>
      <c r="Y879" s="187"/>
      <c r="Z879" s="187"/>
      <c r="AA879" s="187"/>
      <c r="AB879" s="187"/>
      <c r="AC879" s="187"/>
      <c r="AD879" s="187"/>
      <c r="AE879" s="187"/>
      <c r="AF879" s="187"/>
      <c r="AG879" s="187"/>
      <c r="AH879" s="187"/>
      <c r="AI879" s="187"/>
    </row>
    <row r="880">
      <c r="A880" s="187"/>
      <c r="B880" s="187"/>
      <c r="C880" s="187"/>
      <c r="D880" s="187"/>
      <c r="E880" s="187"/>
      <c r="F880" s="187"/>
      <c r="G880" s="187"/>
      <c r="H880" s="187"/>
      <c r="I880" s="187"/>
      <c r="J880" s="187"/>
      <c r="K880" s="187"/>
      <c r="L880" s="187"/>
      <c r="M880" s="192"/>
      <c r="N880" s="187"/>
      <c r="O880" s="187"/>
      <c r="P880" s="187"/>
      <c r="Q880" s="187"/>
      <c r="R880" s="187"/>
      <c r="S880" s="187"/>
      <c r="T880" s="187"/>
      <c r="U880" s="187"/>
      <c r="V880" s="187"/>
      <c r="W880" s="187"/>
      <c r="X880" s="187"/>
      <c r="Y880" s="187"/>
      <c r="Z880" s="187"/>
      <c r="AA880" s="187"/>
      <c r="AB880" s="187"/>
      <c r="AC880" s="187"/>
      <c r="AD880" s="187"/>
      <c r="AE880" s="187"/>
      <c r="AF880" s="187"/>
      <c r="AG880" s="187"/>
      <c r="AH880" s="187"/>
      <c r="AI880" s="187"/>
    </row>
    <row r="881">
      <c r="A881" s="187"/>
      <c r="B881" s="187"/>
      <c r="C881" s="187"/>
      <c r="D881" s="187"/>
      <c r="E881" s="187"/>
      <c r="F881" s="187"/>
      <c r="G881" s="187"/>
      <c r="H881" s="187"/>
      <c r="I881" s="187"/>
      <c r="J881" s="187"/>
      <c r="K881" s="187"/>
      <c r="L881" s="187"/>
      <c r="M881" s="192"/>
      <c r="N881" s="187"/>
      <c r="O881" s="187"/>
      <c r="P881" s="187"/>
      <c r="Q881" s="187"/>
      <c r="R881" s="187"/>
      <c r="S881" s="187"/>
      <c r="T881" s="187"/>
      <c r="U881" s="187"/>
      <c r="V881" s="187"/>
      <c r="W881" s="187"/>
      <c r="X881" s="187"/>
      <c r="Y881" s="187"/>
      <c r="Z881" s="187"/>
      <c r="AA881" s="187"/>
      <c r="AB881" s="187"/>
      <c r="AC881" s="187"/>
      <c r="AD881" s="187"/>
      <c r="AE881" s="187"/>
      <c r="AF881" s="187"/>
      <c r="AG881" s="187"/>
      <c r="AH881" s="187"/>
      <c r="AI881" s="187"/>
    </row>
    <row r="882">
      <c r="A882" s="187"/>
      <c r="B882" s="187"/>
      <c r="C882" s="187"/>
      <c r="D882" s="187"/>
      <c r="E882" s="187"/>
      <c r="F882" s="187"/>
      <c r="G882" s="187"/>
      <c r="H882" s="187"/>
      <c r="I882" s="187"/>
      <c r="J882" s="187"/>
      <c r="K882" s="187"/>
      <c r="L882" s="187"/>
      <c r="M882" s="192"/>
      <c r="N882" s="187"/>
      <c r="O882" s="187"/>
      <c r="P882" s="187"/>
      <c r="Q882" s="187"/>
      <c r="R882" s="187"/>
      <c r="S882" s="187"/>
      <c r="T882" s="187"/>
      <c r="U882" s="187"/>
      <c r="V882" s="187"/>
      <c r="W882" s="187"/>
      <c r="X882" s="187"/>
      <c r="Y882" s="187"/>
      <c r="Z882" s="187"/>
      <c r="AA882" s="187"/>
      <c r="AB882" s="187"/>
      <c r="AC882" s="187"/>
      <c r="AD882" s="187"/>
      <c r="AE882" s="187"/>
      <c r="AF882" s="187"/>
      <c r="AG882" s="187"/>
      <c r="AH882" s="187"/>
      <c r="AI882" s="187"/>
    </row>
    <row r="883">
      <c r="A883" s="187"/>
      <c r="B883" s="187"/>
      <c r="C883" s="187"/>
      <c r="D883" s="187"/>
      <c r="E883" s="187"/>
      <c r="F883" s="187"/>
      <c r="G883" s="187"/>
      <c r="H883" s="187"/>
      <c r="I883" s="187"/>
      <c r="J883" s="187"/>
      <c r="K883" s="187"/>
      <c r="L883" s="187"/>
      <c r="M883" s="192"/>
      <c r="N883" s="187"/>
      <c r="O883" s="187"/>
      <c r="P883" s="187"/>
      <c r="Q883" s="187"/>
      <c r="R883" s="187"/>
      <c r="S883" s="187"/>
      <c r="T883" s="187"/>
      <c r="U883" s="187"/>
      <c r="V883" s="187"/>
      <c r="W883" s="187"/>
      <c r="X883" s="187"/>
      <c r="Y883" s="187"/>
      <c r="Z883" s="187"/>
      <c r="AA883" s="187"/>
      <c r="AB883" s="187"/>
      <c r="AC883" s="187"/>
      <c r="AD883" s="187"/>
      <c r="AE883" s="187"/>
      <c r="AF883" s="187"/>
      <c r="AG883" s="187"/>
      <c r="AH883" s="187"/>
      <c r="AI883" s="187"/>
    </row>
    <row r="884">
      <c r="A884" s="187"/>
      <c r="B884" s="187"/>
      <c r="C884" s="187"/>
      <c r="D884" s="187"/>
      <c r="E884" s="187"/>
      <c r="F884" s="187"/>
      <c r="G884" s="187"/>
      <c r="H884" s="187"/>
      <c r="I884" s="187"/>
      <c r="J884" s="187"/>
      <c r="K884" s="187"/>
      <c r="L884" s="187"/>
      <c r="M884" s="192"/>
      <c r="N884" s="187"/>
      <c r="O884" s="187"/>
      <c r="P884" s="187"/>
      <c r="Q884" s="187"/>
      <c r="R884" s="187"/>
      <c r="S884" s="187"/>
      <c r="T884" s="187"/>
      <c r="U884" s="187"/>
      <c r="V884" s="187"/>
      <c r="W884" s="187"/>
      <c r="X884" s="187"/>
      <c r="Y884" s="187"/>
      <c r="Z884" s="187"/>
      <c r="AA884" s="187"/>
      <c r="AB884" s="187"/>
      <c r="AC884" s="187"/>
      <c r="AD884" s="187"/>
      <c r="AE884" s="187"/>
      <c r="AF884" s="187"/>
      <c r="AG884" s="187"/>
      <c r="AH884" s="187"/>
      <c r="AI884" s="187"/>
    </row>
    <row r="885">
      <c r="A885" s="187"/>
      <c r="B885" s="187"/>
      <c r="C885" s="187"/>
      <c r="D885" s="187"/>
      <c r="E885" s="187"/>
      <c r="F885" s="187"/>
      <c r="G885" s="187"/>
      <c r="H885" s="187"/>
      <c r="I885" s="187"/>
      <c r="J885" s="187"/>
      <c r="K885" s="187"/>
      <c r="L885" s="187"/>
      <c r="M885" s="192"/>
      <c r="N885" s="187"/>
      <c r="O885" s="187"/>
      <c r="P885" s="187"/>
      <c r="Q885" s="187"/>
      <c r="R885" s="187"/>
      <c r="S885" s="187"/>
      <c r="T885" s="187"/>
      <c r="U885" s="187"/>
      <c r="V885" s="187"/>
      <c r="W885" s="187"/>
      <c r="X885" s="187"/>
      <c r="Y885" s="187"/>
      <c r="Z885" s="187"/>
      <c r="AA885" s="187"/>
      <c r="AB885" s="187"/>
      <c r="AC885" s="187"/>
      <c r="AD885" s="187"/>
      <c r="AE885" s="187"/>
      <c r="AF885" s="187"/>
      <c r="AG885" s="187"/>
      <c r="AH885" s="187"/>
      <c r="AI885" s="187"/>
    </row>
    <row r="886">
      <c r="A886" s="187"/>
      <c r="B886" s="187"/>
      <c r="C886" s="187"/>
      <c r="D886" s="187"/>
      <c r="E886" s="187"/>
      <c r="F886" s="187"/>
      <c r="G886" s="187"/>
      <c r="H886" s="187"/>
      <c r="I886" s="187"/>
      <c r="J886" s="187"/>
      <c r="K886" s="187"/>
      <c r="L886" s="187"/>
      <c r="M886" s="192"/>
      <c r="N886" s="187"/>
      <c r="O886" s="187"/>
      <c r="P886" s="187"/>
      <c r="Q886" s="187"/>
      <c r="R886" s="187"/>
      <c r="S886" s="187"/>
      <c r="T886" s="187"/>
      <c r="U886" s="187"/>
      <c r="V886" s="187"/>
      <c r="W886" s="187"/>
      <c r="X886" s="187"/>
      <c r="Y886" s="187"/>
      <c r="Z886" s="187"/>
      <c r="AA886" s="187"/>
      <c r="AB886" s="187"/>
      <c r="AC886" s="187"/>
      <c r="AD886" s="187"/>
      <c r="AE886" s="187"/>
      <c r="AF886" s="187"/>
      <c r="AG886" s="187"/>
      <c r="AH886" s="187"/>
      <c r="AI886" s="187"/>
    </row>
    <row r="887">
      <c r="A887" s="187"/>
      <c r="B887" s="187"/>
      <c r="C887" s="187"/>
      <c r="D887" s="187"/>
      <c r="E887" s="187"/>
      <c r="F887" s="187"/>
      <c r="G887" s="187"/>
      <c r="H887" s="187"/>
      <c r="I887" s="187"/>
      <c r="J887" s="187"/>
      <c r="K887" s="187"/>
      <c r="L887" s="187"/>
      <c r="M887" s="192"/>
      <c r="N887" s="187"/>
      <c r="O887" s="187"/>
      <c r="P887" s="187"/>
      <c r="Q887" s="187"/>
      <c r="R887" s="187"/>
      <c r="S887" s="187"/>
      <c r="T887" s="187"/>
      <c r="U887" s="187"/>
      <c r="V887" s="187"/>
      <c r="W887" s="187"/>
      <c r="X887" s="187"/>
      <c r="Y887" s="187"/>
      <c r="Z887" s="187"/>
      <c r="AA887" s="187"/>
      <c r="AB887" s="187"/>
      <c r="AC887" s="187"/>
      <c r="AD887" s="187"/>
      <c r="AE887" s="187"/>
      <c r="AF887" s="187"/>
      <c r="AG887" s="187"/>
      <c r="AH887" s="187"/>
      <c r="AI887" s="187"/>
    </row>
    <row r="888">
      <c r="A888" s="187"/>
      <c r="B888" s="187"/>
      <c r="C888" s="187"/>
      <c r="D888" s="187"/>
      <c r="E888" s="187"/>
      <c r="F888" s="187"/>
      <c r="G888" s="187"/>
      <c r="H888" s="187"/>
      <c r="I888" s="187"/>
      <c r="J888" s="187"/>
      <c r="K888" s="187"/>
      <c r="L888" s="187"/>
      <c r="M888" s="192"/>
      <c r="N888" s="187"/>
      <c r="O888" s="187"/>
      <c r="P888" s="187"/>
      <c r="Q888" s="187"/>
      <c r="R888" s="187"/>
      <c r="S888" s="187"/>
      <c r="T888" s="187"/>
      <c r="U888" s="187"/>
      <c r="V888" s="187"/>
      <c r="W888" s="187"/>
      <c r="X888" s="187"/>
      <c r="Y888" s="187"/>
      <c r="Z888" s="187"/>
      <c r="AA888" s="187"/>
      <c r="AB888" s="187"/>
      <c r="AC888" s="187"/>
      <c r="AD888" s="187"/>
      <c r="AE888" s="187"/>
      <c r="AF888" s="187"/>
      <c r="AG888" s="187"/>
      <c r="AH888" s="187"/>
      <c r="AI888" s="187"/>
    </row>
    <row r="889">
      <c r="A889" s="187"/>
      <c r="B889" s="187"/>
      <c r="C889" s="187"/>
      <c r="D889" s="187"/>
      <c r="E889" s="187"/>
      <c r="F889" s="187"/>
      <c r="G889" s="187"/>
      <c r="H889" s="187"/>
      <c r="I889" s="187"/>
      <c r="J889" s="187"/>
      <c r="K889" s="187"/>
      <c r="L889" s="187"/>
      <c r="M889" s="192"/>
      <c r="N889" s="187"/>
      <c r="O889" s="187"/>
      <c r="P889" s="187"/>
      <c r="Q889" s="187"/>
      <c r="R889" s="187"/>
      <c r="S889" s="187"/>
      <c r="T889" s="187"/>
      <c r="U889" s="187"/>
      <c r="V889" s="187"/>
      <c r="W889" s="187"/>
      <c r="X889" s="187"/>
      <c r="Y889" s="187"/>
      <c r="Z889" s="187"/>
      <c r="AA889" s="187"/>
      <c r="AB889" s="187"/>
      <c r="AC889" s="187"/>
      <c r="AD889" s="187"/>
      <c r="AE889" s="187"/>
      <c r="AF889" s="187"/>
      <c r="AG889" s="187"/>
      <c r="AH889" s="187"/>
      <c r="AI889" s="187"/>
    </row>
    <row r="890">
      <c r="A890" s="187"/>
      <c r="B890" s="187"/>
      <c r="C890" s="187"/>
      <c r="D890" s="187"/>
      <c r="E890" s="187"/>
      <c r="F890" s="187"/>
      <c r="G890" s="187"/>
      <c r="H890" s="187"/>
      <c r="I890" s="187"/>
      <c r="J890" s="187"/>
      <c r="K890" s="187"/>
      <c r="L890" s="187"/>
      <c r="M890" s="192"/>
      <c r="N890" s="187"/>
      <c r="O890" s="187"/>
      <c r="P890" s="187"/>
      <c r="Q890" s="187"/>
      <c r="R890" s="187"/>
      <c r="S890" s="187"/>
      <c r="T890" s="187"/>
      <c r="U890" s="187"/>
      <c r="V890" s="187"/>
      <c r="W890" s="187"/>
      <c r="X890" s="187"/>
      <c r="Y890" s="187"/>
      <c r="Z890" s="187"/>
      <c r="AA890" s="187"/>
      <c r="AB890" s="187"/>
      <c r="AC890" s="187"/>
      <c r="AD890" s="187"/>
      <c r="AE890" s="187"/>
      <c r="AF890" s="187"/>
      <c r="AG890" s="187"/>
      <c r="AH890" s="187"/>
      <c r="AI890" s="187"/>
    </row>
    <row r="891">
      <c r="A891" s="187"/>
      <c r="B891" s="187"/>
      <c r="C891" s="187"/>
      <c r="D891" s="187"/>
      <c r="E891" s="187"/>
      <c r="F891" s="187"/>
      <c r="G891" s="187"/>
      <c r="H891" s="187"/>
      <c r="I891" s="187"/>
      <c r="J891" s="187"/>
      <c r="K891" s="187"/>
      <c r="L891" s="187"/>
      <c r="M891" s="192"/>
      <c r="N891" s="187"/>
      <c r="O891" s="187"/>
      <c r="P891" s="187"/>
      <c r="Q891" s="187"/>
      <c r="R891" s="187"/>
      <c r="S891" s="187"/>
      <c r="T891" s="187"/>
      <c r="U891" s="187"/>
      <c r="V891" s="187"/>
      <c r="W891" s="187"/>
      <c r="X891" s="187"/>
      <c r="Y891" s="187"/>
      <c r="Z891" s="187"/>
      <c r="AA891" s="187"/>
      <c r="AB891" s="187"/>
      <c r="AC891" s="187"/>
      <c r="AD891" s="187"/>
      <c r="AE891" s="187"/>
      <c r="AF891" s="187"/>
      <c r="AG891" s="187"/>
      <c r="AH891" s="187"/>
      <c r="AI891" s="187"/>
    </row>
    <row r="892">
      <c r="A892" s="187"/>
      <c r="B892" s="187"/>
      <c r="C892" s="187"/>
      <c r="D892" s="187"/>
      <c r="E892" s="187"/>
      <c r="F892" s="187"/>
      <c r="G892" s="187"/>
      <c r="H892" s="187"/>
      <c r="I892" s="187"/>
      <c r="J892" s="187"/>
      <c r="K892" s="187"/>
      <c r="L892" s="187"/>
      <c r="M892" s="192"/>
      <c r="N892" s="187"/>
      <c r="O892" s="187"/>
      <c r="P892" s="187"/>
      <c r="Q892" s="187"/>
      <c r="R892" s="187"/>
      <c r="S892" s="187"/>
      <c r="T892" s="187"/>
      <c r="U892" s="187"/>
      <c r="V892" s="187"/>
      <c r="W892" s="187"/>
      <c r="X892" s="187"/>
      <c r="Y892" s="187"/>
      <c r="Z892" s="187"/>
      <c r="AA892" s="187"/>
      <c r="AB892" s="187"/>
      <c r="AC892" s="187"/>
      <c r="AD892" s="187"/>
      <c r="AE892" s="187"/>
      <c r="AF892" s="187"/>
      <c r="AG892" s="187"/>
      <c r="AH892" s="187"/>
      <c r="AI892" s="187"/>
    </row>
    <row r="893">
      <c r="A893" s="187"/>
      <c r="B893" s="187"/>
      <c r="C893" s="187"/>
      <c r="D893" s="187"/>
      <c r="E893" s="187"/>
      <c r="F893" s="187"/>
      <c r="G893" s="187"/>
      <c r="H893" s="187"/>
      <c r="I893" s="187"/>
      <c r="J893" s="187"/>
      <c r="K893" s="187"/>
      <c r="L893" s="187"/>
      <c r="M893" s="192"/>
      <c r="N893" s="187"/>
      <c r="O893" s="187"/>
      <c r="P893" s="187"/>
      <c r="Q893" s="187"/>
      <c r="R893" s="187"/>
      <c r="S893" s="187"/>
      <c r="T893" s="187"/>
      <c r="U893" s="187"/>
      <c r="V893" s="187"/>
      <c r="W893" s="187"/>
      <c r="X893" s="187"/>
      <c r="Y893" s="187"/>
      <c r="Z893" s="187"/>
      <c r="AA893" s="187"/>
      <c r="AB893" s="187"/>
      <c r="AC893" s="187"/>
      <c r="AD893" s="187"/>
      <c r="AE893" s="187"/>
      <c r="AF893" s="187"/>
      <c r="AG893" s="187"/>
      <c r="AH893" s="187"/>
      <c r="AI893" s="187"/>
    </row>
    <row r="894">
      <c r="A894" s="187"/>
      <c r="B894" s="187"/>
      <c r="C894" s="187"/>
      <c r="D894" s="187"/>
      <c r="E894" s="187"/>
      <c r="F894" s="187"/>
      <c r="G894" s="187"/>
      <c r="H894" s="187"/>
      <c r="I894" s="187"/>
      <c r="J894" s="187"/>
      <c r="K894" s="187"/>
      <c r="L894" s="187"/>
      <c r="M894" s="192"/>
      <c r="N894" s="187"/>
      <c r="O894" s="187"/>
      <c r="P894" s="187"/>
      <c r="Q894" s="187"/>
      <c r="R894" s="187"/>
      <c r="S894" s="187"/>
      <c r="T894" s="187"/>
      <c r="U894" s="187"/>
      <c r="V894" s="187"/>
      <c r="W894" s="187"/>
      <c r="X894" s="187"/>
      <c r="Y894" s="187"/>
      <c r="Z894" s="187"/>
      <c r="AA894" s="187"/>
      <c r="AB894" s="187"/>
      <c r="AC894" s="187"/>
      <c r="AD894" s="187"/>
      <c r="AE894" s="187"/>
      <c r="AF894" s="187"/>
      <c r="AG894" s="187"/>
      <c r="AH894" s="187"/>
      <c r="AI894" s="187"/>
    </row>
    <row r="895">
      <c r="A895" s="187"/>
      <c r="B895" s="187"/>
      <c r="C895" s="187"/>
      <c r="D895" s="187"/>
      <c r="E895" s="187"/>
      <c r="F895" s="187"/>
      <c r="G895" s="187"/>
      <c r="H895" s="187"/>
      <c r="I895" s="187"/>
      <c r="J895" s="187"/>
      <c r="K895" s="187"/>
      <c r="L895" s="187"/>
      <c r="M895" s="192"/>
      <c r="N895" s="187"/>
      <c r="O895" s="187"/>
      <c r="P895" s="187"/>
      <c r="Q895" s="187"/>
      <c r="R895" s="187"/>
      <c r="S895" s="187"/>
      <c r="T895" s="187"/>
      <c r="U895" s="187"/>
      <c r="V895" s="187"/>
      <c r="W895" s="187"/>
      <c r="X895" s="187"/>
      <c r="Y895" s="187"/>
      <c r="Z895" s="187"/>
      <c r="AA895" s="187"/>
      <c r="AB895" s="187"/>
      <c r="AC895" s="187"/>
      <c r="AD895" s="187"/>
      <c r="AE895" s="187"/>
      <c r="AF895" s="187"/>
      <c r="AG895" s="187"/>
      <c r="AH895" s="187"/>
      <c r="AI895" s="187"/>
    </row>
    <row r="896">
      <c r="A896" s="187"/>
      <c r="B896" s="187"/>
      <c r="C896" s="187"/>
      <c r="D896" s="187"/>
      <c r="E896" s="187"/>
      <c r="F896" s="187"/>
      <c r="G896" s="187"/>
      <c r="H896" s="187"/>
      <c r="I896" s="187"/>
      <c r="J896" s="187"/>
      <c r="K896" s="187"/>
      <c r="L896" s="187"/>
      <c r="M896" s="192"/>
      <c r="N896" s="187"/>
      <c r="O896" s="187"/>
      <c r="P896" s="187"/>
      <c r="Q896" s="187"/>
      <c r="R896" s="187"/>
      <c r="S896" s="187"/>
      <c r="T896" s="187"/>
      <c r="U896" s="187"/>
      <c r="V896" s="187"/>
      <c r="W896" s="187"/>
      <c r="X896" s="187"/>
      <c r="Y896" s="187"/>
      <c r="Z896" s="187"/>
      <c r="AA896" s="187"/>
      <c r="AB896" s="187"/>
      <c r="AC896" s="187"/>
      <c r="AD896" s="187"/>
      <c r="AE896" s="187"/>
      <c r="AF896" s="187"/>
      <c r="AG896" s="187"/>
      <c r="AH896" s="187"/>
      <c r="AI896" s="187"/>
    </row>
    <row r="897">
      <c r="A897" s="187"/>
      <c r="B897" s="187"/>
      <c r="C897" s="187"/>
      <c r="D897" s="187"/>
      <c r="E897" s="187"/>
      <c r="F897" s="187"/>
      <c r="G897" s="187"/>
      <c r="H897" s="187"/>
      <c r="I897" s="187"/>
      <c r="J897" s="187"/>
      <c r="K897" s="187"/>
      <c r="L897" s="187"/>
      <c r="M897" s="192"/>
      <c r="N897" s="187"/>
      <c r="O897" s="187"/>
      <c r="P897" s="187"/>
      <c r="Q897" s="187"/>
      <c r="R897" s="187"/>
      <c r="S897" s="187"/>
      <c r="T897" s="187"/>
      <c r="U897" s="187"/>
      <c r="V897" s="187"/>
      <c r="W897" s="187"/>
      <c r="X897" s="187"/>
      <c r="Y897" s="187"/>
      <c r="Z897" s="187"/>
      <c r="AA897" s="187"/>
      <c r="AB897" s="187"/>
      <c r="AC897" s="187"/>
      <c r="AD897" s="187"/>
      <c r="AE897" s="187"/>
      <c r="AF897" s="187"/>
      <c r="AG897" s="187"/>
      <c r="AH897" s="187"/>
      <c r="AI897" s="187"/>
    </row>
    <row r="898">
      <c r="A898" s="187"/>
      <c r="B898" s="187"/>
      <c r="C898" s="187"/>
      <c r="D898" s="187"/>
      <c r="E898" s="187"/>
      <c r="F898" s="187"/>
      <c r="G898" s="187"/>
      <c r="H898" s="187"/>
      <c r="I898" s="187"/>
      <c r="J898" s="187"/>
      <c r="K898" s="187"/>
      <c r="L898" s="187"/>
      <c r="M898" s="192"/>
      <c r="N898" s="187"/>
      <c r="O898" s="187"/>
      <c r="P898" s="187"/>
      <c r="Q898" s="187"/>
      <c r="R898" s="187"/>
      <c r="S898" s="187"/>
      <c r="T898" s="187"/>
      <c r="U898" s="187"/>
      <c r="V898" s="187"/>
      <c r="W898" s="187"/>
      <c r="X898" s="187"/>
      <c r="Y898" s="187"/>
      <c r="Z898" s="187"/>
      <c r="AA898" s="187"/>
      <c r="AB898" s="187"/>
      <c r="AC898" s="187"/>
      <c r="AD898" s="187"/>
      <c r="AE898" s="187"/>
      <c r="AF898" s="187"/>
      <c r="AG898" s="187"/>
      <c r="AH898" s="187"/>
      <c r="AI898" s="187"/>
    </row>
    <row r="899">
      <c r="A899" s="187"/>
      <c r="B899" s="187"/>
      <c r="C899" s="187"/>
      <c r="D899" s="187"/>
      <c r="E899" s="187"/>
      <c r="F899" s="187"/>
      <c r="G899" s="187"/>
      <c r="H899" s="187"/>
      <c r="I899" s="187"/>
      <c r="J899" s="187"/>
      <c r="K899" s="187"/>
      <c r="L899" s="187"/>
      <c r="M899" s="192"/>
      <c r="N899" s="187"/>
      <c r="O899" s="187"/>
      <c r="P899" s="187"/>
      <c r="Q899" s="187"/>
      <c r="R899" s="187"/>
      <c r="S899" s="187"/>
      <c r="T899" s="187"/>
      <c r="U899" s="187"/>
      <c r="V899" s="187"/>
      <c r="W899" s="187"/>
      <c r="X899" s="187"/>
      <c r="Y899" s="187"/>
      <c r="Z899" s="187"/>
      <c r="AA899" s="187"/>
      <c r="AB899" s="187"/>
      <c r="AC899" s="187"/>
      <c r="AD899" s="187"/>
      <c r="AE899" s="187"/>
      <c r="AF899" s="187"/>
      <c r="AG899" s="187"/>
      <c r="AH899" s="187"/>
      <c r="AI899" s="187"/>
    </row>
    <row r="900">
      <c r="A900" s="187"/>
      <c r="B900" s="187"/>
      <c r="C900" s="187"/>
      <c r="D900" s="187"/>
      <c r="E900" s="187"/>
      <c r="F900" s="187"/>
      <c r="G900" s="187"/>
      <c r="H900" s="187"/>
      <c r="I900" s="187"/>
      <c r="J900" s="187"/>
      <c r="K900" s="187"/>
      <c r="L900" s="187"/>
      <c r="M900" s="192"/>
      <c r="N900" s="187"/>
      <c r="O900" s="187"/>
      <c r="P900" s="187"/>
      <c r="Q900" s="187"/>
      <c r="R900" s="187"/>
      <c r="S900" s="187"/>
      <c r="T900" s="187"/>
      <c r="U900" s="187"/>
      <c r="V900" s="187"/>
      <c r="W900" s="187"/>
      <c r="X900" s="187"/>
      <c r="Y900" s="187"/>
      <c r="Z900" s="187"/>
      <c r="AA900" s="187"/>
      <c r="AB900" s="187"/>
      <c r="AC900" s="187"/>
      <c r="AD900" s="187"/>
      <c r="AE900" s="187"/>
      <c r="AF900" s="187"/>
      <c r="AG900" s="187"/>
      <c r="AH900" s="187"/>
      <c r="AI900" s="187"/>
    </row>
    <row r="901">
      <c r="A901" s="187"/>
      <c r="B901" s="187"/>
      <c r="C901" s="187"/>
      <c r="D901" s="187"/>
      <c r="E901" s="187"/>
      <c r="F901" s="187"/>
      <c r="G901" s="187"/>
      <c r="H901" s="187"/>
      <c r="I901" s="187"/>
      <c r="J901" s="187"/>
      <c r="K901" s="187"/>
      <c r="L901" s="187"/>
      <c r="M901" s="192"/>
      <c r="N901" s="187"/>
      <c r="O901" s="187"/>
      <c r="P901" s="187"/>
      <c r="Q901" s="187"/>
      <c r="R901" s="187"/>
      <c r="S901" s="187"/>
      <c r="T901" s="187"/>
      <c r="U901" s="187"/>
      <c r="V901" s="187"/>
      <c r="W901" s="187"/>
      <c r="X901" s="187"/>
      <c r="Y901" s="187"/>
      <c r="Z901" s="187"/>
      <c r="AA901" s="187"/>
      <c r="AB901" s="187"/>
      <c r="AC901" s="187"/>
      <c r="AD901" s="187"/>
      <c r="AE901" s="187"/>
      <c r="AF901" s="187"/>
      <c r="AG901" s="187"/>
      <c r="AH901" s="187"/>
      <c r="AI901" s="187"/>
    </row>
    <row r="902">
      <c r="A902" s="187"/>
      <c r="B902" s="187"/>
      <c r="C902" s="187"/>
      <c r="D902" s="187"/>
      <c r="E902" s="187"/>
      <c r="F902" s="187"/>
      <c r="G902" s="187"/>
      <c r="H902" s="187"/>
      <c r="I902" s="187"/>
      <c r="J902" s="187"/>
      <c r="K902" s="187"/>
      <c r="L902" s="187"/>
      <c r="M902" s="192"/>
      <c r="N902" s="187"/>
      <c r="O902" s="187"/>
      <c r="P902" s="187"/>
      <c r="Q902" s="187"/>
      <c r="R902" s="187"/>
      <c r="S902" s="187"/>
      <c r="T902" s="187"/>
      <c r="U902" s="187"/>
      <c r="V902" s="187"/>
      <c r="W902" s="187"/>
      <c r="X902" s="187"/>
      <c r="Y902" s="187"/>
      <c r="Z902" s="187"/>
      <c r="AA902" s="187"/>
      <c r="AB902" s="187"/>
      <c r="AC902" s="187"/>
      <c r="AD902" s="187"/>
      <c r="AE902" s="187"/>
      <c r="AF902" s="187"/>
      <c r="AG902" s="187"/>
      <c r="AH902" s="187"/>
      <c r="AI902" s="187"/>
    </row>
    <row r="903">
      <c r="A903" s="187"/>
      <c r="B903" s="187"/>
      <c r="C903" s="187"/>
      <c r="D903" s="187"/>
      <c r="E903" s="187"/>
      <c r="F903" s="187"/>
      <c r="G903" s="187"/>
      <c r="H903" s="187"/>
      <c r="I903" s="187"/>
      <c r="J903" s="187"/>
      <c r="K903" s="187"/>
      <c r="L903" s="187"/>
      <c r="M903" s="192"/>
      <c r="N903" s="187"/>
      <c r="O903" s="187"/>
      <c r="P903" s="187"/>
      <c r="Q903" s="187"/>
      <c r="R903" s="187"/>
      <c r="S903" s="187"/>
      <c r="T903" s="187"/>
      <c r="U903" s="187"/>
      <c r="V903" s="187"/>
      <c r="W903" s="187"/>
      <c r="X903" s="187"/>
      <c r="Y903" s="187"/>
      <c r="Z903" s="187"/>
      <c r="AA903" s="187"/>
      <c r="AB903" s="187"/>
      <c r="AC903" s="187"/>
      <c r="AD903" s="187"/>
      <c r="AE903" s="187"/>
      <c r="AF903" s="187"/>
      <c r="AG903" s="187"/>
      <c r="AH903" s="187"/>
      <c r="AI903" s="187"/>
    </row>
    <row r="904">
      <c r="A904" s="187"/>
      <c r="B904" s="187"/>
      <c r="C904" s="187"/>
      <c r="D904" s="187"/>
      <c r="E904" s="187"/>
      <c r="F904" s="187"/>
      <c r="G904" s="187"/>
      <c r="H904" s="187"/>
      <c r="I904" s="187"/>
      <c r="J904" s="187"/>
      <c r="K904" s="187"/>
      <c r="L904" s="187"/>
      <c r="M904" s="192"/>
      <c r="N904" s="187"/>
      <c r="O904" s="187"/>
      <c r="P904" s="187"/>
      <c r="Q904" s="187"/>
      <c r="R904" s="187"/>
      <c r="S904" s="187"/>
      <c r="T904" s="187"/>
      <c r="U904" s="187"/>
      <c r="V904" s="187"/>
      <c r="W904" s="187"/>
      <c r="X904" s="187"/>
      <c r="Y904" s="187"/>
      <c r="Z904" s="187"/>
      <c r="AA904" s="187"/>
      <c r="AB904" s="187"/>
      <c r="AC904" s="187"/>
      <c r="AD904" s="187"/>
      <c r="AE904" s="187"/>
      <c r="AF904" s="187"/>
      <c r="AG904" s="187"/>
      <c r="AH904" s="187"/>
      <c r="AI904" s="187"/>
    </row>
    <row r="905">
      <c r="A905" s="187"/>
      <c r="B905" s="187"/>
      <c r="C905" s="187"/>
      <c r="D905" s="187"/>
      <c r="E905" s="187"/>
      <c r="F905" s="187"/>
      <c r="G905" s="187"/>
      <c r="H905" s="187"/>
      <c r="I905" s="187"/>
      <c r="J905" s="187"/>
      <c r="K905" s="187"/>
      <c r="L905" s="187"/>
      <c r="M905" s="192"/>
      <c r="N905" s="187"/>
      <c r="O905" s="187"/>
      <c r="P905" s="187"/>
      <c r="Q905" s="187"/>
      <c r="R905" s="187"/>
      <c r="S905" s="187"/>
      <c r="T905" s="187"/>
      <c r="U905" s="187"/>
      <c r="V905" s="187"/>
      <c r="W905" s="187"/>
      <c r="X905" s="187"/>
      <c r="Y905" s="187"/>
      <c r="Z905" s="187"/>
      <c r="AA905" s="187"/>
      <c r="AB905" s="187"/>
      <c r="AC905" s="187"/>
      <c r="AD905" s="187"/>
      <c r="AE905" s="187"/>
      <c r="AF905" s="187"/>
      <c r="AG905" s="187"/>
      <c r="AH905" s="187"/>
      <c r="AI905" s="187"/>
    </row>
    <row r="906">
      <c r="A906" s="187"/>
      <c r="B906" s="187"/>
      <c r="C906" s="187"/>
      <c r="D906" s="187"/>
      <c r="E906" s="187"/>
      <c r="F906" s="187"/>
      <c r="G906" s="187"/>
      <c r="H906" s="187"/>
      <c r="I906" s="187"/>
      <c r="J906" s="187"/>
      <c r="K906" s="187"/>
      <c r="L906" s="187"/>
      <c r="M906" s="192"/>
      <c r="N906" s="187"/>
      <c r="O906" s="187"/>
      <c r="P906" s="187"/>
      <c r="Q906" s="187"/>
      <c r="R906" s="187"/>
      <c r="S906" s="187"/>
      <c r="T906" s="187"/>
      <c r="U906" s="187"/>
      <c r="V906" s="187"/>
      <c r="W906" s="187"/>
      <c r="X906" s="187"/>
      <c r="Y906" s="187"/>
      <c r="Z906" s="187"/>
      <c r="AA906" s="187"/>
      <c r="AB906" s="187"/>
      <c r="AC906" s="187"/>
      <c r="AD906" s="187"/>
      <c r="AE906" s="187"/>
      <c r="AF906" s="187"/>
      <c r="AG906" s="187"/>
      <c r="AH906" s="187"/>
      <c r="AI906" s="187"/>
    </row>
    <row r="907">
      <c r="A907" s="187"/>
      <c r="B907" s="187"/>
      <c r="C907" s="187"/>
      <c r="D907" s="187"/>
      <c r="E907" s="187"/>
      <c r="F907" s="187"/>
      <c r="G907" s="187"/>
      <c r="H907" s="187"/>
      <c r="I907" s="187"/>
      <c r="J907" s="187"/>
      <c r="K907" s="187"/>
      <c r="L907" s="187"/>
      <c r="M907" s="192"/>
      <c r="N907" s="187"/>
      <c r="O907" s="187"/>
      <c r="P907" s="187"/>
      <c r="Q907" s="187"/>
      <c r="R907" s="187"/>
      <c r="S907" s="187"/>
      <c r="T907" s="187"/>
      <c r="U907" s="187"/>
      <c r="V907" s="187"/>
      <c r="W907" s="187"/>
      <c r="X907" s="187"/>
      <c r="Y907" s="187"/>
      <c r="Z907" s="187"/>
      <c r="AA907" s="187"/>
      <c r="AB907" s="187"/>
      <c r="AC907" s="187"/>
      <c r="AD907" s="187"/>
      <c r="AE907" s="187"/>
      <c r="AF907" s="187"/>
      <c r="AG907" s="187"/>
      <c r="AH907" s="187"/>
      <c r="AI907" s="187"/>
    </row>
    <row r="908">
      <c r="A908" s="187"/>
      <c r="B908" s="187"/>
      <c r="C908" s="187"/>
      <c r="D908" s="187"/>
      <c r="E908" s="187"/>
      <c r="F908" s="187"/>
      <c r="G908" s="187"/>
      <c r="H908" s="187"/>
      <c r="I908" s="187"/>
      <c r="J908" s="187"/>
      <c r="K908" s="187"/>
      <c r="L908" s="187"/>
      <c r="M908" s="192"/>
      <c r="N908" s="187"/>
      <c r="O908" s="187"/>
      <c r="P908" s="187"/>
      <c r="Q908" s="187"/>
      <c r="R908" s="187"/>
      <c r="S908" s="187"/>
      <c r="T908" s="187"/>
      <c r="U908" s="187"/>
      <c r="V908" s="187"/>
      <c r="W908" s="187"/>
      <c r="X908" s="187"/>
      <c r="Y908" s="187"/>
      <c r="Z908" s="187"/>
      <c r="AA908" s="187"/>
      <c r="AB908" s="187"/>
      <c r="AC908" s="187"/>
      <c r="AD908" s="187"/>
      <c r="AE908" s="187"/>
      <c r="AF908" s="187"/>
      <c r="AG908" s="187"/>
      <c r="AH908" s="187"/>
      <c r="AI908" s="187"/>
    </row>
    <row r="909">
      <c r="A909" s="187"/>
      <c r="B909" s="187"/>
      <c r="C909" s="187"/>
      <c r="D909" s="187"/>
      <c r="E909" s="187"/>
      <c r="F909" s="187"/>
      <c r="G909" s="187"/>
      <c r="H909" s="187"/>
      <c r="I909" s="187"/>
      <c r="J909" s="187"/>
      <c r="K909" s="187"/>
      <c r="L909" s="187"/>
      <c r="M909" s="192"/>
      <c r="N909" s="187"/>
      <c r="O909" s="187"/>
      <c r="P909" s="187"/>
      <c r="Q909" s="187"/>
      <c r="R909" s="187"/>
      <c r="S909" s="187"/>
      <c r="T909" s="187"/>
      <c r="U909" s="187"/>
      <c r="V909" s="187"/>
      <c r="W909" s="187"/>
      <c r="X909" s="187"/>
      <c r="Y909" s="187"/>
      <c r="Z909" s="187"/>
      <c r="AA909" s="187"/>
      <c r="AB909" s="187"/>
      <c r="AC909" s="187"/>
      <c r="AD909" s="187"/>
      <c r="AE909" s="187"/>
      <c r="AF909" s="187"/>
      <c r="AG909" s="187"/>
      <c r="AH909" s="187"/>
      <c r="AI909" s="187"/>
    </row>
    <row r="910">
      <c r="A910" s="187"/>
      <c r="B910" s="187"/>
      <c r="C910" s="187"/>
      <c r="D910" s="187"/>
      <c r="E910" s="187"/>
      <c r="F910" s="187"/>
      <c r="G910" s="187"/>
      <c r="H910" s="187"/>
      <c r="I910" s="187"/>
      <c r="J910" s="187"/>
      <c r="K910" s="187"/>
      <c r="L910" s="187"/>
      <c r="M910" s="192"/>
      <c r="N910" s="187"/>
      <c r="O910" s="187"/>
      <c r="P910" s="187"/>
      <c r="Q910" s="187"/>
      <c r="R910" s="187"/>
      <c r="S910" s="187"/>
      <c r="T910" s="187"/>
      <c r="U910" s="187"/>
      <c r="V910" s="187"/>
      <c r="W910" s="187"/>
      <c r="X910" s="187"/>
      <c r="Y910" s="187"/>
      <c r="Z910" s="187"/>
      <c r="AA910" s="187"/>
      <c r="AB910" s="187"/>
      <c r="AC910" s="187"/>
      <c r="AD910" s="187"/>
      <c r="AE910" s="187"/>
      <c r="AF910" s="187"/>
      <c r="AG910" s="187"/>
      <c r="AH910" s="187"/>
      <c r="AI910" s="187"/>
    </row>
    <row r="911">
      <c r="A911" s="187"/>
      <c r="B911" s="187"/>
      <c r="C911" s="187"/>
      <c r="D911" s="187"/>
      <c r="E911" s="187"/>
      <c r="F911" s="187"/>
      <c r="G911" s="187"/>
      <c r="H911" s="187"/>
      <c r="I911" s="187"/>
      <c r="J911" s="187"/>
      <c r="K911" s="187"/>
      <c r="L911" s="187"/>
      <c r="M911" s="192"/>
      <c r="N911" s="187"/>
      <c r="O911" s="187"/>
      <c r="P911" s="187"/>
      <c r="Q911" s="187"/>
      <c r="R911" s="187"/>
      <c r="S911" s="187"/>
      <c r="T911" s="187"/>
      <c r="U911" s="187"/>
      <c r="V911" s="187"/>
      <c r="W911" s="187"/>
      <c r="X911" s="187"/>
      <c r="Y911" s="187"/>
      <c r="Z911" s="187"/>
      <c r="AA911" s="187"/>
      <c r="AB911" s="187"/>
      <c r="AC911" s="187"/>
      <c r="AD911" s="187"/>
      <c r="AE911" s="187"/>
      <c r="AF911" s="187"/>
      <c r="AG911" s="187"/>
      <c r="AH911" s="187"/>
      <c r="AI911" s="187"/>
    </row>
    <row r="912">
      <c r="A912" s="187"/>
      <c r="B912" s="187"/>
      <c r="C912" s="187"/>
      <c r="D912" s="187"/>
      <c r="E912" s="187"/>
      <c r="F912" s="187"/>
      <c r="G912" s="187"/>
      <c r="H912" s="187"/>
      <c r="I912" s="187"/>
      <c r="J912" s="187"/>
      <c r="K912" s="187"/>
      <c r="L912" s="187"/>
      <c r="M912" s="192"/>
      <c r="N912" s="187"/>
      <c r="O912" s="187"/>
      <c r="P912" s="187"/>
      <c r="Q912" s="187"/>
      <c r="R912" s="187"/>
      <c r="S912" s="187"/>
      <c r="T912" s="187"/>
      <c r="U912" s="187"/>
      <c r="V912" s="187"/>
      <c r="W912" s="187"/>
      <c r="X912" s="187"/>
      <c r="Y912" s="187"/>
      <c r="Z912" s="187"/>
      <c r="AA912" s="187"/>
      <c r="AB912" s="187"/>
      <c r="AC912" s="187"/>
      <c r="AD912" s="187"/>
      <c r="AE912" s="187"/>
      <c r="AF912" s="187"/>
      <c r="AG912" s="187"/>
      <c r="AH912" s="187"/>
      <c r="AI912" s="187"/>
    </row>
    <row r="913">
      <c r="A913" s="187"/>
      <c r="B913" s="187"/>
      <c r="C913" s="187"/>
      <c r="D913" s="187"/>
      <c r="E913" s="187"/>
      <c r="F913" s="187"/>
      <c r="G913" s="187"/>
      <c r="H913" s="187"/>
      <c r="I913" s="187"/>
      <c r="J913" s="187"/>
      <c r="K913" s="187"/>
      <c r="L913" s="187"/>
      <c r="M913" s="192"/>
      <c r="N913" s="187"/>
      <c r="O913" s="187"/>
      <c r="P913" s="187"/>
      <c r="Q913" s="187"/>
      <c r="R913" s="187"/>
      <c r="S913" s="187"/>
      <c r="T913" s="187"/>
      <c r="U913" s="187"/>
      <c r="V913" s="187"/>
      <c r="W913" s="187"/>
      <c r="X913" s="187"/>
      <c r="Y913" s="187"/>
      <c r="Z913" s="187"/>
      <c r="AA913" s="187"/>
      <c r="AB913" s="187"/>
      <c r="AC913" s="187"/>
      <c r="AD913" s="187"/>
      <c r="AE913" s="187"/>
      <c r="AF913" s="187"/>
      <c r="AG913" s="187"/>
      <c r="AH913" s="187"/>
      <c r="AI913" s="187"/>
    </row>
    <row r="914">
      <c r="A914" s="187"/>
      <c r="B914" s="187"/>
      <c r="C914" s="187"/>
      <c r="D914" s="187"/>
      <c r="E914" s="187"/>
      <c r="F914" s="187"/>
      <c r="G914" s="187"/>
      <c r="H914" s="187"/>
      <c r="I914" s="187"/>
      <c r="J914" s="187"/>
      <c r="K914" s="187"/>
      <c r="L914" s="187"/>
      <c r="M914" s="192"/>
      <c r="N914" s="187"/>
      <c r="O914" s="187"/>
      <c r="P914" s="187"/>
      <c r="Q914" s="187"/>
      <c r="R914" s="187"/>
      <c r="S914" s="187"/>
      <c r="T914" s="187"/>
      <c r="U914" s="187"/>
      <c r="V914" s="187"/>
      <c r="W914" s="187"/>
      <c r="X914" s="187"/>
      <c r="Y914" s="187"/>
      <c r="Z914" s="187"/>
      <c r="AA914" s="187"/>
      <c r="AB914" s="187"/>
      <c r="AC914" s="187"/>
      <c r="AD914" s="187"/>
      <c r="AE914" s="187"/>
      <c r="AF914" s="187"/>
      <c r="AG914" s="187"/>
      <c r="AH914" s="187"/>
      <c r="AI914" s="187"/>
    </row>
    <row r="915">
      <c r="A915" s="187"/>
      <c r="B915" s="187"/>
      <c r="C915" s="187"/>
      <c r="D915" s="187"/>
      <c r="E915" s="187"/>
      <c r="F915" s="187"/>
      <c r="G915" s="187"/>
      <c r="H915" s="187"/>
      <c r="I915" s="187"/>
      <c r="J915" s="187"/>
      <c r="K915" s="187"/>
      <c r="L915" s="187"/>
      <c r="M915" s="192"/>
      <c r="N915" s="187"/>
      <c r="O915" s="187"/>
      <c r="P915" s="187"/>
      <c r="Q915" s="187"/>
      <c r="R915" s="187"/>
      <c r="S915" s="187"/>
      <c r="T915" s="187"/>
      <c r="U915" s="187"/>
      <c r="V915" s="187"/>
      <c r="W915" s="187"/>
      <c r="X915" s="187"/>
      <c r="Y915" s="187"/>
      <c r="Z915" s="187"/>
      <c r="AA915" s="187"/>
      <c r="AB915" s="187"/>
      <c r="AC915" s="187"/>
      <c r="AD915" s="187"/>
      <c r="AE915" s="187"/>
      <c r="AF915" s="187"/>
      <c r="AG915" s="187"/>
      <c r="AH915" s="187"/>
      <c r="AI915" s="187"/>
    </row>
    <row r="916">
      <c r="A916" s="187"/>
      <c r="B916" s="187"/>
      <c r="C916" s="187"/>
      <c r="D916" s="187"/>
      <c r="E916" s="187"/>
      <c r="F916" s="187"/>
      <c r="G916" s="187"/>
      <c r="H916" s="187"/>
      <c r="I916" s="187"/>
      <c r="J916" s="187"/>
      <c r="K916" s="187"/>
      <c r="L916" s="187"/>
      <c r="M916" s="192"/>
      <c r="N916" s="187"/>
      <c r="O916" s="187"/>
      <c r="P916" s="187"/>
      <c r="Q916" s="187"/>
      <c r="R916" s="187"/>
      <c r="S916" s="187"/>
      <c r="T916" s="187"/>
      <c r="U916" s="187"/>
      <c r="V916" s="187"/>
      <c r="W916" s="187"/>
      <c r="X916" s="187"/>
      <c r="Y916" s="187"/>
      <c r="Z916" s="187"/>
      <c r="AA916" s="187"/>
      <c r="AB916" s="187"/>
      <c r="AC916" s="187"/>
      <c r="AD916" s="187"/>
      <c r="AE916" s="187"/>
      <c r="AF916" s="187"/>
      <c r="AG916" s="187"/>
      <c r="AH916" s="187"/>
      <c r="AI916" s="187"/>
    </row>
    <row r="917">
      <c r="A917" s="187"/>
      <c r="B917" s="187"/>
      <c r="C917" s="187"/>
      <c r="D917" s="187"/>
      <c r="E917" s="187"/>
      <c r="F917" s="187"/>
      <c r="G917" s="187"/>
      <c r="H917" s="187"/>
      <c r="I917" s="187"/>
      <c r="J917" s="187"/>
      <c r="K917" s="187"/>
      <c r="L917" s="187"/>
      <c r="M917" s="192"/>
      <c r="N917" s="187"/>
      <c r="O917" s="187"/>
      <c r="P917" s="187"/>
      <c r="Q917" s="187"/>
      <c r="R917" s="187"/>
      <c r="S917" s="187"/>
      <c r="T917" s="187"/>
      <c r="U917" s="187"/>
      <c r="V917" s="187"/>
      <c r="W917" s="187"/>
      <c r="X917" s="187"/>
      <c r="Y917" s="187"/>
      <c r="Z917" s="187"/>
      <c r="AA917" s="187"/>
      <c r="AB917" s="187"/>
      <c r="AC917" s="187"/>
      <c r="AD917" s="187"/>
      <c r="AE917" s="187"/>
      <c r="AF917" s="187"/>
      <c r="AG917" s="187"/>
      <c r="AH917" s="187"/>
      <c r="AI917" s="187"/>
    </row>
    <row r="918">
      <c r="A918" s="187"/>
      <c r="B918" s="187"/>
      <c r="C918" s="187"/>
      <c r="D918" s="187"/>
      <c r="E918" s="187"/>
      <c r="F918" s="187"/>
      <c r="G918" s="187"/>
      <c r="H918" s="187"/>
      <c r="I918" s="187"/>
      <c r="J918" s="187"/>
      <c r="K918" s="187"/>
      <c r="L918" s="187"/>
      <c r="M918" s="192"/>
      <c r="N918" s="187"/>
      <c r="O918" s="187"/>
      <c r="P918" s="187"/>
      <c r="Q918" s="187"/>
      <c r="R918" s="187"/>
      <c r="S918" s="187"/>
      <c r="T918" s="187"/>
      <c r="U918" s="187"/>
      <c r="V918" s="187"/>
      <c r="W918" s="187"/>
      <c r="X918" s="187"/>
      <c r="Y918" s="187"/>
      <c r="Z918" s="187"/>
      <c r="AA918" s="187"/>
      <c r="AB918" s="187"/>
      <c r="AC918" s="187"/>
      <c r="AD918" s="187"/>
      <c r="AE918" s="187"/>
      <c r="AF918" s="187"/>
      <c r="AG918" s="187"/>
      <c r="AH918" s="187"/>
      <c r="AI918" s="187"/>
    </row>
    <row r="919">
      <c r="A919" s="187"/>
      <c r="B919" s="187"/>
      <c r="C919" s="187"/>
      <c r="D919" s="187"/>
      <c r="E919" s="187"/>
      <c r="F919" s="187"/>
      <c r="G919" s="187"/>
      <c r="H919" s="187"/>
      <c r="I919" s="187"/>
      <c r="J919" s="187"/>
      <c r="K919" s="187"/>
      <c r="L919" s="187"/>
      <c r="M919" s="192"/>
      <c r="N919" s="187"/>
      <c r="O919" s="187"/>
      <c r="P919" s="187"/>
      <c r="Q919" s="187"/>
      <c r="R919" s="187"/>
      <c r="S919" s="187"/>
      <c r="T919" s="187"/>
      <c r="U919" s="187"/>
      <c r="V919" s="187"/>
      <c r="W919" s="187"/>
      <c r="X919" s="187"/>
      <c r="Y919" s="187"/>
      <c r="Z919" s="187"/>
      <c r="AA919" s="187"/>
      <c r="AB919" s="187"/>
      <c r="AC919" s="187"/>
      <c r="AD919" s="187"/>
      <c r="AE919" s="187"/>
      <c r="AF919" s="187"/>
      <c r="AG919" s="187"/>
      <c r="AH919" s="187"/>
      <c r="AI919" s="187"/>
    </row>
    <row r="920">
      <c r="A920" s="187"/>
      <c r="B920" s="187"/>
      <c r="C920" s="187"/>
      <c r="D920" s="187"/>
      <c r="E920" s="187"/>
      <c r="F920" s="187"/>
      <c r="G920" s="187"/>
      <c r="H920" s="187"/>
      <c r="I920" s="187"/>
      <c r="J920" s="187"/>
      <c r="K920" s="187"/>
      <c r="L920" s="187"/>
      <c r="M920" s="192"/>
      <c r="N920" s="187"/>
      <c r="O920" s="187"/>
      <c r="P920" s="187"/>
      <c r="Q920" s="187"/>
      <c r="R920" s="187"/>
      <c r="S920" s="187"/>
      <c r="T920" s="187"/>
      <c r="U920" s="187"/>
      <c r="V920" s="187"/>
      <c r="W920" s="187"/>
      <c r="X920" s="187"/>
      <c r="Y920" s="187"/>
      <c r="Z920" s="187"/>
      <c r="AA920" s="187"/>
      <c r="AB920" s="187"/>
      <c r="AC920" s="187"/>
      <c r="AD920" s="187"/>
      <c r="AE920" s="187"/>
      <c r="AF920" s="187"/>
      <c r="AG920" s="187"/>
      <c r="AH920" s="187"/>
      <c r="AI920" s="187"/>
    </row>
    <row r="921">
      <c r="A921" s="187"/>
      <c r="B921" s="187"/>
      <c r="C921" s="187"/>
      <c r="D921" s="187"/>
      <c r="E921" s="187"/>
      <c r="F921" s="187"/>
      <c r="G921" s="187"/>
      <c r="H921" s="187"/>
      <c r="I921" s="187"/>
      <c r="J921" s="187"/>
      <c r="K921" s="187"/>
      <c r="L921" s="187"/>
      <c r="M921" s="192"/>
      <c r="N921" s="187"/>
      <c r="O921" s="187"/>
      <c r="P921" s="187"/>
      <c r="Q921" s="187"/>
      <c r="R921" s="187"/>
      <c r="S921" s="187"/>
      <c r="T921" s="187"/>
      <c r="U921" s="187"/>
      <c r="V921" s="187"/>
      <c r="W921" s="187"/>
      <c r="X921" s="187"/>
      <c r="Y921" s="187"/>
      <c r="Z921" s="187"/>
      <c r="AA921" s="187"/>
      <c r="AB921" s="187"/>
      <c r="AC921" s="187"/>
      <c r="AD921" s="187"/>
      <c r="AE921" s="187"/>
      <c r="AF921" s="187"/>
      <c r="AG921" s="187"/>
      <c r="AH921" s="187"/>
      <c r="AI921" s="187"/>
    </row>
    <row r="922">
      <c r="A922" s="187"/>
      <c r="B922" s="187"/>
      <c r="C922" s="187"/>
      <c r="D922" s="187"/>
      <c r="E922" s="187"/>
      <c r="F922" s="187"/>
      <c r="G922" s="187"/>
      <c r="H922" s="187"/>
      <c r="I922" s="187"/>
      <c r="J922" s="187"/>
      <c r="K922" s="187"/>
      <c r="L922" s="187"/>
      <c r="M922" s="192"/>
      <c r="N922" s="187"/>
      <c r="O922" s="187"/>
      <c r="P922" s="187"/>
      <c r="Q922" s="187"/>
      <c r="R922" s="187"/>
      <c r="S922" s="187"/>
      <c r="T922" s="187"/>
      <c r="U922" s="187"/>
      <c r="V922" s="187"/>
      <c r="W922" s="187"/>
      <c r="X922" s="187"/>
      <c r="Y922" s="187"/>
      <c r="Z922" s="187"/>
      <c r="AA922" s="187"/>
      <c r="AB922" s="187"/>
      <c r="AC922" s="187"/>
      <c r="AD922" s="187"/>
      <c r="AE922" s="187"/>
      <c r="AF922" s="187"/>
      <c r="AG922" s="187"/>
      <c r="AH922" s="187"/>
      <c r="AI922" s="187"/>
    </row>
    <row r="923">
      <c r="A923" s="187"/>
      <c r="B923" s="187"/>
      <c r="C923" s="187"/>
      <c r="D923" s="187"/>
      <c r="E923" s="187"/>
      <c r="F923" s="187"/>
      <c r="G923" s="187"/>
      <c r="H923" s="187"/>
      <c r="I923" s="187"/>
      <c r="J923" s="187"/>
      <c r="K923" s="187"/>
      <c r="L923" s="187"/>
      <c r="M923" s="192"/>
      <c r="N923" s="187"/>
      <c r="O923" s="187"/>
      <c r="P923" s="187"/>
      <c r="Q923" s="187"/>
      <c r="R923" s="187"/>
      <c r="S923" s="187"/>
      <c r="T923" s="187"/>
      <c r="U923" s="187"/>
      <c r="V923" s="187"/>
      <c r="W923" s="187"/>
      <c r="X923" s="187"/>
      <c r="Y923" s="187"/>
      <c r="Z923" s="187"/>
      <c r="AA923" s="187"/>
      <c r="AB923" s="187"/>
      <c r="AC923" s="187"/>
      <c r="AD923" s="187"/>
      <c r="AE923" s="187"/>
      <c r="AF923" s="187"/>
      <c r="AG923" s="187"/>
      <c r="AH923" s="187"/>
      <c r="AI923" s="187"/>
    </row>
    <row r="924">
      <c r="A924" s="187"/>
      <c r="B924" s="187"/>
      <c r="C924" s="187"/>
      <c r="D924" s="187"/>
      <c r="E924" s="187"/>
      <c r="F924" s="187"/>
      <c r="G924" s="187"/>
      <c r="H924" s="187"/>
      <c r="I924" s="187"/>
      <c r="J924" s="187"/>
      <c r="K924" s="187"/>
      <c r="L924" s="187"/>
      <c r="M924" s="192"/>
      <c r="N924" s="187"/>
      <c r="O924" s="187"/>
      <c r="P924" s="187"/>
      <c r="Q924" s="187"/>
      <c r="R924" s="187"/>
      <c r="S924" s="187"/>
      <c r="T924" s="187"/>
      <c r="U924" s="187"/>
      <c r="V924" s="187"/>
      <c r="W924" s="187"/>
      <c r="X924" s="187"/>
      <c r="Y924" s="187"/>
      <c r="Z924" s="187"/>
      <c r="AA924" s="187"/>
      <c r="AB924" s="187"/>
      <c r="AC924" s="187"/>
      <c r="AD924" s="187"/>
      <c r="AE924" s="187"/>
      <c r="AF924" s="187"/>
      <c r="AG924" s="187"/>
      <c r="AH924" s="187"/>
      <c r="AI924" s="187"/>
    </row>
    <row r="925">
      <c r="A925" s="187"/>
      <c r="B925" s="187"/>
      <c r="C925" s="187"/>
      <c r="D925" s="187"/>
      <c r="E925" s="187"/>
      <c r="F925" s="187"/>
      <c r="G925" s="187"/>
      <c r="H925" s="187"/>
      <c r="I925" s="187"/>
      <c r="J925" s="187"/>
      <c r="K925" s="187"/>
      <c r="L925" s="187"/>
      <c r="M925" s="192"/>
      <c r="N925" s="187"/>
      <c r="O925" s="187"/>
      <c r="P925" s="187"/>
      <c r="Q925" s="187"/>
      <c r="R925" s="187"/>
      <c r="S925" s="187"/>
      <c r="T925" s="187"/>
      <c r="U925" s="187"/>
      <c r="V925" s="187"/>
      <c r="W925" s="187"/>
      <c r="X925" s="187"/>
      <c r="Y925" s="187"/>
      <c r="Z925" s="187"/>
      <c r="AA925" s="187"/>
      <c r="AB925" s="187"/>
      <c r="AC925" s="187"/>
      <c r="AD925" s="187"/>
      <c r="AE925" s="187"/>
      <c r="AF925" s="187"/>
      <c r="AG925" s="187"/>
      <c r="AH925" s="187"/>
      <c r="AI925" s="187"/>
    </row>
    <row r="926">
      <c r="A926" s="187"/>
      <c r="B926" s="187"/>
      <c r="C926" s="187"/>
      <c r="D926" s="187"/>
      <c r="E926" s="187"/>
      <c r="F926" s="187"/>
      <c r="G926" s="187"/>
      <c r="H926" s="187"/>
      <c r="I926" s="187"/>
      <c r="J926" s="187"/>
      <c r="K926" s="187"/>
      <c r="L926" s="187"/>
      <c r="M926" s="192"/>
      <c r="N926" s="187"/>
      <c r="O926" s="187"/>
      <c r="P926" s="187"/>
      <c r="Q926" s="187"/>
      <c r="R926" s="187"/>
      <c r="S926" s="187"/>
      <c r="T926" s="187"/>
      <c r="U926" s="187"/>
      <c r="V926" s="187"/>
      <c r="W926" s="187"/>
      <c r="X926" s="187"/>
      <c r="Y926" s="187"/>
      <c r="Z926" s="187"/>
      <c r="AA926" s="187"/>
      <c r="AB926" s="187"/>
      <c r="AC926" s="187"/>
      <c r="AD926" s="187"/>
      <c r="AE926" s="187"/>
      <c r="AF926" s="187"/>
      <c r="AG926" s="187"/>
      <c r="AH926" s="187"/>
      <c r="AI926" s="187"/>
    </row>
    <row r="927">
      <c r="A927" s="187"/>
      <c r="B927" s="187"/>
      <c r="C927" s="187"/>
      <c r="D927" s="187"/>
      <c r="E927" s="187"/>
      <c r="F927" s="187"/>
      <c r="G927" s="187"/>
      <c r="H927" s="187"/>
      <c r="I927" s="187"/>
      <c r="J927" s="187"/>
      <c r="K927" s="187"/>
      <c r="L927" s="187"/>
      <c r="M927" s="192"/>
      <c r="N927" s="187"/>
      <c r="O927" s="187"/>
      <c r="P927" s="187"/>
      <c r="Q927" s="187"/>
      <c r="R927" s="187"/>
      <c r="S927" s="187"/>
      <c r="T927" s="187"/>
      <c r="U927" s="187"/>
      <c r="V927" s="187"/>
      <c r="W927" s="187"/>
      <c r="X927" s="187"/>
      <c r="Y927" s="187"/>
      <c r="Z927" s="187"/>
      <c r="AA927" s="187"/>
      <c r="AB927" s="187"/>
      <c r="AC927" s="187"/>
      <c r="AD927" s="187"/>
      <c r="AE927" s="187"/>
      <c r="AF927" s="187"/>
      <c r="AG927" s="187"/>
      <c r="AH927" s="187"/>
      <c r="AI927" s="187"/>
    </row>
    <row r="928">
      <c r="A928" s="187"/>
      <c r="B928" s="187"/>
      <c r="C928" s="187"/>
      <c r="D928" s="187"/>
      <c r="E928" s="187"/>
      <c r="F928" s="187"/>
      <c r="G928" s="187"/>
      <c r="H928" s="187"/>
      <c r="I928" s="187"/>
      <c r="J928" s="187"/>
      <c r="K928" s="187"/>
      <c r="L928" s="187"/>
      <c r="M928" s="192"/>
      <c r="N928" s="187"/>
      <c r="O928" s="187"/>
      <c r="P928" s="187"/>
      <c r="Q928" s="187"/>
      <c r="R928" s="187"/>
      <c r="S928" s="187"/>
      <c r="T928" s="187"/>
      <c r="U928" s="187"/>
      <c r="V928" s="187"/>
      <c r="W928" s="187"/>
      <c r="X928" s="187"/>
      <c r="Y928" s="187"/>
      <c r="Z928" s="187"/>
      <c r="AA928" s="187"/>
      <c r="AB928" s="187"/>
      <c r="AC928" s="187"/>
      <c r="AD928" s="187"/>
      <c r="AE928" s="187"/>
      <c r="AF928" s="187"/>
      <c r="AG928" s="187"/>
      <c r="AH928" s="187"/>
      <c r="AI928" s="187"/>
    </row>
    <row r="929">
      <c r="A929" s="187"/>
      <c r="B929" s="187"/>
      <c r="C929" s="187"/>
      <c r="D929" s="187"/>
      <c r="E929" s="187"/>
      <c r="F929" s="187"/>
      <c r="G929" s="187"/>
      <c r="H929" s="187"/>
      <c r="I929" s="187"/>
      <c r="J929" s="187"/>
      <c r="K929" s="187"/>
      <c r="L929" s="187"/>
      <c r="M929" s="192"/>
      <c r="N929" s="187"/>
      <c r="O929" s="187"/>
      <c r="P929" s="187"/>
      <c r="Q929" s="187"/>
      <c r="R929" s="187"/>
      <c r="S929" s="187"/>
      <c r="T929" s="187"/>
      <c r="U929" s="187"/>
      <c r="V929" s="187"/>
      <c r="W929" s="187"/>
      <c r="X929" s="187"/>
      <c r="Y929" s="187"/>
      <c r="Z929" s="187"/>
      <c r="AA929" s="187"/>
      <c r="AB929" s="187"/>
      <c r="AC929" s="187"/>
      <c r="AD929" s="187"/>
      <c r="AE929" s="187"/>
      <c r="AF929" s="187"/>
      <c r="AG929" s="187"/>
      <c r="AH929" s="187"/>
      <c r="AI929" s="187"/>
    </row>
    <row r="930">
      <c r="A930" s="187"/>
      <c r="B930" s="187"/>
      <c r="C930" s="187"/>
      <c r="D930" s="187"/>
      <c r="E930" s="187"/>
      <c r="F930" s="187"/>
      <c r="G930" s="187"/>
      <c r="H930" s="187"/>
      <c r="I930" s="187"/>
      <c r="J930" s="187"/>
      <c r="K930" s="187"/>
      <c r="L930" s="187"/>
      <c r="M930" s="192"/>
      <c r="N930" s="187"/>
      <c r="O930" s="187"/>
      <c r="P930" s="187"/>
      <c r="Q930" s="187"/>
      <c r="R930" s="187"/>
      <c r="S930" s="187"/>
      <c r="T930" s="187"/>
      <c r="U930" s="187"/>
      <c r="V930" s="187"/>
      <c r="W930" s="187"/>
      <c r="X930" s="187"/>
      <c r="Y930" s="187"/>
      <c r="Z930" s="187"/>
      <c r="AA930" s="187"/>
      <c r="AB930" s="187"/>
      <c r="AC930" s="187"/>
      <c r="AD930" s="187"/>
      <c r="AE930" s="187"/>
      <c r="AF930" s="187"/>
      <c r="AG930" s="187"/>
      <c r="AH930" s="187"/>
      <c r="AI930" s="187"/>
    </row>
    <row r="931">
      <c r="A931" s="187"/>
      <c r="B931" s="187"/>
      <c r="C931" s="187"/>
      <c r="D931" s="187"/>
      <c r="E931" s="187"/>
      <c r="F931" s="187"/>
      <c r="G931" s="187"/>
      <c r="H931" s="187"/>
      <c r="I931" s="187"/>
      <c r="J931" s="187"/>
      <c r="K931" s="187"/>
      <c r="L931" s="187"/>
      <c r="M931" s="192"/>
      <c r="N931" s="187"/>
      <c r="O931" s="187"/>
      <c r="P931" s="187"/>
      <c r="Q931" s="187"/>
      <c r="R931" s="187"/>
      <c r="S931" s="187"/>
      <c r="T931" s="187"/>
      <c r="U931" s="187"/>
      <c r="V931" s="187"/>
      <c r="W931" s="187"/>
      <c r="X931" s="187"/>
      <c r="Y931" s="187"/>
      <c r="Z931" s="187"/>
      <c r="AA931" s="187"/>
      <c r="AB931" s="187"/>
      <c r="AC931" s="187"/>
      <c r="AD931" s="187"/>
      <c r="AE931" s="187"/>
      <c r="AF931" s="187"/>
      <c r="AG931" s="187"/>
      <c r="AH931" s="187"/>
      <c r="AI931" s="187"/>
    </row>
    <row r="932">
      <c r="A932" s="187"/>
      <c r="B932" s="187"/>
      <c r="C932" s="187"/>
      <c r="D932" s="187"/>
      <c r="E932" s="187"/>
      <c r="F932" s="187"/>
      <c r="G932" s="187"/>
      <c r="H932" s="187"/>
      <c r="I932" s="187"/>
      <c r="J932" s="187"/>
      <c r="K932" s="187"/>
      <c r="L932" s="187"/>
      <c r="M932" s="192"/>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row>
    <row r="933">
      <c r="A933" s="187"/>
      <c r="B933" s="187"/>
      <c r="C933" s="187"/>
      <c r="D933" s="187"/>
      <c r="E933" s="187"/>
      <c r="F933" s="187"/>
      <c r="G933" s="187"/>
      <c r="H933" s="187"/>
      <c r="I933" s="187"/>
      <c r="J933" s="187"/>
      <c r="K933" s="187"/>
      <c r="L933" s="187"/>
      <c r="M933" s="192"/>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row>
    <row r="934">
      <c r="A934" s="187"/>
      <c r="B934" s="187"/>
      <c r="C934" s="187"/>
      <c r="D934" s="187"/>
      <c r="E934" s="187"/>
      <c r="F934" s="187"/>
      <c r="G934" s="187"/>
      <c r="H934" s="187"/>
      <c r="I934" s="187"/>
      <c r="J934" s="187"/>
      <c r="K934" s="187"/>
      <c r="L934" s="187"/>
      <c r="M934" s="192"/>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row>
    <row r="935">
      <c r="A935" s="187"/>
      <c r="B935" s="187"/>
      <c r="C935" s="187"/>
      <c r="D935" s="187"/>
      <c r="E935" s="187"/>
      <c r="F935" s="187"/>
      <c r="G935" s="187"/>
      <c r="H935" s="187"/>
      <c r="I935" s="187"/>
      <c r="J935" s="187"/>
      <c r="K935" s="187"/>
      <c r="L935" s="187"/>
      <c r="M935" s="192"/>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row>
    <row r="936">
      <c r="A936" s="187"/>
      <c r="B936" s="187"/>
      <c r="C936" s="187"/>
      <c r="D936" s="187"/>
      <c r="E936" s="187"/>
      <c r="F936" s="187"/>
      <c r="G936" s="187"/>
      <c r="H936" s="187"/>
      <c r="I936" s="187"/>
      <c r="J936" s="187"/>
      <c r="K936" s="187"/>
      <c r="L936" s="187"/>
      <c r="M936" s="192"/>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row>
    <row r="937">
      <c r="A937" s="187"/>
      <c r="B937" s="187"/>
      <c r="C937" s="187"/>
      <c r="D937" s="187"/>
      <c r="E937" s="187"/>
      <c r="F937" s="187"/>
      <c r="G937" s="187"/>
      <c r="H937" s="187"/>
      <c r="I937" s="187"/>
      <c r="J937" s="187"/>
      <c r="K937" s="187"/>
      <c r="L937" s="187"/>
      <c r="M937" s="192"/>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row>
    <row r="938">
      <c r="A938" s="187"/>
      <c r="B938" s="187"/>
      <c r="C938" s="187"/>
      <c r="D938" s="187"/>
      <c r="E938" s="187"/>
      <c r="F938" s="187"/>
      <c r="G938" s="187"/>
      <c r="H938" s="187"/>
      <c r="I938" s="187"/>
      <c r="J938" s="187"/>
      <c r="K938" s="187"/>
      <c r="L938" s="187"/>
      <c r="M938" s="192"/>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row>
    <row r="939">
      <c r="A939" s="187"/>
      <c r="B939" s="187"/>
      <c r="C939" s="187"/>
      <c r="D939" s="187"/>
      <c r="E939" s="187"/>
      <c r="F939" s="187"/>
      <c r="G939" s="187"/>
      <c r="H939" s="187"/>
      <c r="I939" s="187"/>
      <c r="J939" s="187"/>
      <c r="K939" s="187"/>
      <c r="L939" s="187"/>
      <c r="M939" s="192"/>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row>
    <row r="940">
      <c r="A940" s="187"/>
      <c r="B940" s="187"/>
      <c r="C940" s="187"/>
      <c r="D940" s="187"/>
      <c r="E940" s="187"/>
      <c r="F940" s="187"/>
      <c r="G940" s="187"/>
      <c r="H940" s="187"/>
      <c r="I940" s="187"/>
      <c r="J940" s="187"/>
      <c r="K940" s="187"/>
      <c r="L940" s="187"/>
      <c r="M940" s="192"/>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row>
    <row r="941">
      <c r="A941" s="187"/>
      <c r="B941" s="187"/>
      <c r="C941" s="187"/>
      <c r="D941" s="187"/>
      <c r="E941" s="187"/>
      <c r="F941" s="187"/>
      <c r="G941" s="187"/>
      <c r="H941" s="187"/>
      <c r="I941" s="187"/>
      <c r="J941" s="187"/>
      <c r="K941" s="187"/>
      <c r="L941" s="187"/>
      <c r="M941" s="192"/>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row>
    <row r="942">
      <c r="A942" s="187"/>
      <c r="B942" s="187"/>
      <c r="C942" s="187"/>
      <c r="D942" s="187"/>
      <c r="E942" s="187"/>
      <c r="F942" s="187"/>
      <c r="G942" s="187"/>
      <c r="H942" s="187"/>
      <c r="I942" s="187"/>
      <c r="J942" s="187"/>
      <c r="K942" s="187"/>
      <c r="L942" s="187"/>
      <c r="M942" s="192"/>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row>
    <row r="943">
      <c r="A943" s="187"/>
      <c r="B943" s="187"/>
      <c r="C943" s="187"/>
      <c r="D943" s="187"/>
      <c r="E943" s="187"/>
      <c r="F943" s="187"/>
      <c r="G943" s="187"/>
      <c r="H943" s="187"/>
      <c r="I943" s="187"/>
      <c r="J943" s="187"/>
      <c r="K943" s="187"/>
      <c r="L943" s="187"/>
      <c r="M943" s="192"/>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row>
    <row r="944">
      <c r="A944" s="187"/>
      <c r="B944" s="187"/>
      <c r="C944" s="187"/>
      <c r="D944" s="187"/>
      <c r="E944" s="187"/>
      <c r="F944" s="187"/>
      <c r="G944" s="187"/>
      <c r="H944" s="187"/>
      <c r="I944" s="187"/>
      <c r="J944" s="187"/>
      <c r="K944" s="187"/>
      <c r="L944" s="187"/>
      <c r="M944" s="192"/>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row>
    <row r="945">
      <c r="A945" s="187"/>
      <c r="B945" s="187"/>
      <c r="C945" s="187"/>
      <c r="D945" s="187"/>
      <c r="E945" s="187"/>
      <c r="F945" s="187"/>
      <c r="G945" s="187"/>
      <c r="H945" s="187"/>
      <c r="I945" s="187"/>
      <c r="J945" s="187"/>
      <c r="K945" s="187"/>
      <c r="L945" s="187"/>
      <c r="M945" s="192"/>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row>
    <row r="946">
      <c r="A946" s="187"/>
      <c r="B946" s="187"/>
      <c r="C946" s="187"/>
      <c r="D946" s="187"/>
      <c r="E946" s="187"/>
      <c r="F946" s="187"/>
      <c r="G946" s="187"/>
      <c r="H946" s="187"/>
      <c r="I946" s="187"/>
      <c r="J946" s="187"/>
      <c r="K946" s="187"/>
      <c r="L946" s="187"/>
      <c r="M946" s="192"/>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row>
    <row r="947">
      <c r="A947" s="187"/>
      <c r="B947" s="187"/>
      <c r="C947" s="187"/>
      <c r="D947" s="187"/>
      <c r="E947" s="187"/>
      <c r="F947" s="187"/>
      <c r="G947" s="187"/>
      <c r="H947" s="187"/>
      <c r="I947" s="187"/>
      <c r="J947" s="187"/>
      <c r="K947" s="187"/>
      <c r="L947" s="187"/>
      <c r="M947" s="192"/>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row>
    <row r="948">
      <c r="A948" s="187"/>
      <c r="B948" s="187"/>
      <c r="C948" s="187"/>
      <c r="D948" s="187"/>
      <c r="E948" s="187"/>
      <c r="F948" s="187"/>
      <c r="G948" s="187"/>
      <c r="H948" s="187"/>
      <c r="I948" s="187"/>
      <c r="J948" s="187"/>
      <c r="K948" s="187"/>
      <c r="L948" s="187"/>
      <c r="M948" s="192"/>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row>
    <row r="949">
      <c r="A949" s="187"/>
      <c r="B949" s="187"/>
      <c r="C949" s="187"/>
      <c r="D949" s="187"/>
      <c r="E949" s="187"/>
      <c r="F949" s="187"/>
      <c r="G949" s="187"/>
      <c r="H949" s="187"/>
      <c r="I949" s="187"/>
      <c r="J949" s="187"/>
      <c r="K949" s="187"/>
      <c r="L949" s="187"/>
      <c r="M949" s="192"/>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row>
    <row r="950">
      <c r="A950" s="187"/>
      <c r="B950" s="187"/>
      <c r="C950" s="187"/>
      <c r="D950" s="187"/>
      <c r="E950" s="187"/>
      <c r="F950" s="187"/>
      <c r="G950" s="187"/>
      <c r="H950" s="187"/>
      <c r="I950" s="187"/>
      <c r="J950" s="187"/>
      <c r="K950" s="187"/>
      <c r="L950" s="187"/>
      <c r="M950" s="192"/>
      <c r="N950" s="187"/>
      <c r="O950" s="187"/>
      <c r="P950" s="187"/>
      <c r="Q950" s="187"/>
      <c r="R950" s="187"/>
      <c r="S950" s="187"/>
      <c r="T950" s="187"/>
      <c r="U950" s="187"/>
      <c r="V950" s="187"/>
      <c r="W950" s="187"/>
      <c r="X950" s="187"/>
      <c r="Y950" s="187"/>
      <c r="Z950" s="187"/>
      <c r="AA950" s="187"/>
      <c r="AB950" s="187"/>
      <c r="AC950" s="187"/>
      <c r="AD950" s="187"/>
      <c r="AE950" s="187"/>
      <c r="AF950" s="187"/>
      <c r="AG950" s="187"/>
      <c r="AH950" s="187"/>
      <c r="AI950" s="187"/>
    </row>
    <row r="951">
      <c r="A951" s="187"/>
      <c r="B951" s="187"/>
      <c r="C951" s="187"/>
      <c r="D951" s="187"/>
      <c r="E951" s="187"/>
      <c r="F951" s="187"/>
      <c r="G951" s="187"/>
      <c r="H951" s="187"/>
      <c r="I951" s="187"/>
      <c r="J951" s="187"/>
      <c r="K951" s="187"/>
      <c r="L951" s="187"/>
      <c r="M951" s="192"/>
      <c r="N951" s="187"/>
      <c r="O951" s="187"/>
      <c r="P951" s="187"/>
      <c r="Q951" s="187"/>
      <c r="R951" s="187"/>
      <c r="S951" s="187"/>
      <c r="T951" s="187"/>
      <c r="U951" s="187"/>
      <c r="V951" s="187"/>
      <c r="W951" s="187"/>
      <c r="X951" s="187"/>
      <c r="Y951" s="187"/>
      <c r="Z951" s="187"/>
      <c r="AA951" s="187"/>
      <c r="AB951" s="187"/>
      <c r="AC951" s="187"/>
      <c r="AD951" s="187"/>
      <c r="AE951" s="187"/>
      <c r="AF951" s="187"/>
      <c r="AG951" s="187"/>
      <c r="AH951" s="187"/>
      <c r="AI951" s="187"/>
    </row>
    <row r="952">
      <c r="A952" s="187"/>
      <c r="B952" s="187"/>
      <c r="C952" s="187"/>
      <c r="D952" s="187"/>
      <c r="E952" s="187"/>
      <c r="F952" s="187"/>
      <c r="G952" s="187"/>
      <c r="H952" s="187"/>
      <c r="I952" s="187"/>
      <c r="J952" s="187"/>
      <c r="K952" s="187"/>
      <c r="L952" s="187"/>
      <c r="M952" s="192"/>
      <c r="N952" s="187"/>
      <c r="O952" s="187"/>
      <c r="P952" s="187"/>
      <c r="Q952" s="187"/>
      <c r="R952" s="187"/>
      <c r="S952" s="187"/>
      <c r="T952" s="187"/>
      <c r="U952" s="187"/>
      <c r="V952" s="187"/>
      <c r="W952" s="187"/>
      <c r="X952" s="187"/>
      <c r="Y952" s="187"/>
      <c r="Z952" s="187"/>
      <c r="AA952" s="187"/>
      <c r="AB952" s="187"/>
      <c r="AC952" s="187"/>
      <c r="AD952" s="187"/>
      <c r="AE952" s="187"/>
      <c r="AF952" s="187"/>
      <c r="AG952" s="187"/>
      <c r="AH952" s="187"/>
      <c r="AI952" s="187"/>
    </row>
    <row r="953">
      <c r="A953" s="187"/>
      <c r="B953" s="187"/>
      <c r="C953" s="187"/>
      <c r="D953" s="187"/>
      <c r="E953" s="187"/>
      <c r="F953" s="187"/>
      <c r="G953" s="187"/>
      <c r="H953" s="187"/>
      <c r="I953" s="187"/>
      <c r="J953" s="187"/>
      <c r="K953" s="187"/>
      <c r="L953" s="187"/>
      <c r="M953" s="192"/>
      <c r="N953" s="187"/>
      <c r="O953" s="187"/>
      <c r="P953" s="187"/>
      <c r="Q953" s="187"/>
      <c r="R953" s="187"/>
      <c r="S953" s="187"/>
      <c r="T953" s="187"/>
      <c r="U953" s="187"/>
      <c r="V953" s="187"/>
      <c r="W953" s="187"/>
      <c r="X953" s="187"/>
      <c r="Y953" s="187"/>
      <c r="Z953" s="187"/>
      <c r="AA953" s="187"/>
      <c r="AB953" s="187"/>
      <c r="AC953" s="187"/>
      <c r="AD953" s="187"/>
      <c r="AE953" s="187"/>
      <c r="AF953" s="187"/>
      <c r="AG953" s="187"/>
      <c r="AH953" s="187"/>
      <c r="AI953" s="187"/>
    </row>
    <row r="954">
      <c r="A954" s="187"/>
      <c r="B954" s="187"/>
      <c r="C954" s="187"/>
      <c r="D954" s="187"/>
      <c r="E954" s="187"/>
      <c r="F954" s="187"/>
      <c r="G954" s="187"/>
      <c r="H954" s="187"/>
      <c r="I954" s="187"/>
      <c r="J954" s="187"/>
      <c r="K954" s="187"/>
      <c r="L954" s="187"/>
      <c r="M954" s="192"/>
      <c r="N954" s="187"/>
      <c r="O954" s="187"/>
      <c r="P954" s="187"/>
      <c r="Q954" s="187"/>
      <c r="R954" s="187"/>
      <c r="S954" s="187"/>
      <c r="T954" s="187"/>
      <c r="U954" s="187"/>
      <c r="V954" s="187"/>
      <c r="W954" s="187"/>
      <c r="X954" s="187"/>
      <c r="Y954" s="187"/>
      <c r="Z954" s="187"/>
      <c r="AA954" s="187"/>
      <c r="AB954" s="187"/>
      <c r="AC954" s="187"/>
      <c r="AD954" s="187"/>
      <c r="AE954" s="187"/>
      <c r="AF954" s="187"/>
      <c r="AG954" s="187"/>
      <c r="AH954" s="187"/>
      <c r="AI954" s="187"/>
    </row>
    <row r="955">
      <c r="A955" s="187"/>
      <c r="B955" s="187"/>
      <c r="C955" s="187"/>
      <c r="D955" s="187"/>
      <c r="E955" s="187"/>
      <c r="F955" s="187"/>
      <c r="G955" s="187"/>
      <c r="H955" s="187"/>
      <c r="I955" s="187"/>
      <c r="J955" s="187"/>
      <c r="K955" s="187"/>
      <c r="L955" s="187"/>
      <c r="M955" s="192"/>
      <c r="N955" s="187"/>
      <c r="O955" s="187"/>
      <c r="P955" s="187"/>
      <c r="Q955" s="187"/>
      <c r="R955" s="187"/>
      <c r="S955" s="187"/>
      <c r="T955" s="187"/>
      <c r="U955" s="187"/>
      <c r="V955" s="187"/>
      <c r="W955" s="187"/>
      <c r="X955" s="187"/>
      <c r="Y955" s="187"/>
      <c r="Z955" s="187"/>
      <c r="AA955" s="187"/>
      <c r="AB955" s="187"/>
      <c r="AC955" s="187"/>
      <c r="AD955" s="187"/>
      <c r="AE955" s="187"/>
      <c r="AF955" s="187"/>
      <c r="AG955" s="187"/>
      <c r="AH955" s="187"/>
      <c r="AI955" s="187"/>
    </row>
    <row r="956">
      <c r="A956" s="187"/>
      <c r="B956" s="187"/>
      <c r="C956" s="187"/>
      <c r="D956" s="187"/>
      <c r="E956" s="187"/>
      <c r="F956" s="187"/>
      <c r="G956" s="187"/>
      <c r="H956" s="187"/>
      <c r="I956" s="187"/>
      <c r="J956" s="187"/>
      <c r="K956" s="187"/>
      <c r="L956" s="187"/>
      <c r="M956" s="192"/>
      <c r="N956" s="187"/>
      <c r="O956" s="187"/>
      <c r="P956" s="187"/>
      <c r="Q956" s="187"/>
      <c r="R956" s="187"/>
      <c r="S956" s="187"/>
      <c r="T956" s="187"/>
      <c r="U956" s="187"/>
      <c r="V956" s="187"/>
      <c r="W956" s="187"/>
      <c r="X956" s="187"/>
      <c r="Y956" s="187"/>
      <c r="Z956" s="187"/>
      <c r="AA956" s="187"/>
      <c r="AB956" s="187"/>
      <c r="AC956" s="187"/>
      <c r="AD956" s="187"/>
      <c r="AE956" s="187"/>
      <c r="AF956" s="187"/>
      <c r="AG956" s="187"/>
      <c r="AH956" s="187"/>
      <c r="AI956" s="187"/>
    </row>
    <row r="957">
      <c r="A957" s="187"/>
      <c r="B957" s="187"/>
      <c r="C957" s="187"/>
      <c r="D957" s="187"/>
      <c r="E957" s="187"/>
      <c r="F957" s="187"/>
      <c r="G957" s="187"/>
      <c r="H957" s="187"/>
      <c r="I957" s="187"/>
      <c r="J957" s="187"/>
      <c r="K957" s="187"/>
      <c r="L957" s="187"/>
      <c r="M957" s="192"/>
      <c r="N957" s="187"/>
      <c r="O957" s="187"/>
      <c r="P957" s="187"/>
      <c r="Q957" s="187"/>
      <c r="R957" s="187"/>
      <c r="S957" s="187"/>
      <c r="T957" s="187"/>
      <c r="U957" s="187"/>
      <c r="V957" s="187"/>
      <c r="W957" s="187"/>
      <c r="X957" s="187"/>
      <c r="Y957" s="187"/>
      <c r="Z957" s="187"/>
      <c r="AA957" s="187"/>
      <c r="AB957" s="187"/>
      <c r="AC957" s="187"/>
      <c r="AD957" s="187"/>
      <c r="AE957" s="187"/>
      <c r="AF957" s="187"/>
      <c r="AG957" s="187"/>
      <c r="AH957" s="187"/>
      <c r="AI957" s="187"/>
    </row>
    <row r="958">
      <c r="A958" s="187"/>
      <c r="B958" s="187"/>
      <c r="C958" s="187"/>
      <c r="D958" s="187"/>
      <c r="E958" s="187"/>
      <c r="F958" s="187"/>
      <c r="G958" s="187"/>
      <c r="H958" s="187"/>
      <c r="I958" s="187"/>
      <c r="J958" s="187"/>
      <c r="K958" s="187"/>
      <c r="L958" s="187"/>
      <c r="M958" s="192"/>
      <c r="N958" s="187"/>
      <c r="O958" s="187"/>
      <c r="P958" s="187"/>
      <c r="Q958" s="187"/>
      <c r="R958" s="187"/>
      <c r="S958" s="187"/>
      <c r="T958" s="187"/>
      <c r="U958" s="187"/>
      <c r="V958" s="187"/>
      <c r="W958" s="187"/>
      <c r="X958" s="187"/>
      <c r="Y958" s="187"/>
      <c r="Z958" s="187"/>
      <c r="AA958" s="187"/>
      <c r="AB958" s="187"/>
      <c r="AC958" s="187"/>
      <c r="AD958" s="187"/>
      <c r="AE958" s="187"/>
      <c r="AF958" s="187"/>
      <c r="AG958" s="187"/>
      <c r="AH958" s="187"/>
      <c r="AI958" s="187"/>
    </row>
    <row r="959">
      <c r="A959" s="187"/>
      <c r="B959" s="187"/>
      <c r="C959" s="187"/>
      <c r="D959" s="187"/>
      <c r="E959" s="187"/>
      <c r="F959" s="187"/>
      <c r="G959" s="187"/>
      <c r="H959" s="187"/>
      <c r="I959" s="187"/>
      <c r="J959" s="187"/>
      <c r="K959" s="187"/>
      <c r="L959" s="187"/>
      <c r="M959" s="192"/>
      <c r="N959" s="187"/>
      <c r="O959" s="187"/>
      <c r="P959" s="187"/>
      <c r="Q959" s="187"/>
      <c r="R959" s="187"/>
      <c r="S959" s="187"/>
      <c r="T959" s="187"/>
      <c r="U959" s="187"/>
      <c r="V959" s="187"/>
      <c r="W959" s="187"/>
      <c r="X959" s="187"/>
      <c r="Y959" s="187"/>
      <c r="Z959" s="187"/>
      <c r="AA959" s="187"/>
      <c r="AB959" s="187"/>
      <c r="AC959" s="187"/>
      <c r="AD959" s="187"/>
      <c r="AE959" s="187"/>
      <c r="AF959" s="187"/>
      <c r="AG959" s="187"/>
      <c r="AH959" s="187"/>
      <c r="AI959" s="187"/>
    </row>
    <row r="960">
      <c r="A960" s="187"/>
      <c r="B960" s="187"/>
      <c r="C960" s="187"/>
      <c r="D960" s="187"/>
      <c r="E960" s="187"/>
      <c r="F960" s="187"/>
      <c r="G960" s="187"/>
      <c r="H960" s="187"/>
      <c r="I960" s="187"/>
      <c r="J960" s="187"/>
      <c r="K960" s="187"/>
      <c r="L960" s="187"/>
      <c r="M960" s="192"/>
      <c r="N960" s="187"/>
      <c r="O960" s="187"/>
      <c r="P960" s="187"/>
      <c r="Q960" s="187"/>
      <c r="R960" s="187"/>
      <c r="S960" s="187"/>
      <c r="T960" s="187"/>
      <c r="U960" s="187"/>
      <c r="V960" s="187"/>
      <c r="W960" s="187"/>
      <c r="X960" s="187"/>
      <c r="Y960" s="187"/>
      <c r="Z960" s="187"/>
      <c r="AA960" s="187"/>
      <c r="AB960" s="187"/>
      <c r="AC960" s="187"/>
      <c r="AD960" s="187"/>
      <c r="AE960" s="187"/>
      <c r="AF960" s="187"/>
      <c r="AG960" s="187"/>
      <c r="AH960" s="187"/>
      <c r="AI960" s="187"/>
    </row>
    <row r="961">
      <c r="A961" s="187"/>
      <c r="B961" s="187"/>
      <c r="C961" s="187"/>
      <c r="D961" s="187"/>
      <c r="E961" s="187"/>
      <c r="F961" s="187"/>
      <c r="G961" s="187"/>
      <c r="H961" s="187"/>
      <c r="I961" s="187"/>
      <c r="J961" s="187"/>
      <c r="K961" s="187"/>
      <c r="L961" s="187"/>
      <c r="M961" s="192"/>
      <c r="N961" s="187"/>
      <c r="O961" s="187"/>
      <c r="P961" s="187"/>
      <c r="Q961" s="187"/>
      <c r="R961" s="187"/>
      <c r="S961" s="187"/>
      <c r="T961" s="187"/>
      <c r="U961" s="187"/>
      <c r="V961" s="187"/>
      <c r="W961" s="187"/>
      <c r="X961" s="187"/>
      <c r="Y961" s="187"/>
      <c r="Z961" s="187"/>
      <c r="AA961" s="187"/>
      <c r="AB961" s="187"/>
      <c r="AC961" s="187"/>
      <c r="AD961" s="187"/>
      <c r="AE961" s="187"/>
      <c r="AF961" s="187"/>
      <c r="AG961" s="187"/>
      <c r="AH961" s="187"/>
      <c r="AI961" s="187"/>
    </row>
    <row r="962">
      <c r="A962" s="187"/>
      <c r="B962" s="187"/>
      <c r="C962" s="187"/>
      <c r="D962" s="187"/>
      <c r="E962" s="187"/>
      <c r="F962" s="187"/>
      <c r="G962" s="187"/>
      <c r="H962" s="187"/>
      <c r="I962" s="187"/>
      <c r="J962" s="187"/>
      <c r="K962" s="187"/>
      <c r="L962" s="187"/>
      <c r="M962" s="192"/>
      <c r="N962" s="187"/>
      <c r="O962" s="187"/>
      <c r="P962" s="187"/>
      <c r="Q962" s="187"/>
      <c r="R962" s="187"/>
      <c r="S962" s="187"/>
      <c r="T962" s="187"/>
      <c r="U962" s="187"/>
      <c r="V962" s="187"/>
      <c r="W962" s="187"/>
      <c r="X962" s="187"/>
      <c r="Y962" s="187"/>
      <c r="Z962" s="187"/>
      <c r="AA962" s="187"/>
      <c r="AB962" s="187"/>
      <c r="AC962" s="187"/>
      <c r="AD962" s="187"/>
      <c r="AE962" s="187"/>
      <c r="AF962" s="187"/>
      <c r="AG962" s="187"/>
      <c r="AH962" s="187"/>
      <c r="AI962" s="187"/>
    </row>
    <row r="963">
      <c r="A963" s="187"/>
      <c r="B963" s="187"/>
      <c r="C963" s="187"/>
      <c r="D963" s="187"/>
      <c r="E963" s="187"/>
      <c r="F963" s="187"/>
      <c r="G963" s="187"/>
      <c r="H963" s="187"/>
      <c r="I963" s="187"/>
      <c r="J963" s="187"/>
      <c r="K963" s="187"/>
      <c r="L963" s="187"/>
      <c r="M963" s="192"/>
      <c r="N963" s="187"/>
      <c r="O963" s="187"/>
      <c r="P963" s="187"/>
      <c r="Q963" s="187"/>
      <c r="R963" s="187"/>
      <c r="S963" s="187"/>
      <c r="T963" s="187"/>
      <c r="U963" s="187"/>
      <c r="V963" s="187"/>
      <c r="W963" s="187"/>
      <c r="X963" s="187"/>
      <c r="Y963" s="187"/>
      <c r="Z963" s="187"/>
      <c r="AA963" s="187"/>
      <c r="AB963" s="187"/>
      <c r="AC963" s="187"/>
      <c r="AD963" s="187"/>
      <c r="AE963" s="187"/>
      <c r="AF963" s="187"/>
      <c r="AG963" s="187"/>
      <c r="AH963" s="187"/>
      <c r="AI963" s="187"/>
    </row>
    <row r="964">
      <c r="A964" s="187"/>
      <c r="B964" s="187"/>
      <c r="C964" s="187"/>
      <c r="D964" s="187"/>
      <c r="E964" s="187"/>
      <c r="F964" s="187"/>
      <c r="G964" s="187"/>
      <c r="H964" s="187"/>
      <c r="I964" s="187"/>
      <c r="J964" s="187"/>
      <c r="K964" s="187"/>
      <c r="L964" s="187"/>
      <c r="M964" s="192"/>
      <c r="N964" s="187"/>
      <c r="O964" s="187"/>
      <c r="P964" s="187"/>
      <c r="Q964" s="187"/>
      <c r="R964" s="187"/>
      <c r="S964" s="187"/>
      <c r="T964" s="187"/>
      <c r="U964" s="187"/>
      <c r="V964" s="187"/>
      <c r="W964" s="187"/>
      <c r="X964" s="187"/>
      <c r="Y964" s="187"/>
      <c r="Z964" s="187"/>
      <c r="AA964" s="187"/>
      <c r="AB964" s="187"/>
      <c r="AC964" s="187"/>
      <c r="AD964" s="187"/>
      <c r="AE964" s="187"/>
      <c r="AF964" s="187"/>
      <c r="AG964" s="187"/>
      <c r="AH964" s="187"/>
      <c r="AI964" s="187"/>
    </row>
    <row r="965">
      <c r="A965" s="187"/>
      <c r="B965" s="187"/>
      <c r="C965" s="187"/>
      <c r="D965" s="187"/>
      <c r="E965" s="187"/>
      <c r="F965" s="187"/>
      <c r="G965" s="187"/>
      <c r="H965" s="187"/>
      <c r="I965" s="187"/>
      <c r="J965" s="187"/>
      <c r="K965" s="187"/>
      <c r="L965" s="187"/>
      <c r="M965" s="192"/>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row>
    <row r="966">
      <c r="A966" s="187"/>
      <c r="B966" s="187"/>
      <c r="C966" s="187"/>
      <c r="D966" s="187"/>
      <c r="E966" s="187"/>
      <c r="F966" s="187"/>
      <c r="G966" s="187"/>
      <c r="H966" s="187"/>
      <c r="I966" s="187"/>
      <c r="J966" s="187"/>
      <c r="K966" s="187"/>
      <c r="L966" s="187"/>
      <c r="M966" s="192"/>
      <c r="N966" s="187"/>
      <c r="O966" s="187"/>
      <c r="P966" s="187"/>
      <c r="Q966" s="187"/>
      <c r="R966" s="187"/>
      <c r="S966" s="187"/>
      <c r="T966" s="187"/>
      <c r="U966" s="187"/>
      <c r="V966" s="187"/>
      <c r="W966" s="187"/>
      <c r="X966" s="187"/>
      <c r="Y966" s="187"/>
      <c r="Z966" s="187"/>
      <c r="AA966" s="187"/>
      <c r="AB966" s="187"/>
      <c r="AC966" s="187"/>
      <c r="AD966" s="187"/>
      <c r="AE966" s="187"/>
      <c r="AF966" s="187"/>
      <c r="AG966" s="187"/>
      <c r="AH966" s="187"/>
      <c r="AI966" s="187"/>
    </row>
    <row r="967">
      <c r="A967" s="187"/>
      <c r="B967" s="187"/>
      <c r="C967" s="187"/>
      <c r="D967" s="187"/>
      <c r="E967" s="187"/>
      <c r="F967" s="187"/>
      <c r="G967" s="187"/>
      <c r="H967" s="187"/>
      <c r="I967" s="187"/>
      <c r="J967" s="187"/>
      <c r="K967" s="187"/>
      <c r="L967" s="187"/>
      <c r="M967" s="192"/>
      <c r="N967" s="187"/>
      <c r="O967" s="187"/>
      <c r="P967" s="187"/>
      <c r="Q967" s="187"/>
      <c r="R967" s="187"/>
      <c r="S967" s="187"/>
      <c r="T967" s="187"/>
      <c r="U967" s="187"/>
      <c r="V967" s="187"/>
      <c r="W967" s="187"/>
      <c r="X967" s="187"/>
      <c r="Y967" s="187"/>
      <c r="Z967" s="187"/>
      <c r="AA967" s="187"/>
      <c r="AB967" s="187"/>
      <c r="AC967" s="187"/>
      <c r="AD967" s="187"/>
      <c r="AE967" s="187"/>
      <c r="AF967" s="187"/>
      <c r="AG967" s="187"/>
      <c r="AH967" s="187"/>
      <c r="AI967" s="187"/>
    </row>
    <row r="968">
      <c r="A968" s="187"/>
      <c r="B968" s="187"/>
      <c r="C968" s="187"/>
      <c r="D968" s="187"/>
      <c r="E968" s="187"/>
      <c r="F968" s="187"/>
      <c r="G968" s="187"/>
      <c r="H968" s="187"/>
      <c r="I968" s="187"/>
      <c r="J968" s="187"/>
      <c r="K968" s="187"/>
      <c r="L968" s="187"/>
      <c r="M968" s="192"/>
      <c r="N968" s="187"/>
      <c r="O968" s="187"/>
      <c r="P968" s="187"/>
      <c r="Q968" s="187"/>
      <c r="R968" s="187"/>
      <c r="S968" s="187"/>
      <c r="T968" s="187"/>
      <c r="U968" s="187"/>
      <c r="V968" s="187"/>
      <c r="W968" s="187"/>
      <c r="X968" s="187"/>
      <c r="Y968" s="187"/>
      <c r="Z968" s="187"/>
      <c r="AA968" s="187"/>
      <c r="AB968" s="187"/>
      <c r="AC968" s="187"/>
      <c r="AD968" s="187"/>
      <c r="AE968" s="187"/>
      <c r="AF968" s="187"/>
      <c r="AG968" s="187"/>
      <c r="AH968" s="187"/>
      <c r="AI968" s="187"/>
    </row>
    <row r="969">
      <c r="A969" s="187"/>
      <c r="B969" s="187"/>
      <c r="C969" s="187"/>
      <c r="D969" s="187"/>
      <c r="E969" s="187"/>
      <c r="F969" s="187"/>
      <c r="G969" s="187"/>
      <c r="H969" s="187"/>
      <c r="I969" s="187"/>
      <c r="J969" s="187"/>
      <c r="K969" s="187"/>
      <c r="L969" s="187"/>
      <c r="M969" s="192"/>
      <c r="N969" s="187"/>
      <c r="O969" s="187"/>
      <c r="P969" s="187"/>
      <c r="Q969" s="187"/>
      <c r="R969" s="187"/>
      <c r="S969" s="187"/>
      <c r="T969" s="187"/>
      <c r="U969" s="187"/>
      <c r="V969" s="187"/>
      <c r="W969" s="187"/>
      <c r="X969" s="187"/>
      <c r="Y969" s="187"/>
      <c r="Z969" s="187"/>
      <c r="AA969" s="187"/>
      <c r="AB969" s="187"/>
      <c r="AC969" s="187"/>
      <c r="AD969" s="187"/>
      <c r="AE969" s="187"/>
      <c r="AF969" s="187"/>
      <c r="AG969" s="187"/>
      <c r="AH969" s="187"/>
      <c r="AI969" s="187"/>
    </row>
    <row r="970">
      <c r="A970" s="187"/>
      <c r="B970" s="187"/>
      <c r="C970" s="187"/>
      <c r="D970" s="187"/>
      <c r="E970" s="187"/>
      <c r="F970" s="187"/>
      <c r="G970" s="187"/>
      <c r="H970" s="187"/>
      <c r="I970" s="187"/>
      <c r="J970" s="187"/>
      <c r="K970" s="187"/>
      <c r="L970" s="187"/>
      <c r="M970" s="192"/>
      <c r="N970" s="187"/>
      <c r="O970" s="187"/>
      <c r="P970" s="187"/>
      <c r="Q970" s="187"/>
      <c r="R970" s="187"/>
      <c r="S970" s="187"/>
      <c r="T970" s="187"/>
      <c r="U970" s="187"/>
      <c r="V970" s="187"/>
      <c r="W970" s="187"/>
      <c r="X970" s="187"/>
      <c r="Y970" s="187"/>
      <c r="Z970" s="187"/>
      <c r="AA970" s="187"/>
      <c r="AB970" s="187"/>
      <c r="AC970" s="187"/>
      <c r="AD970" s="187"/>
      <c r="AE970" s="187"/>
      <c r="AF970" s="187"/>
      <c r="AG970" s="187"/>
      <c r="AH970" s="187"/>
      <c r="AI970" s="187"/>
    </row>
    <row r="971">
      <c r="A971" s="187"/>
      <c r="B971" s="187"/>
      <c r="C971" s="187"/>
      <c r="D971" s="187"/>
      <c r="E971" s="187"/>
      <c r="F971" s="187"/>
      <c r="G971" s="187"/>
      <c r="H971" s="187"/>
      <c r="I971" s="187"/>
      <c r="J971" s="187"/>
      <c r="K971" s="187"/>
      <c r="L971" s="187"/>
      <c r="M971" s="192"/>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row>
    <row r="972">
      <c r="A972" s="187"/>
      <c r="B972" s="187"/>
      <c r="C972" s="187"/>
      <c r="D972" s="187"/>
      <c r="E972" s="187"/>
      <c r="F972" s="187"/>
      <c r="G972" s="187"/>
      <c r="H972" s="187"/>
      <c r="I972" s="187"/>
      <c r="J972" s="187"/>
      <c r="K972" s="187"/>
      <c r="L972" s="187"/>
      <c r="M972" s="192"/>
      <c r="N972" s="187"/>
      <c r="O972" s="187"/>
      <c r="P972" s="187"/>
      <c r="Q972" s="187"/>
      <c r="R972" s="187"/>
      <c r="S972" s="187"/>
      <c r="T972" s="187"/>
      <c r="U972" s="187"/>
      <c r="V972" s="187"/>
      <c r="W972" s="187"/>
      <c r="X972" s="187"/>
      <c r="Y972" s="187"/>
      <c r="Z972" s="187"/>
      <c r="AA972" s="187"/>
      <c r="AB972" s="187"/>
      <c r="AC972" s="187"/>
      <c r="AD972" s="187"/>
      <c r="AE972" s="187"/>
      <c r="AF972" s="187"/>
      <c r="AG972" s="187"/>
      <c r="AH972" s="187"/>
      <c r="AI972" s="187"/>
    </row>
    <row r="973">
      <c r="A973" s="187"/>
      <c r="B973" s="187"/>
      <c r="C973" s="187"/>
      <c r="D973" s="187"/>
      <c r="E973" s="187"/>
      <c r="F973" s="187"/>
      <c r="G973" s="187"/>
      <c r="H973" s="187"/>
      <c r="I973" s="187"/>
      <c r="J973" s="187"/>
      <c r="K973" s="187"/>
      <c r="L973" s="187"/>
      <c r="M973" s="192"/>
      <c r="N973" s="187"/>
      <c r="O973" s="187"/>
      <c r="P973" s="187"/>
      <c r="Q973" s="187"/>
      <c r="R973" s="187"/>
      <c r="S973" s="187"/>
      <c r="T973" s="187"/>
      <c r="U973" s="187"/>
      <c r="V973" s="187"/>
      <c r="W973" s="187"/>
      <c r="X973" s="187"/>
      <c r="Y973" s="187"/>
      <c r="Z973" s="187"/>
      <c r="AA973" s="187"/>
      <c r="AB973" s="187"/>
      <c r="AC973" s="187"/>
      <c r="AD973" s="187"/>
      <c r="AE973" s="187"/>
      <c r="AF973" s="187"/>
      <c r="AG973" s="187"/>
      <c r="AH973" s="187"/>
      <c r="AI973" s="187"/>
    </row>
    <row r="974">
      <c r="A974" s="187"/>
      <c r="B974" s="189"/>
      <c r="C974" s="187"/>
      <c r="D974" s="187"/>
      <c r="E974" s="187"/>
      <c r="F974" s="187"/>
      <c r="G974" s="187"/>
      <c r="H974" s="187"/>
      <c r="I974" s="187"/>
      <c r="J974" s="187"/>
      <c r="K974" s="187"/>
      <c r="L974" s="187"/>
      <c r="M974" s="192"/>
      <c r="N974" s="187"/>
      <c r="O974" s="187"/>
      <c r="P974" s="187"/>
      <c r="Q974" s="187"/>
      <c r="R974" s="187"/>
      <c r="S974" s="187"/>
      <c r="T974" s="187"/>
      <c r="U974" s="187"/>
      <c r="V974" s="187"/>
      <c r="W974" s="187"/>
      <c r="X974" s="187"/>
      <c r="Y974" s="187"/>
      <c r="Z974" s="187"/>
      <c r="AA974" s="187"/>
      <c r="AB974" s="187"/>
      <c r="AC974" s="187"/>
      <c r="AD974" s="187"/>
      <c r="AE974" s="187"/>
      <c r="AF974" s="187"/>
      <c r="AG974" s="187"/>
      <c r="AH974" s="187"/>
      <c r="AI974" s="187"/>
    </row>
  </sheetData>
  <customSheetViews>
    <customSheetView guid="{AC9328EE-EC72-43E1-A3CF-E3DE63E2A988}" filter="1" showAutoFilter="1">
      <autoFilter ref="$I$1:$I$974"/>
    </customSheetView>
    <customSheetView guid="{A36D6B91-9CD2-4416-9120-0E8EF67AB986}" filter="1" showAutoFilter="1">
      <autoFilter ref="$A$1:$AI$974">
        <filterColumn colId="8">
          <colorFilter dxfId="1"/>
        </filterColumn>
      </autoFilter>
    </customSheetView>
  </customSheetViews>
  <hyperlinks>
    <hyperlink r:id="rId1" ref="D16"/>
    <hyperlink r:id="rId2" ref="F183"/>
    <hyperlink r:id="rId3" ref="E188"/>
    <hyperlink r:id="rId4" ref="E189"/>
    <hyperlink r:id="rId5" ref="E192"/>
    <hyperlink r:id="rId6" ref="F194"/>
    <hyperlink r:id="rId7" ref="F196"/>
    <hyperlink r:id="rId8" ref="F204"/>
    <hyperlink r:id="rId9" ref="F205"/>
    <hyperlink r:id="rId10" ref="G230"/>
    <hyperlink r:id="rId11" ref="E232"/>
    <hyperlink r:id="rId12" ref="E234"/>
  </hyperlinks>
  <drawing r:id="rId1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39.0"/>
  </cols>
  <sheetData>
    <row r="1">
      <c r="A1" s="224">
        <f>1+'calls to do'!A11</f>
        <v>11</v>
      </c>
      <c r="B1" s="225">
        <v>44628.0</v>
      </c>
      <c r="C1" s="224" t="s">
        <v>3394</v>
      </c>
      <c r="D1" s="224" t="s">
        <v>3395</v>
      </c>
      <c r="E1" s="224">
        <v>500095.0</v>
      </c>
      <c r="F1" s="224" t="s">
        <v>3396</v>
      </c>
      <c r="G1" s="224">
        <v>9.00016061E9</v>
      </c>
      <c r="H1" s="224" t="s">
        <v>3397</v>
      </c>
      <c r="I1" s="226" t="s">
        <v>3398</v>
      </c>
      <c r="J1" s="227"/>
      <c r="K1" s="227"/>
      <c r="L1" s="227"/>
      <c r="M1" s="228"/>
      <c r="N1" s="227"/>
      <c r="O1" s="227"/>
      <c r="P1" s="227"/>
      <c r="Q1" s="227"/>
      <c r="R1" s="227"/>
      <c r="S1" s="227"/>
      <c r="T1" s="227"/>
      <c r="U1" s="227"/>
      <c r="V1" s="227"/>
      <c r="W1" s="227"/>
      <c r="X1" s="227"/>
      <c r="Y1" s="227"/>
      <c r="Z1" s="227"/>
      <c r="AA1" s="227"/>
      <c r="AB1" s="227"/>
      <c r="AC1" s="227"/>
      <c r="AD1" s="227"/>
      <c r="AE1" s="227"/>
      <c r="AF1" s="227"/>
      <c r="AG1" s="227"/>
      <c r="AH1" s="227"/>
      <c r="AI1" s="227"/>
    </row>
    <row r="2">
      <c r="A2" s="224">
        <f>1+'calls to do'!A16</f>
        <v>16</v>
      </c>
      <c r="B2" s="225">
        <v>44628.0</v>
      </c>
      <c r="C2" s="224" t="s">
        <v>3399</v>
      </c>
      <c r="D2" s="224" t="s">
        <v>3400</v>
      </c>
      <c r="E2" s="224">
        <v>360004.0</v>
      </c>
      <c r="F2" s="224" t="s">
        <v>3401</v>
      </c>
      <c r="G2" s="224">
        <v>8.16026341E9</v>
      </c>
      <c r="H2" s="224" t="s">
        <v>3402</v>
      </c>
      <c r="I2" s="226" t="s">
        <v>3403</v>
      </c>
      <c r="J2" s="229" t="s">
        <v>3404</v>
      </c>
      <c r="K2" s="227"/>
      <c r="L2" s="227"/>
      <c r="M2" s="229"/>
      <c r="N2" s="227"/>
      <c r="O2" s="227"/>
      <c r="P2" s="227"/>
      <c r="Q2" s="227"/>
      <c r="R2" s="227"/>
      <c r="S2" s="227"/>
      <c r="T2" s="227"/>
      <c r="U2" s="227"/>
      <c r="V2" s="227"/>
      <c r="W2" s="227"/>
      <c r="X2" s="227"/>
      <c r="Y2" s="227"/>
      <c r="Z2" s="227"/>
      <c r="AA2" s="227"/>
      <c r="AB2" s="227"/>
      <c r="AC2" s="227"/>
      <c r="AD2" s="227"/>
      <c r="AE2" s="227"/>
      <c r="AF2" s="227"/>
      <c r="AG2" s="227"/>
      <c r="AH2" s="227"/>
      <c r="AI2" s="227"/>
    </row>
    <row r="3">
      <c r="A3" s="224">
        <f>1+'calls to do'!A39</f>
        <v>39</v>
      </c>
      <c r="B3" s="225">
        <v>44630.0</v>
      </c>
      <c r="C3" s="224" t="s">
        <v>3405</v>
      </c>
      <c r="D3" s="224" t="s">
        <v>3406</v>
      </c>
      <c r="E3" s="224"/>
      <c r="F3" s="224" t="s">
        <v>3407</v>
      </c>
      <c r="G3" s="224">
        <v>8.540988666E9</v>
      </c>
      <c r="H3" s="224" t="s">
        <v>3408</v>
      </c>
      <c r="I3" s="230" t="s">
        <v>3409</v>
      </c>
      <c r="J3" s="227"/>
      <c r="K3" s="224"/>
      <c r="L3" s="227"/>
      <c r="M3" s="228"/>
      <c r="N3" s="227"/>
      <c r="O3" s="227"/>
      <c r="P3" s="227"/>
      <c r="Q3" s="227"/>
      <c r="R3" s="227"/>
      <c r="S3" s="227"/>
      <c r="T3" s="227"/>
      <c r="U3" s="227"/>
      <c r="V3" s="227"/>
      <c r="W3" s="227"/>
      <c r="X3" s="227"/>
      <c r="Y3" s="227"/>
      <c r="Z3" s="227"/>
      <c r="AA3" s="227"/>
      <c r="AB3" s="227"/>
      <c r="AC3" s="227"/>
      <c r="AD3" s="227"/>
      <c r="AE3" s="227"/>
      <c r="AF3" s="227"/>
      <c r="AG3" s="227"/>
      <c r="AH3" s="227"/>
      <c r="AI3" s="227"/>
    </row>
    <row r="4">
      <c r="A4" s="224">
        <f>1+'calls to do'!A44</f>
        <v>44</v>
      </c>
      <c r="B4" s="225">
        <v>44630.0</v>
      </c>
      <c r="C4" s="224" t="s">
        <v>3410</v>
      </c>
      <c r="D4" s="224" t="s">
        <v>3411</v>
      </c>
      <c r="E4" s="227"/>
      <c r="F4" s="224" t="s">
        <v>2972</v>
      </c>
      <c r="G4" s="224">
        <v>9.553024574E9</v>
      </c>
      <c r="H4" s="224" t="s">
        <v>3412</v>
      </c>
      <c r="I4" s="230" t="s">
        <v>3413</v>
      </c>
      <c r="J4" s="227"/>
      <c r="K4" s="227"/>
      <c r="L4" s="227"/>
      <c r="M4" s="229" t="s">
        <v>3414</v>
      </c>
      <c r="N4" s="227"/>
      <c r="O4" s="227"/>
      <c r="P4" s="227"/>
      <c r="Q4" s="227"/>
      <c r="R4" s="227"/>
      <c r="S4" s="227"/>
      <c r="T4" s="227"/>
      <c r="U4" s="227"/>
      <c r="V4" s="227"/>
      <c r="W4" s="227"/>
      <c r="X4" s="227"/>
      <c r="Y4" s="227"/>
      <c r="Z4" s="227"/>
      <c r="AA4" s="227"/>
      <c r="AB4" s="227"/>
      <c r="AC4" s="227"/>
      <c r="AD4" s="227"/>
      <c r="AE4" s="227"/>
      <c r="AF4" s="227"/>
      <c r="AG4" s="227"/>
      <c r="AH4" s="227"/>
      <c r="AI4" s="227"/>
    </row>
    <row r="5">
      <c r="A5" s="224">
        <f>1+'calls to do'!A57</f>
        <v>57</v>
      </c>
      <c r="B5" s="225">
        <v>44630.0</v>
      </c>
      <c r="C5" s="224" t="s">
        <v>3415</v>
      </c>
      <c r="D5" s="224" t="s">
        <v>3416</v>
      </c>
      <c r="E5" s="227"/>
      <c r="F5" s="224" t="s">
        <v>3417</v>
      </c>
      <c r="G5" s="224">
        <v>6.388266599E9</v>
      </c>
      <c r="H5" s="224"/>
      <c r="I5" s="230" t="s">
        <v>3418</v>
      </c>
      <c r="J5" s="227"/>
      <c r="K5" s="227"/>
      <c r="L5" s="228"/>
      <c r="M5" s="228"/>
      <c r="N5" s="227"/>
      <c r="O5" s="227"/>
      <c r="P5" s="227"/>
      <c r="Q5" s="227"/>
      <c r="R5" s="227"/>
      <c r="S5" s="227"/>
      <c r="T5" s="227"/>
      <c r="U5" s="227"/>
      <c r="V5" s="227"/>
      <c r="W5" s="227"/>
      <c r="X5" s="227"/>
      <c r="Y5" s="227"/>
      <c r="Z5" s="227"/>
      <c r="AA5" s="227"/>
      <c r="AB5" s="227"/>
      <c r="AC5" s="227"/>
      <c r="AD5" s="227"/>
      <c r="AE5" s="227"/>
      <c r="AF5" s="227"/>
      <c r="AG5" s="227"/>
      <c r="AH5" s="227"/>
      <c r="AI5" s="227"/>
    </row>
    <row r="6">
      <c r="A6" s="227"/>
      <c r="B6" s="227"/>
      <c r="C6" s="224" t="s">
        <v>3419</v>
      </c>
      <c r="D6" s="224" t="s">
        <v>3420</v>
      </c>
      <c r="E6" s="224" t="s">
        <v>3065</v>
      </c>
      <c r="F6" s="224" t="s">
        <v>3421</v>
      </c>
      <c r="G6" s="227"/>
      <c r="H6" s="227"/>
      <c r="I6" s="231" t="s">
        <v>3422</v>
      </c>
      <c r="J6" s="227"/>
      <c r="K6" s="227"/>
      <c r="L6" s="227"/>
      <c r="M6" s="227"/>
      <c r="N6" s="227"/>
      <c r="O6" s="227"/>
      <c r="P6" s="227"/>
      <c r="Q6" s="227"/>
      <c r="R6" s="227"/>
      <c r="S6" s="227"/>
      <c r="T6" s="227"/>
      <c r="U6" s="227"/>
      <c r="V6" s="227"/>
      <c r="W6" s="227"/>
      <c r="X6" s="227"/>
      <c r="Y6" s="227"/>
      <c r="Z6" s="227"/>
      <c r="AA6" s="227"/>
      <c r="AB6" s="227"/>
      <c r="AC6" s="227"/>
      <c r="AD6" s="227"/>
      <c r="AE6" s="227"/>
      <c r="AF6" s="227"/>
      <c r="AG6" s="227"/>
      <c r="AH6" s="227"/>
      <c r="AI6" s="227"/>
    </row>
    <row r="7">
      <c r="A7" s="227"/>
      <c r="B7" s="227"/>
      <c r="C7" s="227"/>
      <c r="D7" s="227"/>
      <c r="E7" s="227"/>
      <c r="F7" s="224" t="s">
        <v>3423</v>
      </c>
      <c r="G7" s="227"/>
      <c r="H7" s="227"/>
      <c r="I7" s="231" t="s">
        <v>3064</v>
      </c>
      <c r="J7" s="227"/>
      <c r="K7" s="227"/>
      <c r="L7" s="227"/>
      <c r="M7" s="227"/>
      <c r="N7" s="227"/>
      <c r="O7" s="227"/>
      <c r="P7" s="227"/>
      <c r="Q7" s="227"/>
      <c r="R7" s="227"/>
      <c r="S7" s="227"/>
      <c r="T7" s="227"/>
      <c r="U7" s="227"/>
      <c r="V7" s="227"/>
      <c r="W7" s="227"/>
      <c r="X7" s="227"/>
      <c r="Y7" s="227"/>
      <c r="Z7" s="227"/>
      <c r="AA7" s="227"/>
      <c r="AB7" s="227"/>
      <c r="AC7" s="227"/>
      <c r="AD7" s="227"/>
      <c r="AE7" s="227"/>
      <c r="AF7" s="227"/>
      <c r="AG7" s="227"/>
      <c r="AH7" s="227"/>
      <c r="AI7" s="227"/>
    </row>
    <row r="8">
      <c r="D8" s="224" t="s">
        <v>3102</v>
      </c>
      <c r="E8" s="227"/>
      <c r="F8" s="227"/>
      <c r="G8" s="224" t="s">
        <v>3103</v>
      </c>
      <c r="I8" s="232" t="s">
        <v>3104</v>
      </c>
      <c r="J8" s="227"/>
      <c r="K8" s="227"/>
      <c r="L8" s="227"/>
    </row>
    <row r="9">
      <c r="A9" s="227"/>
      <c r="B9" s="227"/>
      <c r="C9" s="227"/>
      <c r="D9" s="227"/>
      <c r="E9" s="224" t="s">
        <v>3106</v>
      </c>
      <c r="F9" s="227"/>
      <c r="G9" s="227"/>
      <c r="H9" s="227"/>
      <c r="I9" s="232" t="s">
        <v>3107</v>
      </c>
      <c r="J9" s="233">
        <v>44725.0</v>
      </c>
      <c r="K9" s="227"/>
      <c r="L9" s="227"/>
      <c r="M9" s="228"/>
      <c r="N9" s="227"/>
      <c r="O9" s="227"/>
      <c r="P9" s="227"/>
      <c r="Q9" s="227"/>
      <c r="R9" s="227"/>
      <c r="S9" s="227"/>
      <c r="T9" s="227"/>
      <c r="U9" s="227"/>
      <c r="V9" s="227"/>
      <c r="W9" s="227"/>
      <c r="X9" s="227"/>
      <c r="Y9" s="227"/>
      <c r="Z9" s="227"/>
      <c r="AA9" s="227"/>
      <c r="AB9" s="227"/>
      <c r="AC9" s="227"/>
      <c r="AD9" s="227"/>
      <c r="AE9" s="227"/>
      <c r="AF9" s="227"/>
      <c r="AG9" s="227"/>
      <c r="AH9" s="227"/>
      <c r="AI9" s="227"/>
    </row>
    <row r="10">
      <c r="A10" s="227"/>
      <c r="B10" s="227"/>
      <c r="C10" s="227"/>
      <c r="D10" s="227"/>
      <c r="E10" s="224" t="s">
        <v>3118</v>
      </c>
      <c r="F10" s="227"/>
      <c r="G10" s="227"/>
      <c r="H10" s="227"/>
      <c r="I10" s="234" t="s">
        <v>3119</v>
      </c>
      <c r="J10" s="227"/>
      <c r="K10" s="227"/>
      <c r="L10" s="227"/>
      <c r="M10" s="228"/>
      <c r="N10" s="227"/>
      <c r="O10" s="227"/>
      <c r="P10" s="227"/>
      <c r="Q10" s="227"/>
      <c r="R10" s="227"/>
      <c r="S10" s="227"/>
      <c r="T10" s="227"/>
      <c r="U10" s="227"/>
      <c r="V10" s="227"/>
      <c r="W10" s="227"/>
      <c r="X10" s="227"/>
      <c r="Y10" s="227"/>
      <c r="Z10" s="227"/>
      <c r="AA10" s="227"/>
      <c r="AB10" s="227"/>
      <c r="AC10" s="227"/>
      <c r="AD10" s="227"/>
      <c r="AE10" s="227"/>
      <c r="AF10" s="227"/>
      <c r="AG10" s="227"/>
      <c r="AH10" s="227"/>
      <c r="AI10" s="227"/>
    </row>
    <row r="11">
      <c r="A11" s="227"/>
      <c r="B11" s="227"/>
      <c r="C11" s="227"/>
      <c r="D11" s="227"/>
      <c r="E11" s="224" t="s">
        <v>3153</v>
      </c>
      <c r="F11" s="227"/>
      <c r="G11" s="227"/>
      <c r="H11" s="227"/>
      <c r="I11" s="231" t="s">
        <v>3424</v>
      </c>
      <c r="J11" s="227"/>
      <c r="K11" s="227"/>
      <c r="L11" s="227"/>
      <c r="M11" s="228"/>
      <c r="N11" s="227"/>
      <c r="O11" s="227"/>
      <c r="P11" s="227"/>
      <c r="Q11" s="227"/>
      <c r="R11" s="227"/>
      <c r="S11" s="227"/>
      <c r="T11" s="227"/>
      <c r="U11" s="227"/>
      <c r="V11" s="227"/>
      <c r="W11" s="227"/>
      <c r="X11" s="227"/>
      <c r="Y11" s="227"/>
      <c r="Z11" s="227"/>
      <c r="AA11" s="227"/>
      <c r="AB11" s="227"/>
      <c r="AC11" s="227"/>
      <c r="AD11" s="227"/>
      <c r="AE11" s="227"/>
      <c r="AF11" s="227"/>
      <c r="AG11" s="227"/>
      <c r="AH11" s="227"/>
      <c r="AI11" s="227"/>
    </row>
    <row r="12">
      <c r="A12" s="227"/>
      <c r="B12" s="227"/>
      <c r="C12" s="227"/>
      <c r="D12" s="227"/>
      <c r="E12" s="224" t="s">
        <v>3191</v>
      </c>
      <c r="F12" s="224" t="s">
        <v>3192</v>
      </c>
      <c r="G12" s="227"/>
      <c r="H12" s="227"/>
      <c r="I12" s="231" t="s">
        <v>3193</v>
      </c>
      <c r="J12" s="224" t="s">
        <v>3194</v>
      </c>
      <c r="K12" s="227"/>
      <c r="L12" s="227"/>
      <c r="M12" s="228"/>
      <c r="N12" s="227"/>
      <c r="O12" s="227"/>
      <c r="P12" s="227"/>
      <c r="Q12" s="227"/>
      <c r="R12" s="227"/>
      <c r="S12" s="227"/>
      <c r="T12" s="227"/>
      <c r="U12" s="227"/>
      <c r="V12" s="227"/>
      <c r="W12" s="227"/>
      <c r="X12" s="227"/>
      <c r="Y12" s="227"/>
      <c r="Z12" s="227"/>
      <c r="AA12" s="227"/>
      <c r="AB12" s="227"/>
      <c r="AC12" s="227"/>
      <c r="AD12" s="227"/>
      <c r="AE12" s="227"/>
      <c r="AF12" s="227"/>
      <c r="AG12" s="227"/>
      <c r="AH12" s="227"/>
      <c r="AI12" s="227"/>
    </row>
    <row r="13">
      <c r="A13" s="227"/>
      <c r="B13" s="227"/>
      <c r="C13" s="227"/>
      <c r="D13" s="227"/>
      <c r="E13" s="224" t="s">
        <v>3195</v>
      </c>
      <c r="F13" s="224" t="s">
        <v>3196</v>
      </c>
      <c r="G13" s="227"/>
      <c r="H13" s="227"/>
      <c r="I13" s="231" t="s">
        <v>3197</v>
      </c>
      <c r="J13" s="227"/>
      <c r="K13" s="227"/>
      <c r="L13" s="227"/>
      <c r="M13" s="228"/>
      <c r="N13" s="227"/>
      <c r="O13" s="227"/>
      <c r="P13" s="227"/>
      <c r="Q13" s="227"/>
      <c r="R13" s="227"/>
      <c r="S13" s="227"/>
      <c r="T13" s="227"/>
      <c r="U13" s="227"/>
      <c r="V13" s="227"/>
      <c r="W13" s="227"/>
      <c r="X13" s="227"/>
      <c r="Y13" s="227"/>
      <c r="Z13" s="227"/>
      <c r="AA13" s="227"/>
      <c r="AB13" s="227"/>
      <c r="AC13" s="227"/>
      <c r="AD13" s="227"/>
      <c r="AE13" s="227"/>
      <c r="AF13" s="227"/>
      <c r="AG13" s="227"/>
      <c r="AH13" s="227"/>
      <c r="AI13" s="227"/>
    </row>
    <row r="14">
      <c r="A14" s="227"/>
      <c r="B14" s="227"/>
      <c r="C14" s="224" t="s">
        <v>3222</v>
      </c>
      <c r="D14" s="227"/>
      <c r="E14" s="224" t="s">
        <v>3223</v>
      </c>
      <c r="F14" s="224" t="s">
        <v>3224</v>
      </c>
      <c r="G14" s="227"/>
      <c r="H14" s="227"/>
      <c r="I14" s="235" t="s">
        <v>3225</v>
      </c>
      <c r="J14" s="227"/>
      <c r="K14" s="227"/>
      <c r="L14" s="227"/>
      <c r="M14" s="228"/>
      <c r="N14" s="227"/>
      <c r="O14" s="227"/>
      <c r="P14" s="227"/>
      <c r="Q14" s="227"/>
      <c r="R14" s="227"/>
      <c r="S14" s="227"/>
      <c r="T14" s="227"/>
      <c r="U14" s="227"/>
      <c r="V14" s="227"/>
      <c r="W14" s="227"/>
      <c r="X14" s="227"/>
      <c r="Y14" s="227"/>
      <c r="Z14" s="227"/>
      <c r="AA14" s="227"/>
      <c r="AB14" s="227"/>
      <c r="AC14" s="227"/>
      <c r="AD14" s="227"/>
      <c r="AE14" s="227"/>
      <c r="AF14" s="227"/>
      <c r="AG14" s="227"/>
      <c r="AH14" s="227"/>
      <c r="AI14" s="227"/>
    </row>
    <row r="15">
      <c r="A15" s="131"/>
      <c r="B15" s="131"/>
      <c r="C15" s="131"/>
      <c r="D15" s="236" t="s">
        <v>3239</v>
      </c>
      <c r="E15" s="236" t="s">
        <v>3240</v>
      </c>
      <c r="F15" s="236" t="s">
        <v>3241</v>
      </c>
      <c r="G15" s="131"/>
      <c r="H15" s="131"/>
      <c r="I15" s="236" t="s">
        <v>3242</v>
      </c>
      <c r="J15" s="131"/>
      <c r="K15" s="131"/>
      <c r="L15" s="131"/>
      <c r="M15" s="175"/>
      <c r="N15" s="131"/>
      <c r="O15" s="131"/>
      <c r="P15" s="131"/>
      <c r="Q15" s="131"/>
      <c r="R15" s="131"/>
      <c r="S15" s="131"/>
      <c r="T15" s="131"/>
      <c r="U15" s="131"/>
      <c r="V15" s="131"/>
      <c r="W15" s="131"/>
      <c r="X15" s="131"/>
      <c r="Y15" s="131"/>
      <c r="Z15" s="131"/>
      <c r="AA15" s="131"/>
      <c r="AB15" s="131"/>
      <c r="AC15" s="131"/>
      <c r="AD15" s="131"/>
      <c r="AE15" s="131"/>
      <c r="AF15" s="131"/>
      <c r="AG15" s="131"/>
      <c r="AH15" s="131"/>
      <c r="AI15" s="131"/>
    </row>
    <row r="16">
      <c r="A16" s="227"/>
      <c r="B16" s="227"/>
      <c r="C16" s="227"/>
      <c r="D16" s="227"/>
      <c r="E16" s="39" t="s">
        <v>3425</v>
      </c>
      <c r="F16" s="224" t="s">
        <v>3426</v>
      </c>
      <c r="G16" s="227"/>
      <c r="H16" s="224" t="s">
        <v>3280</v>
      </c>
      <c r="I16" s="226" t="s">
        <v>3281</v>
      </c>
      <c r="J16" s="224" t="s">
        <v>3282</v>
      </c>
      <c r="K16" s="227"/>
      <c r="L16" s="227"/>
      <c r="M16" s="228"/>
      <c r="N16" s="227"/>
      <c r="O16" s="227"/>
      <c r="P16" s="227"/>
      <c r="Q16" s="227"/>
      <c r="R16" s="227"/>
      <c r="S16" s="227"/>
      <c r="T16" s="227"/>
      <c r="U16" s="227"/>
      <c r="V16" s="227"/>
      <c r="W16" s="227"/>
      <c r="X16" s="227"/>
      <c r="Y16" s="227"/>
      <c r="Z16" s="227"/>
      <c r="AA16" s="227"/>
      <c r="AB16" s="227"/>
      <c r="AC16" s="227"/>
      <c r="AD16" s="227"/>
      <c r="AE16" s="227"/>
      <c r="AF16" s="227"/>
      <c r="AG16" s="227"/>
      <c r="AH16" s="227"/>
      <c r="AI16" s="227"/>
    </row>
  </sheetData>
  <hyperlinks>
    <hyperlink r:id="rId1" ref="E16"/>
  </hyperlinks>
  <drawing r:id="rId2"/>
</worksheet>
</file>